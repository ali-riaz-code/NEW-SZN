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Apr" sheetId="2" r:id="rId6"/>
    <sheet state="visible" name="May" sheetId="3" r:id="rId7"/>
    <sheet state="visible" name="Jun" sheetId="4" r:id="rId8"/>
    <sheet state="visible" name="Jul" sheetId="5" r:id="rId9"/>
    <sheet state="visible" name="Aug" sheetId="6" r:id="rId10"/>
    <sheet state="visible" name="Sep" sheetId="7" r:id="rId11"/>
    <sheet state="visible" name="Oct" sheetId="8" r:id="rId12"/>
    <sheet state="visible" name="Nov" sheetId="9" r:id="rId13"/>
    <sheet state="visible" name="Dec" sheetId="10" r:id="rId14"/>
    <sheet state="visible" name="Jan 26" sheetId="11" r:id="rId15"/>
    <sheet state="visible" name="Feb" sheetId="12" r:id="rId16"/>
    <sheet state="visible" name="Mar" sheetId="13" r:id="rId17"/>
    <sheet state="visible" name="April" sheetId="14" r:id="rId18"/>
  </sheets>
  <definedNames>
    <definedName hidden="1" localSheetId="1" name="_xlnm._FilterDatabase">Apr!$A$12:$V$109</definedName>
    <definedName hidden="1" localSheetId="2" name="_xlnm._FilterDatabase">May!$A$12:$V$109</definedName>
    <definedName hidden="1" localSheetId="3" name="_xlnm._FilterDatabase">Jun!$A$12:$V$109</definedName>
    <definedName hidden="1" localSheetId="4" name="_xlnm._FilterDatabase">Jul!$A$12:$V$109</definedName>
    <definedName hidden="1" localSheetId="5" name="_xlnm._FilterDatabase">Aug!$A$12:$V$109</definedName>
    <definedName hidden="1" localSheetId="6" name="_xlnm._FilterDatabase">Sep!$A$12:$V$109</definedName>
    <definedName hidden="1" localSheetId="7" name="_xlnm._FilterDatabase">Oct!$A$12:$V$109</definedName>
    <definedName hidden="1" localSheetId="8" name="_xlnm._FilterDatabase">Nov!$A$12:$V$109</definedName>
    <definedName hidden="1" localSheetId="9" name="_xlnm._FilterDatabase">Dec!$A$12:$V$109</definedName>
    <definedName hidden="1" localSheetId="10" name="_xlnm._FilterDatabase">'Jan 26'!$A$12:$V$109</definedName>
    <definedName hidden="1" localSheetId="11" name="_xlnm._FilterDatabase">Feb!$A$12:$V$109</definedName>
    <definedName hidden="1" localSheetId="12" name="_xlnm._FilterDatabase">Mar!$A$12:$V$109</definedName>
    <definedName hidden="1" localSheetId="13" name="_xlnm._FilterDatabase">April!$A$12:$V$109</definedName>
    <definedName hidden="1" localSheetId="1" name="Z_3D5205AB_724F_426F_9D73_83BFCBF63977_.wvu.FilterData">Apr!$R$17:$R$22</definedName>
    <definedName hidden="1" localSheetId="2" name="Z_3D5205AB_724F_426F_9D73_83BFCBF63977_.wvu.FilterData">May!$R$18</definedName>
    <definedName hidden="1" localSheetId="3" name="Z_3D5205AB_724F_426F_9D73_83BFCBF63977_.wvu.FilterData">Jun!$R$18:$R$21</definedName>
    <definedName hidden="1" localSheetId="4" name="Z_3D5205AB_724F_426F_9D73_83BFCBF63977_.wvu.FilterData">Jul!$R$19:$R$30</definedName>
    <definedName hidden="1" localSheetId="5" name="Z_3D5205AB_724F_426F_9D73_83BFCBF63977_.wvu.FilterData">Aug!$R$18:$R$23</definedName>
    <definedName hidden="1" localSheetId="6" name="Z_3D5205AB_724F_426F_9D73_83BFCBF63977_.wvu.FilterData">Sep!$R$18:$R$33</definedName>
    <definedName hidden="1" localSheetId="7" name="Z_3D5205AB_724F_426F_9D73_83BFCBF63977_.wvu.FilterData">Oct!$R$18</definedName>
    <definedName hidden="1" localSheetId="8" name="Z_3D5205AB_724F_426F_9D73_83BFCBF63977_.wvu.FilterData">Nov!$R$18:$R$32</definedName>
    <definedName hidden="1" localSheetId="9" name="Z_3D5205AB_724F_426F_9D73_83BFCBF63977_.wvu.FilterData">Dec!$R$18:$R$21</definedName>
    <definedName hidden="1" localSheetId="10" name="Z_3D5205AB_724F_426F_9D73_83BFCBF63977_.wvu.FilterData">'Jan 26'!$R$18:$R$26</definedName>
    <definedName hidden="1" localSheetId="11" name="Z_3D5205AB_724F_426F_9D73_83BFCBF63977_.wvu.FilterData">Feb!$R$18:$R$22</definedName>
    <definedName hidden="1" localSheetId="12" name="Z_3D5205AB_724F_426F_9D73_83BFCBF63977_.wvu.FilterData">Mar!$R$18:$R$21</definedName>
    <definedName hidden="1" localSheetId="13" name="Z_3D5205AB_724F_426F_9D73_83BFCBF63977_.wvu.FilterData">April!$R$18:$R$21</definedName>
  </definedNames>
  <calcPr/>
  <customWorkbookViews>
    <customWorkbookView activeSheetId="0" maximized="1" windowHeight="0" windowWidth="0" guid="{3D5205AB-724F-426F-9D73-83BFCBF63977}"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sharedStrings.xml><?xml version="1.0" encoding="utf-8"?>
<sst xmlns="http://schemas.openxmlformats.org/spreadsheetml/2006/main" count="4279" uniqueCount="1943">
  <si>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</si>
  <si>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</si>
  <si>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</si>
  <si>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</si>
  <si>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</si>
  <si>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</si>
  <si>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</si>
  <si>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</si>
  <si>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</si>
  <si>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</si>
  <si>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</si>
  <si>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</si>
  <si>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</si>
  <si>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</si>
  <si>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</si>
  <si>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</si>
  <si>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</si>
  <si>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</si>
  <si>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</si>
  <si>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</si>
  <si>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</si>
  <si>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</si>
  <si>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</si>
  <si>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</si>
  <si>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</si>
  <si>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</si>
  <si>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</si>
  <si>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</si>
  <si>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</si>
  <si>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</si>
  <si>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</si>
  <si>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 xml:space="preserve">Rep: </t>
  </si>
  <si>
    <t>Anna</t>
  </si>
  <si>
    <t>Outcome</t>
  </si>
  <si>
    <t>KPIs%</t>
  </si>
  <si>
    <t>Show Rate</t>
  </si>
  <si>
    <t>Objections</t>
  </si>
  <si>
    <t>Source</t>
  </si>
  <si>
    <t>Tracking</t>
  </si>
  <si>
    <t>Rescheduling Rate:</t>
  </si>
  <si>
    <t xml:space="preserve">Think About It </t>
  </si>
  <si>
    <t>Reschedule</t>
  </si>
  <si>
    <t>Cold Call</t>
  </si>
  <si>
    <t xml:space="preserve">Revenue </t>
  </si>
  <si>
    <t>Cancellation Rate:</t>
  </si>
  <si>
    <t>Money</t>
  </si>
  <si>
    <t>YouTube</t>
  </si>
  <si>
    <t>Twitter</t>
  </si>
  <si>
    <t>Cash</t>
  </si>
  <si>
    <t>No-Shows Rate:</t>
  </si>
  <si>
    <t>Time</t>
  </si>
  <si>
    <t>YouTube Ads</t>
  </si>
  <si>
    <t>Skool</t>
  </si>
  <si>
    <t>Offer &amp; Didn't Buy:</t>
  </si>
  <si>
    <t>Drag Over Rate:</t>
  </si>
  <si>
    <t>Partner</t>
  </si>
  <si>
    <t>Email</t>
  </si>
  <si>
    <t>Instagram</t>
  </si>
  <si>
    <t>Total Calls :</t>
  </si>
  <si>
    <t>Bad Fit &amp; No Offer:</t>
  </si>
  <si>
    <t>Fear</t>
  </si>
  <si>
    <t>Facebook</t>
  </si>
  <si>
    <t>TikTok</t>
  </si>
  <si>
    <t>Total Won :</t>
  </si>
  <si>
    <t>Drag Over &amp; Show:</t>
  </si>
  <si>
    <t>Value</t>
  </si>
  <si>
    <t>Facebook Ads</t>
  </si>
  <si>
    <t>Google</t>
  </si>
  <si>
    <t>Total Lost :</t>
  </si>
  <si>
    <t>Rescheduled:</t>
  </si>
  <si>
    <t>LinkedIn</t>
  </si>
  <si>
    <t>Referral</t>
  </si>
  <si>
    <t>Closing % :</t>
  </si>
  <si>
    <t>Cancelled:</t>
  </si>
  <si>
    <t>No-Show:</t>
  </si>
  <si>
    <t>Deals</t>
  </si>
  <si>
    <t>Date</t>
  </si>
  <si>
    <t>Name</t>
  </si>
  <si>
    <t>Phone No.</t>
  </si>
  <si>
    <t>Revenue</t>
  </si>
  <si>
    <t>Objection</t>
  </si>
  <si>
    <t>Objection Notes</t>
  </si>
  <si>
    <t>Length</t>
  </si>
  <si>
    <t>Recording Link</t>
  </si>
  <si>
    <t>Follow Up/Next Steps</t>
  </si>
  <si>
    <t>Call Summary</t>
  </si>
  <si>
    <t>03.04.25</t>
  </si>
  <si>
    <t>Mia Friis Knudsen</t>
  </si>
  <si>
    <t>mia-friis-knudsen@hotmail.com</t>
  </si>
  <si>
    <t>Setter</t>
  </si>
  <si>
    <t>Offer &amp; Didn't Buy</t>
  </si>
  <si>
    <t>Think About It</t>
  </si>
  <si>
    <t>Usikker på om forløbet er noget for hende</t>
  </si>
  <si>
    <r>
      <rPr>
        <color rgb="FF1155CC"/>
        <u/>
      </rPr>
      <t>https://slack-files.com/T089JBRTVMM-F08LKAN042Z-53ae7da4ea</t>
    </r>
  </si>
  <si>
    <t>X</t>
  </si>
  <si>
    <t xml:space="preserve">Ender med at synes det er for mange penge, ville høre nærmere. Virkede usikker på om det var noget for hende. </t>
  </si>
  <si>
    <t>04.04.25</t>
  </si>
  <si>
    <t>Mira Ælmholdt Ottesen</t>
  </si>
  <si>
    <t>miraottesen@gmail.com</t>
  </si>
  <si>
    <t>Overvejer at prøve selv først</t>
  </si>
  <si>
    <r>
      <rPr>
        <color rgb="FF1155CC"/>
        <u/>
      </rPr>
      <t>https://slack-files.com/T089JBRTVMM-F08M2DVVB6D-c84eeabb5d</t>
    </r>
  </si>
  <si>
    <t>Følte et forløb kunne være et godt suplement til den livsstil hun allerede er ved at bygge op. Er usikker på om hun skal prøve selv, eller få hjælpen til at blive skubbet godt igang. Hjælp til kostvaner, træning og rutiner i hverdagen.</t>
  </si>
  <si>
    <t>Clara S. Been</t>
  </si>
  <si>
    <t>0 459 023 332</t>
  </si>
  <si>
    <t>beenclara@gmail.com</t>
  </si>
  <si>
    <t xml:space="preserve">Ville tænke over om det passede til hende, og om hun kunne finde det i budgettet. </t>
  </si>
  <si>
    <t>Forhindret</t>
  </si>
  <si>
    <t>Har fitness coash. Med i løbeklub. Vegetar, mangler protein. Ønsker hjælp til kost.</t>
  </si>
  <si>
    <t xml:space="preserve">(ringet og skrevet)Canan Benli </t>
  </si>
  <si>
    <t>canan.benli@hotmail.com</t>
  </si>
  <si>
    <t>Full-Pay</t>
  </si>
  <si>
    <t>5 måneder</t>
  </si>
  <si>
    <r>
      <rPr>
        <color rgb="FF1155CC"/>
        <u/>
      </rPr>
      <t>https://slack-files.com/T089JBRTVMM-F08MFE0CJD6-e1d174471b</t>
    </r>
  </si>
  <si>
    <t>Closed</t>
  </si>
  <si>
    <t>Mangler struktur og den rette løsning. Prøvet meget i mange år uden held. Mega klar til at skabe foranding nu!</t>
  </si>
  <si>
    <t>06.04.25</t>
  </si>
  <si>
    <t>Ida Mogensen</t>
  </si>
  <si>
    <t>40 74 87 87</t>
  </si>
  <si>
    <t>ida.mogensen@live.dk</t>
  </si>
  <si>
    <t>På SU synes det er mange penge</t>
  </si>
  <si>
    <r>
      <rPr>
        <color rgb="FF1155CC"/>
        <u/>
      </rPr>
      <t>https://slack-files.com/T089JBRTVMM-F08LJSDM32B-e1f6fd421a</t>
    </r>
  </si>
  <si>
    <t>Synes forløbet lød perfekt i forhold til hendes egen tilgang. (Ikke restriktiv) Små ændringer.</t>
  </si>
  <si>
    <t>Mathilde Nordberg</t>
  </si>
  <si>
    <t>25 38 44 97</t>
  </si>
  <si>
    <t>mathilde2002@icloud.com</t>
  </si>
  <si>
    <t>Studerende, synes det er mange penge</t>
  </si>
  <si>
    <r>
      <rPr>
        <color rgb="FF1155CC"/>
        <u/>
      </rPr>
      <t>https://slack-files.com/T089JBRTVMM-F08M9TK74BT-71681a9462</t>
    </r>
  </si>
  <si>
    <t>Følte forløbet var for hende. Nervøs for at købe da hun har brugt mange penge på coaches før. Har brug for hjælp til vaner, overspisning, struktur, træning, tabe fedt. Har været utilfreds med krop siden 2018.</t>
  </si>
  <si>
    <t>07.04.25</t>
  </si>
  <si>
    <t>(ringet og skrevet)Ida Nyvang Lundgren Larsen</t>
  </si>
  <si>
    <t>20 31 10 45</t>
  </si>
  <si>
    <t>ida.nyvang@icloud.com</t>
  </si>
  <si>
    <t>9,000.00 kr</t>
  </si>
  <si>
    <t>1,500.00 kr</t>
  </si>
  <si>
    <t>Stod midt i nye rammer - snart nyt studie + flytning + rejse</t>
  </si>
  <si>
    <r>
      <rPr>
        <color rgb="FF1155CC"/>
        <u/>
      </rPr>
      <t>https://slack-files.com/T089JBRTVMM-F08M1FVN70D-80cf01cc98</t>
    </r>
  </si>
  <si>
    <t xml:space="preserve">Ønsker sig en mere tonet krop, hjælp til at blive tryg i træningscenter, implementering af sunde vaner i en travl, omskiftelig hverdag. </t>
  </si>
  <si>
    <t>08.04.25</t>
  </si>
  <si>
    <t>Nellie Waaben</t>
  </si>
  <si>
    <t>50 19 29 20</t>
  </si>
  <si>
    <t>nelliewaaben@gmail.com</t>
  </si>
  <si>
    <t>Synes det var meget dyrt, men forløbet er perfekt for hende.</t>
  </si>
  <si>
    <r>
      <rPr>
        <color rgb="FF1155CC"/>
        <u/>
      </rPr>
      <t>https://slack-files.com/T089JBRTVMM-F08ME5NBDT4-6ab2e9895a</t>
    </r>
  </si>
  <si>
    <t>Havde brug for støtte til at holde fast i sunde rutiner. Ønskede vægttab, omlægning af kostvaner, hjælp til at ændre mindset og føle sig godt tilpas i sin egen krop. Utilfreds. Ønsker sig mere energi.</t>
  </si>
  <si>
    <t>09.04.25</t>
  </si>
  <si>
    <t>Louise Christina Gade</t>
  </si>
  <si>
    <t>26 23 17 72</t>
  </si>
  <si>
    <t>louisecrgade@gmail.com</t>
  </si>
  <si>
    <t>I tvivl om hun skal vælge et holistisk tarmforløb hun har været på igen, eller Olivia.</t>
  </si>
  <si>
    <r>
      <rPr>
        <color rgb="FF1155CC"/>
        <u/>
      </rPr>
      <t>https://slack-files.com/T089JBRTVMM-F08M81C5P5L-5eb99c335e</t>
    </r>
  </si>
  <si>
    <t xml:space="preserve">Mangler motivation til at skabe de ændringer hun ønsker sig. Når aldrig helt i mål. Har barn, kæreste og har svært ved at passe hendes valg ind med familielivet. Har irriteret tarm og har masser af indsigt i hvad der fungerer for hende, men mangler støtte til at håndtere når motivationen daler. </t>
  </si>
  <si>
    <t>10.04.25</t>
  </si>
  <si>
    <t>Amira A. Mouna</t>
  </si>
  <si>
    <t>30 44 18 74</t>
  </si>
  <si>
    <t>Amiramaliamouna1@gmail.com</t>
  </si>
  <si>
    <t>Intet på selve kaldet, men fortrød efterfølgende</t>
  </si>
  <si>
    <r>
      <rPr>
        <color rgb="FF1155CC"/>
        <u/>
      </rPr>
      <t>https://slack-files.com/T089JBRTVMM-F08MQ8K02EP-12dd9edf08</t>
    </r>
  </si>
  <si>
    <t>Follow Up</t>
  </si>
  <si>
    <t>Var meget motiveret for at skabe de forandringer hun ønsker. Kost og krop holder hende tilbage - ikke glad for hvad hun ser i spejlet.</t>
  </si>
  <si>
    <t>11.04.25</t>
  </si>
  <si>
    <t>Emma Reinholdt Nissen</t>
  </si>
  <si>
    <t>23 11 55 04</t>
  </si>
  <si>
    <t>emmareinholdtnissen@gmail.com</t>
  </si>
  <si>
    <t>Ville sove på det og mange penge</t>
  </si>
  <si>
    <r>
      <rPr>
        <color rgb="FF1155CC"/>
        <u/>
      </rPr>
      <t>https://slack-files.com/T089JBRTVMM-F08MWHHUFPU-0abf9ab21c</t>
    </r>
  </si>
  <si>
    <t xml:space="preserve">Kunne spejle sig meget i Olivias content, og fortæller at hun ønsker Olivia specifikt, da hun føler de deler samme fortid/historie - ønsker hjælp til træning, kost, søvnmønster og det mentale. </t>
  </si>
  <si>
    <t>Kimmie Liv Sennova</t>
  </si>
  <si>
    <t>53 60 69 50</t>
  </si>
  <si>
    <t>kimmielivsennova@gmail.com</t>
  </si>
  <si>
    <t>Sove på det og snakke med kæreste</t>
  </si>
  <si>
    <r>
      <rPr>
        <color rgb="FF1155CC"/>
        <u/>
      </rPr>
      <t>https://slack-files.com/T089JBRTVMM-F08MCD15TPH-c3e664aa76</t>
    </r>
  </si>
  <si>
    <t xml:space="preserve">Havde brug for hjælp til teknik i træning (glutes) for at se resultater, kost og føle sig godt tilpas i sin krop. Fedttab og toning af kroppen og ønsker all over at skabe en sund livsstil for sig selv som også vil gavne hendes arbejdsliv som performer. </t>
  </si>
  <si>
    <t>Eva Youseff El-Gazzi</t>
  </si>
  <si>
    <t>31 31 86 99</t>
  </si>
  <si>
    <t>eelghazzi@gmail.com</t>
  </si>
  <si>
    <t>Skulle på ferie i 14 dage og havde ikke penge til start up fee før d. 1. maj</t>
  </si>
  <si>
    <r>
      <rPr>
        <color rgb="FF1155CC"/>
        <u/>
      </rPr>
      <t>https://slack-files.com/T089JBRTVMM-F08MWLVLPFW-3165787c27</t>
    </r>
  </si>
  <si>
    <t>Var meget klar til at komme igang, men blev overrasket over hun skulle betale på dagen. Hun informerer at hun ønsker opstart d. 1. maj</t>
  </si>
  <si>
    <t>13.04.25</t>
  </si>
  <si>
    <t>Gulpari Khan</t>
  </si>
  <si>
    <t>24 43 42 36</t>
  </si>
  <si>
    <t>gulparikhan@hotmail.com</t>
  </si>
  <si>
    <t>Skulle overveje motivation og penge</t>
  </si>
  <si>
    <r>
      <rPr>
        <color rgb="FF1155CC"/>
        <u/>
      </rPr>
      <t>https://slack-files.com/T089JBRTVMM-F08NA605KQR-a23a9edf51</t>
    </r>
  </si>
  <si>
    <t xml:space="preserve">Var interesseret i at høre mere om hvordan coachesforløb fungerede og deres pris. Ønsker hjælp til kost, vaner, træning og mindset - fokuseret på vægt og havde et klart billede om hvordan hun gerne ville se ud, men synes der var langt. Afhængig af sukker - føler det har taget overhånd. </t>
  </si>
  <si>
    <t>14.04.25</t>
  </si>
  <si>
    <t>Simone Haarbo</t>
  </si>
  <si>
    <t>29 80 31 86</t>
  </si>
  <si>
    <t>simone2808@hotmail.dk</t>
  </si>
  <si>
    <t>SU</t>
  </si>
  <si>
    <r>
      <rPr>
        <color rgb="FF1155CC"/>
        <u/>
      </rPr>
      <t>https://slack-files.com/T089JBRTVMM-F08N5UW4D18-ab53728404</t>
    </r>
  </si>
  <si>
    <t xml:space="preserve">Brug for hjælp til at se fremskridt - sidder fast og ser ingen resultater af sin træning og kostomlægning. </t>
  </si>
  <si>
    <t xml:space="preserve">Brug for hjælp til kost og vaner. Har styr på træningsdelen. Ønsker det maksimale udbytte af sin træning - virker meget varm på et 1:1 forløb - vender tilbage inden 24 timer. </t>
  </si>
  <si>
    <t xml:space="preserve">Brug for hjælp til at skabe varige ændringer og arbejde med selvbillede og mindset. </t>
  </si>
  <si>
    <t xml:space="preserve">Brug for hjælp til vægttab og kostplan - snacker meget og ønsker mere struktur på kost og træning. </t>
  </si>
  <si>
    <t xml:space="preserve">Brug for hjælp til mere tonet krop, bryde med usunde vaner, støtte til at holde de gode rutiner og få styr på kosten - har besværligheder med maven. Har kørt andet forløb før som var restriktivt. </t>
  </si>
  <si>
    <t>Brug for hjælp til at bryde med overspisning og finde en god balance i sin kost så det matcher hendes aktivitetsniveau (svømning + løb). Føler sig utilpas i sin krop. Ønsker vægttab og mere tonet.</t>
  </si>
  <si>
    <t>Ønsker hjælp til vægttab, kost/overspisning, mindset - ønsker at finde den helt rette balance og få alle værktøjer til hvordan hun gør fremadrettet for at holde vægten og balancen i forhold til madvaner. Har prøvet meget selv, og været i restiktivt forløb mens hun havde det svært psykisk (kan derfor ikke huske denne periode)</t>
  </si>
  <si>
    <t>Vægttab, opstramning/tonet, kost.</t>
  </si>
  <si>
    <t>Ringet til</t>
  </si>
  <si>
    <t>I forløb, reference efterspurgt</t>
  </si>
  <si>
    <t>Fulgt op 1 gang, potentielt interesseret</t>
  </si>
  <si>
    <t>02.05.25</t>
  </si>
  <si>
    <t>Alma Styrbech</t>
  </si>
  <si>
    <t>42 76 48 52</t>
  </si>
  <si>
    <t>astyrbech@gmail.com</t>
  </si>
  <si>
    <t>Overvejer opstart i start juni</t>
  </si>
  <si>
    <t>Selvstændig</t>
  </si>
  <si>
    <t>https://slack-files.com/T089JBRTVMM-F08QR5YR1EX-62568a2bb0</t>
  </si>
  <si>
    <t>06.05.25</t>
  </si>
  <si>
    <t>Tina Andersen</t>
  </si>
  <si>
    <t>29 79 95 26</t>
  </si>
  <si>
    <t>tina_and98@hotmail.com</t>
  </si>
  <si>
    <t>3 måneder</t>
  </si>
  <si>
    <t>https://slack-files.com/T089JBRTVMM-F08QPB5BW87-2190d0f762</t>
  </si>
  <si>
    <t>10.05.25</t>
  </si>
  <si>
    <t>Pavitha Kasirajah (skrevet besked)</t>
  </si>
  <si>
    <t>42 47 43 62</t>
  </si>
  <si>
    <t>ktpavitha@gmail.com</t>
  </si>
  <si>
    <t>På SU - overvejer budget</t>
  </si>
  <si>
    <t>https://slack-files.com/T089JBRTVMM-F08RUGEQXUJ-81378ae256</t>
  </si>
  <si>
    <t>07.05.25</t>
  </si>
  <si>
    <t>Maria Hjort Tønnesen (ringer og skrevet)</t>
  </si>
  <si>
    <t>22 78 05 79</t>
  </si>
  <si>
    <t>mhjortt@gmail.com</t>
  </si>
  <si>
    <t>Står midt i jobskifte</t>
  </si>
  <si>
    <t>https://slack-files.com/T089JBRTVMM-F08RYPSEGN4-938d06b03b</t>
  </si>
  <si>
    <t>12.05.25</t>
  </si>
  <si>
    <t>Leonora Amalie Minet Ricks</t>
  </si>
  <si>
    <t>26 11 17 72</t>
  </si>
  <si>
    <t>leonoraricks@gmail.com</t>
  </si>
  <si>
    <t>https://slack-files.com/T089JBRTVMM-F08SL8SQ796-48d7110029</t>
  </si>
  <si>
    <t>14.05.25</t>
  </si>
  <si>
    <t>Julie Kristensen</t>
  </si>
  <si>
    <t>61 16 66 08</t>
  </si>
  <si>
    <t>julierlk@hotmail.com</t>
  </si>
  <si>
    <t>https://slack-files.com/T089JBRTVMM-F08T0P7C9FA-9c57ca676d</t>
  </si>
  <si>
    <t>15.05.25</t>
  </si>
  <si>
    <t>Melani Juul Nysom Pedersen</t>
  </si>
  <si>
    <t>21 30 08 29</t>
  </si>
  <si>
    <t>melanifrugthaven@gmail.com</t>
  </si>
  <si>
    <t>https://slack-files.com/T089JBRTVMM-F08SLJP0M6G-d551736604</t>
  </si>
  <si>
    <t>19.05.25</t>
  </si>
  <si>
    <t>Laura Hvilshøj Liin</t>
  </si>
  <si>
    <t>29 17 73 61</t>
  </si>
  <si>
    <t>lauraliin350a@gmail.com</t>
  </si>
  <si>
    <t>Penge - mellem jobs. I tvivl om det var lige nu.</t>
  </si>
  <si>
    <t>https://slack-files.com/T089JBRTVMM-F08T1GR9AHY-cec6910858</t>
  </si>
  <si>
    <t xml:space="preserve">Mindset, muskelmasse, styrketræning, struktur til nye rutiner, motivation til at komme afsted (har veninde som også går i forløb), ro i sindet, kostoverblik. </t>
  </si>
  <si>
    <t>20.05.25</t>
  </si>
  <si>
    <t>Mia Adamsen</t>
  </si>
  <si>
    <t>25 72 14 41</t>
  </si>
  <si>
    <t>m@henrikadamsen.com</t>
  </si>
  <si>
    <t>Penge og samtale med andre coaches</t>
  </si>
  <si>
    <t>https://slack-files.com/T089JBRTVMM-F08TVQZ397T-e9af25da65</t>
  </si>
  <si>
    <t>Synes alt ved forløbet var perfekt. Havde brug for hjælp til balance i kost, sunde vner.</t>
  </si>
  <si>
    <t>21.05.25</t>
  </si>
  <si>
    <t>Freja Ladehoff</t>
  </si>
  <si>
    <t>50 44 96 71</t>
  </si>
  <si>
    <t>freja.ladehoff04@gmail.com</t>
  </si>
  <si>
    <t>https://slack-files.com/T089JBRTVMM-F08SYJ51ZTR-0f551d8bd7</t>
  </si>
  <si>
    <t xml:space="preserve">Hjælp til kost, oppustethed, mindset og toning af krop. </t>
  </si>
  <si>
    <t>Kirstine Braüner</t>
  </si>
  <si>
    <t>27 59 73 99</t>
  </si>
  <si>
    <t>kirstine_brauner@hotmail.com</t>
  </si>
  <si>
    <t>Ønsker hjælp til indre ro, pauser, nervesystem og meditation - mindset</t>
  </si>
  <si>
    <t>28.05.25</t>
  </si>
  <si>
    <t>Melissa Mortensen (skrevet)</t>
  </si>
  <si>
    <t>23 62 57 15</t>
  </si>
  <si>
    <t>melissaengelsted@gmail.com</t>
  </si>
  <si>
    <t>https://slack-files.com/T089JBRTVMM-F08V02U273J-9c1dff272e</t>
  </si>
  <si>
    <t xml:space="preserve">Oppustethed, vægttab, selvbillede og selvtillid, mindset, utilpas i sin krop - mangler at finde balancen hele vejen rundt. </t>
  </si>
  <si>
    <t>30.05.25</t>
  </si>
  <si>
    <t>Anna Friis</t>
  </si>
  <si>
    <t>30 48 50 18</t>
  </si>
  <si>
    <t>annahugfriis@icloud.com</t>
  </si>
  <si>
    <t>Split-pay</t>
  </si>
  <si>
    <t>På SU</t>
  </si>
  <si>
    <t>https://slack-files.com/T089JBRTVMM-F08UPR50350-e5949fc516</t>
  </si>
  <si>
    <t xml:space="preserve">Hjælp til mindset - opbygge selvværd. Kost. Usikker i træningscentret. Taler dårligt til sig selv - påvirker hendes parforhold. </t>
  </si>
  <si>
    <t>29.05.25</t>
  </si>
  <si>
    <t>Amalie Johansen</t>
  </si>
  <si>
    <t>29 79 49 55</t>
  </si>
  <si>
    <t>ama.johansen@live.dk</t>
  </si>
  <si>
    <t>https://slack-files.com/T089JBRTVMM-F08UAV6UBV4-5bc0a5d8f9</t>
  </si>
  <si>
    <t>Motivation til styrketræning (trænet før) gør mange ting, men ser ikke fremgang, overspiser, ønsker at tabe sig 10 kg. strammet op og forbedre løb + få intro til maskiner i fitness.</t>
  </si>
  <si>
    <t>02.06.25</t>
  </si>
  <si>
    <t>Laura Snerle Kranker</t>
  </si>
  <si>
    <t>51 20 22 33</t>
  </si>
  <si>
    <t>lauracsk@gmail.com</t>
  </si>
  <si>
    <t>https://slack-files.com/T089JBRTVMM-F08TVR24X5X-171325519b</t>
  </si>
  <si>
    <t>Nyt kald aftalt d. 2. juni - Binge-eating spiral, mave, struktur, motivation, kost - mood svings, dårligt selvværd - går 8 år tilbage.</t>
  </si>
  <si>
    <t>Sofie Pihl Rasmussen</t>
  </si>
  <si>
    <t>42 75 09 15</t>
  </si>
  <si>
    <t>rasmussensofiepihl@gmail.com</t>
  </si>
  <si>
    <t>Skal flytte, på SU inden længe og ud at rejse</t>
  </si>
  <si>
    <t>https://slack-files.com/T089JBRTVMM-F08UM3C1527-ffa11987c0</t>
  </si>
  <si>
    <t>Haft spiseforstyrrelse - hjælp til mindset og tænke gode tanker om sig selv, nået langt men mangler det sidste. Ønsker hjælp til træningsprogram, selvtillid - fred og ro omkring mad.</t>
  </si>
  <si>
    <t>04.06.25</t>
  </si>
  <si>
    <t>Lykke Christine Elvstrøm</t>
  </si>
  <si>
    <t>93 92 27 18</t>
  </si>
  <si>
    <t>lykkeelvstroem15@gmail.com</t>
  </si>
  <si>
    <t>https://slack-files.com/T089JBRTVMM-F08VDB9TU2G-ad3ba23f37</t>
  </si>
  <si>
    <t>Hjælp til tonet krop - balancen mellem kost og træning. Alt eller intet-mentalitet. Ønsker tydelige resultater af sin indsats. Har altid trænet regulært, men ser ingen tydelige forandringer.</t>
  </si>
  <si>
    <t>06.06.25</t>
  </si>
  <si>
    <t>Karen-Cecilie Kortenbach</t>
  </si>
  <si>
    <t>22 89 01 12</t>
  </si>
  <si>
    <t>tessduus@hotmail.com</t>
  </si>
  <si>
    <t>4 måneder</t>
  </si>
  <si>
    <t>https://slack-files.com/T089JBRTVMM-F08V9HLUSGP-e854fe9c76</t>
  </si>
  <si>
    <t xml:space="preserve">Hjemmetræningsprogram. Rigtig godt igang med gode vaner selv. Hjælp til balance mellem kost og træning - føler sig meget sulten fordi hun ikke spiser i løbet af dagen og overspiser om aftenen. Ønsker mere viden omkring kost og træning for at nå helt i mål - har tabt 20 kg. på egen hånd. </t>
  </si>
  <si>
    <t>08.06.25</t>
  </si>
  <si>
    <t>Rebekka Lindholm</t>
  </si>
  <si>
    <t>29 44 21 39</t>
  </si>
  <si>
    <t>rebekka@riislindholm.dk</t>
  </si>
  <si>
    <t>https://slack-files.com/T089JBRTVMM-F090J524ASG-50f341609d</t>
  </si>
  <si>
    <t xml:space="preserve">Ønsker mere viden omkring træning og kost. Har de sidste 5 år været utilfreds med sin krop hvilket går ud over hendes selvværd og selvstillid. Er gymnast. Går i gym. Har i øjeblikket stress. Føler forløbet kan hjælpe hende i mål med det hun ønsker. </t>
  </si>
  <si>
    <t>09.06.25</t>
  </si>
  <si>
    <t>Amalie Mikkelsen</t>
  </si>
  <si>
    <t>21 75 63 03</t>
  </si>
  <si>
    <t>nikitalist@hotmail.com</t>
  </si>
  <si>
    <t>https://slack-files.com/T089JBRTVMM-F090M7X1GKW-6cdd3a3ab1</t>
  </si>
  <si>
    <t>Har et biologisk ur der tikker i forhold til tidlig overgangsalder hvorfor hun har brug for at skabe en livsstilsændring (28 år).</t>
  </si>
  <si>
    <t>10.06.25</t>
  </si>
  <si>
    <t>Emma Junker</t>
  </si>
  <si>
    <t>29 28 26 72</t>
  </si>
  <si>
    <t>emmathobo@gmail.com</t>
  </si>
  <si>
    <t>https://slack-files.com/T089JBRTVMM-F090T3647U3-5467e18aaa</t>
  </si>
  <si>
    <t xml:space="preserve">Vægttab - mere selvtillid og selvsikker. Hjælp til træning, kost. Mere tonet krop. Overvejet at skabe forandringer i 3 år. </t>
  </si>
  <si>
    <t>11.06.25</t>
  </si>
  <si>
    <t>Pernille Frederikke Juhl Rosenkilde</t>
  </si>
  <si>
    <t>52 30 45 28</t>
  </si>
  <si>
    <t>pf.rosenkilde@gmail.com</t>
  </si>
  <si>
    <t>https://slack-files.com/T089JBRTVMM-F090STS7V0E-6489aefab7</t>
  </si>
  <si>
    <t>Hjælp til kost og træning. Har været i forløb før. Ser ikke resultater af sin indsats selv om hun træner jævnligt. Har været i forløb flere gange før. SU</t>
  </si>
  <si>
    <t>17.06.25</t>
  </si>
  <si>
    <t>Josephine Kristensen</t>
  </si>
  <si>
    <t>29 85 82 72</t>
  </si>
  <si>
    <t>josephinekristensen2@gmail.com</t>
  </si>
  <si>
    <t>https://slack-files.com/T089JBRTVMM-F092HLN02D6-222160e8d2</t>
  </si>
  <si>
    <t>Har gang i træning men manlger hjælp til at nå det sidste - få styr på kost så hun begynder at se tydelige resultater. Vægttab, tonet, mere tilpas i krop. Klar til at der skal ske noget nu. Forsøgt de sidste 3 måneder, men mangler redskaber og viden.</t>
  </si>
  <si>
    <t>Louise Krejberg Jensen</t>
  </si>
  <si>
    <t>50 70 32 90</t>
  </si>
  <si>
    <t>louisekjensen27@gmail.com</t>
  </si>
  <si>
    <t>Midt i flytning</t>
  </si>
  <si>
    <t>https://slack-files.com/T089JBRTVMM-F091V4RS560-8e2e62fcee</t>
  </si>
  <si>
    <t xml:space="preserve">Ønsker hjælp til vægttab, muskelmasse og kostvejledning - klar over hun er nødt til at ændre adfærd hvis hun skal nå i mål. Står stille selv om hun træner meget. Stået stille i 6 måneder. Balance og madro. </t>
  </si>
  <si>
    <t>18.06.25</t>
  </si>
  <si>
    <t>Janne Winther</t>
  </si>
  <si>
    <t>27 39 51 76</t>
  </si>
  <si>
    <t>janne@myron.dk</t>
  </si>
  <si>
    <t>https://slack-files.com/T089JBRTVMM-F091YRAUUGM-d8d2583099</t>
  </si>
  <si>
    <t xml:space="preserve">57 år. Mangler hjælp til livsstilsændring. Ønsker at tabe 10 kg, spise mindre sukker og etablere sunde kostvaner og hjemmetræningsprogram. Mindset og motivation til sunde rutiner. Klar til forandring - har sagt job op og vil bruge sommeren på at bygge sig selv op. </t>
  </si>
  <si>
    <t>20.06.25</t>
  </si>
  <si>
    <t>Lilian Ostersen Rørby</t>
  </si>
  <si>
    <t>27 58 40 96</t>
  </si>
  <si>
    <t>lilianrorby@gmail.com</t>
  </si>
  <si>
    <t>Økonomi</t>
  </si>
  <si>
    <t>https://slack-files.com/T089JBRTVMM-F092CPC6C84-d73376f8d3</t>
  </si>
  <si>
    <t xml:space="preserve">Hjælp til kost - træner meget og vil gerne have mere energi og overskud i en travl hverdag. Nyligt fraskilt og har taget en beslutning om en livsstilsændring. Maveproblemer - oppustethed og irritabel tyktarm. Ønsker at føle sig mæt hele dagen. </t>
  </si>
  <si>
    <t>24.06.25</t>
  </si>
  <si>
    <t>Freja Høgsted</t>
  </si>
  <si>
    <t>24 24 67 80</t>
  </si>
  <si>
    <t>frejahoegsted8@gmail.com</t>
  </si>
  <si>
    <t>https://slack-files.com/T089JBRTVMM-F092R7XC5B7-1e4b864eb2</t>
  </si>
  <si>
    <t>25.06.25</t>
  </si>
  <si>
    <t>Mariam Mehmood</t>
  </si>
  <si>
    <t>42 25 16 31</t>
  </si>
  <si>
    <t>mariam-mehmood@hotmail.com</t>
  </si>
  <si>
    <t>Måske brækket fod. Venter på svar fra læge</t>
  </si>
  <si>
    <t>https://slack-files.com/T089JBRTVMM-F0931K0S2UC-0c286e8757</t>
  </si>
  <si>
    <t>Ønsker hjælp til sundere kostvaner - ked af fedt på maven. Mere tonet krop.</t>
  </si>
  <si>
    <t>e</t>
  </si>
  <si>
    <t>Rev per lead</t>
  </si>
  <si>
    <t>01.07.25</t>
  </si>
  <si>
    <t>Katia Kirstine Agri</t>
  </si>
  <si>
    <t>28 78 59 01</t>
  </si>
  <si>
    <t>katiac2992@gmail.com</t>
  </si>
  <si>
    <t>https://slack-files.com/T089JBRTVMM-F093GLB4NKH-8d9f85d0df</t>
  </si>
  <si>
    <t xml:space="preserve">Vægttab, spiseforstyrrelse siden hun var 6 år (er 33) glæden tilbage ved mad, struktur og gode vaner. Selvbillede. Har diabetes 1, IBS, glutenallergi. </t>
  </si>
  <si>
    <t>Eva Boye Rasmussen</t>
  </si>
  <si>
    <t>31 33 35 64</t>
  </si>
  <si>
    <t>evabr99@gmail.com</t>
  </si>
  <si>
    <t>På SU. Usikker på resultater</t>
  </si>
  <si>
    <t xml:space="preserve">Spiseforstyrrelse. Går 13 år tilbage. Aldrig haft balance i kosten. Prøvet flere ting uden at lykkedes. Genoptrænings hos fys. Meget tvivl omkring hun kan lykkes med det. </t>
  </si>
  <si>
    <t>05.07.25</t>
  </si>
  <si>
    <t>Jessica Rasmussen</t>
  </si>
  <si>
    <t>40 61 97 89</t>
  </si>
  <si>
    <t>rasmussenjessica9@gmail.com</t>
  </si>
  <si>
    <t>På kontakthjælp</t>
  </si>
  <si>
    <t>https://slack-files.com/T089JBRTVMM-F0943BG3G31-a11871ad1f</t>
  </si>
  <si>
    <t>Har i 6 år kæmpet med overvægt. Været på vægttabsmedicin og tog alt på igen. Har vejet over 100 kg og ønsker forandring nu. Opstart 1. aug. Afsluttet i okt. grundet økonomi</t>
  </si>
  <si>
    <t>08.07.25</t>
  </si>
  <si>
    <t>Rikke Petersen</t>
  </si>
  <si>
    <t>50 56 13 21</t>
  </si>
  <si>
    <t>rik98@outlook.dk</t>
  </si>
  <si>
    <t>Snak med partner</t>
  </si>
  <si>
    <t>4 måender</t>
  </si>
  <si>
    <t>https://slack-files.com/T089JBRTVMM-F094ZRKDD50-21466958f8</t>
  </si>
  <si>
    <t>Skabe opbyggende rutiner som styrker selvværd. Har svært ved at stå stærkt i sig selv og sige nej. Går 8 år tilbage - har ikke knækket koden til den livsstil hun ønsker sig. Mindset</t>
  </si>
  <si>
    <t>Karen Magrethe René Sørensen</t>
  </si>
  <si>
    <t>28 15 82 15</t>
  </si>
  <si>
    <t>karsoe25@icloud.com</t>
  </si>
  <si>
    <t>https://slack-files.com/T089JBRTVMM-F095F4WCB08-4eec636472</t>
  </si>
  <si>
    <t xml:space="preserve">Manger træningsplan, motivation og lyst til at holde fast i vaner. Tabe fedt på maven og få en stærkere krop. Går 6 år tilbage. </t>
  </si>
  <si>
    <t>09.07.25</t>
  </si>
  <si>
    <t>Emma Kjærsgaard Gyldenvang</t>
  </si>
  <si>
    <t>91 56 68 91</t>
  </si>
  <si>
    <t>emmagyldenvang@gmail.com</t>
  </si>
  <si>
    <t xml:space="preserve">4 måneder </t>
  </si>
  <si>
    <t>https://slack-files.com/T089JBRTVMM-F094U35EKQT-559a3c6aca</t>
  </si>
  <si>
    <t>Døjer med konstant oppustethed (sidste 2-3 år) Mere viden omkring kost</t>
  </si>
  <si>
    <t>10.07.25</t>
  </si>
  <si>
    <t>Sara Pedersen</t>
  </si>
  <si>
    <t>42 18 67 87</t>
  </si>
  <si>
    <t>saraepedersen@hotmail.dk</t>
  </si>
  <si>
    <t>Stor investering men ser værdien</t>
  </si>
  <si>
    <t>https://slack-files.com/T089JBRTVMM-F09565V8VJN-716aa456e1</t>
  </si>
  <si>
    <t xml:space="preserve">Hjælp til at få helt styr på kosten. Er på vægttabsmedicin og vil meget gerne af den! Har tabt 17 kg. på 3 måneder via medicin og ønsker nu at skabe en sund livsstil så hun kan bevare vægttabet. Har vejet over 100 kg og altid haft svært ved sund kost og overvægt. </t>
  </si>
  <si>
    <t>14.07.25</t>
  </si>
  <si>
    <t>Frederikke Leonthin (ringet + skrevet)</t>
  </si>
  <si>
    <t>41 15 11 41</t>
  </si>
  <si>
    <t>fleonthin@hotmail.com</t>
  </si>
  <si>
    <t>https://slack-files.com/T089JBRTVMM-F095Q3DKSRJ-ba4b55697b</t>
  </si>
  <si>
    <t xml:space="preserve">Ønsker viden omkring sammensætning af kost, styrketræning i fitness (teknik). Meget fokus på mindset. Har haft svært ved kost og døjet med undervægt i 20 år (hun er 30). Fik talt sig varm på at starte nu.  Tilladelse til at kontakte om en måneds tid for at høre hvordan det går. Har veninde der er i forløb hun kan følges med. </t>
  </si>
  <si>
    <t>Annette Bangshøj</t>
  </si>
  <si>
    <t>28 15 05 11</t>
  </si>
  <si>
    <t>annette-clausen@hotmail.com</t>
  </si>
  <si>
    <t>Ikke nok pain</t>
  </si>
  <si>
    <t>https://slack-files.com/T089JBRTVMM-F096HC7U8UQ-5c0844adb4</t>
  </si>
  <si>
    <t>Ønsker at få styr på sine spisevaner - træner meget i forvejen og føler hun har godt styr på det. Kosten er også okay, men hun mangler lige det sidste. Mere energi og viden om mad</t>
  </si>
  <si>
    <t>18.07.25</t>
  </si>
  <si>
    <t>Ida Sjømann (skrevet og ringet)</t>
  </si>
  <si>
    <t>30 48 25 14</t>
  </si>
  <si>
    <t>idasjoemann@gmail.com</t>
  </si>
  <si>
    <t>https://slack-files.com/T089JBRTVMM-F096ELC6EGJ-67e1074c2c</t>
  </si>
  <si>
    <t xml:space="preserve">Styr på kosten. Er ved politiet med omskiftelige arbejdstider. mangler en overskuelig madplan og ønsker hjælp til hjemmetræning. tabe 5 kg og tonet krop. </t>
  </si>
  <si>
    <t>20.07.25</t>
  </si>
  <si>
    <t>Sara Ingwersen (ringet og skrevet)</t>
  </si>
  <si>
    <t>42 16 63 16</t>
  </si>
  <si>
    <t>sara1508@hotmail.dk</t>
  </si>
  <si>
    <t>https://slack-files.com/T089JBRTVMM-F09710309FT-d2831088d6</t>
  </si>
  <si>
    <t xml:space="preserve">Har været i coach-forløb før, men er klar på at finde den rette hjælp og investere i sig selv. Vil gerne tabe 5-10 kg. Viden om kost og særligt mindset! </t>
  </si>
  <si>
    <t>22.07.25</t>
  </si>
  <si>
    <t>Cecilie Dybdal Holm</t>
  </si>
  <si>
    <t>24 26 16 46</t>
  </si>
  <si>
    <t>cecilie.holm@hotmail.com</t>
  </si>
  <si>
    <t>Penge og frygt</t>
  </si>
  <si>
    <t>https://slack-files.com/T089JBRTVMM-F096WT5M04A-aa1c520e04</t>
  </si>
  <si>
    <t>Har været i forløb før - uheldig oplevelse. Ønsker hjælp til at tabe 10+kg, mindset. Går 8 år tilbage on og off. Løber meget. Snacker. Ønsker mere balance i kosten og hjælp til styrketræning.</t>
  </si>
  <si>
    <t>25.07.25</t>
  </si>
  <si>
    <t>Camilla Ø. Christensen</t>
  </si>
  <si>
    <t>30 28 20 39</t>
  </si>
  <si>
    <t>camilla_oestergaard@hotmail.com</t>
  </si>
  <si>
    <t>Snakket med andre coaches</t>
  </si>
  <si>
    <t>https://slack-files.com/T089JBRTVMM-F097HRZ36SG-3d8b6769d4</t>
  </si>
  <si>
    <t>Har brug for hjælp til at finde tilbage til rytmen. Tabe 8 kg. Støtte og en til at holde hende på rette vej</t>
  </si>
  <si>
    <t>28.07.25</t>
  </si>
  <si>
    <t>Joanna Sadiq</t>
  </si>
  <si>
    <t>28 11 42 77</t>
  </si>
  <si>
    <t>joannasadiq@gmail.com</t>
  </si>
  <si>
    <t>https://slack-files.com/T089JBRTVMM-F097R8V42R4-0b2c1429c3</t>
  </si>
  <si>
    <t xml:space="preserve">Hjælp til kostvaner - snacker meget. Har fundet et træningsprogram hun godt kan lide men er usikker på teknik (delte mavemuskler) </t>
  </si>
  <si>
    <t>Tina Biltzing (ringet + skrevet)</t>
  </si>
  <si>
    <t>24 61 58 98</t>
  </si>
  <si>
    <t>tinabiltzing@hotmail.com</t>
  </si>
  <si>
    <t>https://slack-files.com/T089JBRTVMM-F097R0NAJ6R-6c03255696</t>
  </si>
  <si>
    <t xml:space="preserve">Svært ved søvnrytme og prioritere tid til sig selv. Ønsker redskaber til at fastholde rutiner der passer ind i hendes hverdag som familiemor. Ønsker at tabe 20 kg og føle sig tilpas i sin krop. </t>
  </si>
  <si>
    <t>Emilie Bojesen Harboe</t>
  </si>
  <si>
    <t>42 77 13 32</t>
  </si>
  <si>
    <t>emiliebojesenharboe@gmail.com</t>
  </si>
  <si>
    <t>https://slack-files.com/T089JBRTVMM-F097R8T6WNA-3f8f89a3ed</t>
  </si>
  <si>
    <t xml:space="preserve">Har fint styr på træningen, men ønsker hjælp til kosten og mere protein. Mæthed. Mere energi - finde en god struktur tabe 5 kg. Går 4 år tilbage. Overspiser op til sin cyklus. </t>
  </si>
  <si>
    <t>30.07.25</t>
  </si>
  <si>
    <t xml:space="preserve">Maiken Xia Engemand (forlænget) </t>
  </si>
  <si>
    <t>60 48 80 41</t>
  </si>
  <si>
    <t>maiken.engemand@gmail.com</t>
  </si>
  <si>
    <t>https://slack-files.com/T089JBRTVMM-F0980EV9X0B-a088f9f3c9</t>
  </si>
  <si>
    <t xml:space="preserve">Brug for at tage 3 kg på. Har forhøjet stofskifte og har ikke kunne tage på de sidste 5 år. Har brug for balance i rutiner omkring kost og træning. Stress, søvn, angst, oppustet. Læge siger hun har en spiseforstyrrelse men det mener hun ikke selv hun har. </t>
  </si>
  <si>
    <t>Nina Feddersen</t>
  </si>
  <si>
    <t>28 18 90 56</t>
  </si>
  <si>
    <t>ninafeddersen@yahoo.dk</t>
  </si>
  <si>
    <t>https://slack-files.com/T089JBRTVMM-F0986P0EMKL-f55388be31</t>
  </si>
  <si>
    <t xml:space="preserve">Brug for ro omkring mad. Måske et vægttab på 5 kg hvis muligt men ikke målet. Struktur på sin træning. Holdbare vaner. Mindset omkring mad. </t>
  </si>
  <si>
    <t>04.08.25</t>
  </si>
  <si>
    <t>Tine Hauerslev (skrevet + ringet)</t>
  </si>
  <si>
    <t>60 84 20 84</t>
  </si>
  <si>
    <t>tine.hauerslev@hotmail.com</t>
  </si>
  <si>
    <t>https://slack-files.com/T089JBRTVMM-F098DN2HSGP-b0165539e8</t>
  </si>
  <si>
    <t xml:space="preserve">Har de sidste 4 år haft svært ved at finde tilbage efter en stresset periode. Har skiftet arbejde til et roligt miljø og ønsker nu at få både træningsrutine og kostvaner på plads. Har haft en spiseforstyrrelse hvor hun kontrollerer alt hun spiser. Har taget 10 kg. på - det er ikke målet i sig selv at tabe dem. Mere madro og forbinde til kroppens signaler igen. </t>
  </si>
  <si>
    <t>05.08.25</t>
  </si>
  <si>
    <t>Amalie Raunsbæk Hagedron</t>
  </si>
  <si>
    <t>22 21 74 80</t>
  </si>
  <si>
    <t>amalieraunsbk.hagedorn@hotmail.com</t>
  </si>
  <si>
    <t>https://slack-files.com/T089JBRTVMM-F0993JCB8G4-0b9f65fdc7</t>
  </si>
  <si>
    <t>Er konstant oppustet. Har været i forløb før hvor hun talte meget kalorier hvilket har givet hende et ubalanceret forhold til kost. Alt eller intet mentaltiet. Dårlig søvn. Hjemmetræningsprogram og balance i kosten. Mere energi og overskud.</t>
  </si>
  <si>
    <t>Astrid Kudahl Lyngsø</t>
  </si>
  <si>
    <t>81 10 03 95</t>
  </si>
  <si>
    <t>askuly04@gmail.com</t>
  </si>
  <si>
    <t>https://slack-files.com/T089JBRTVMM-F098Y8NCXDZ-6f8ae40844</t>
  </si>
  <si>
    <t xml:space="preserve">Snacker meget og har svært ved at finde en god balance i kosten. Har eksem og vil gerne spise efter det. Have mere energi og sund livsstil så hun kan præstere bedre. Spiller badminton 3 gange i ugen men ønsker muligvis hjemmetræningsprogram. </t>
  </si>
  <si>
    <t>06.08.25</t>
  </si>
  <si>
    <t>Line Sofie Pico</t>
  </si>
  <si>
    <t>61 46 14 98</t>
  </si>
  <si>
    <t>line_pico@hotmail.com</t>
  </si>
  <si>
    <t>https://slack-files.com/T089JBRTVMM-F0991JF7DTQ-bd5e205964</t>
  </si>
  <si>
    <t xml:space="preserve">Line har kræft i livmoderen og er jævnligt sengelæggende 3-4 måneder af gangen pga. operationer. Har sin sidste operation 12.sep. Har tidligere været meget trænet og spise stadig sundt, men har nu meget væske og fedt i kroppen grundet sygdom. Vil gerne tilbage på sporet så hun kan føle sig som sig selv igen. Hjemmetræning og vægttab på 15 kg. Støtte til at holde gejsten oppe. </t>
  </si>
  <si>
    <t>08.08.25</t>
  </si>
  <si>
    <t>Sofie Madsen</t>
  </si>
  <si>
    <t>53 35 44 04</t>
  </si>
  <si>
    <t>svbmadsen@gmail.com</t>
  </si>
  <si>
    <t>https://slack-files.com/T089JBRTVMM-F099Q2HRZ36-b50ae346ed</t>
  </si>
  <si>
    <t xml:space="preserve">Ønsker at føle sig tilpas i sin egen krop. Har svært ved at hendes kæreste rør hende nogle steder på kroppen fordi hun er usikker. Har prøvet at finde balance i kosten og træningen siden 8. klasse (er 21) Indre stemme fylder meget. Mindset. Har ikke knækket koden til hvad der fungerer for hende. </t>
  </si>
  <si>
    <t>09.08.25</t>
  </si>
  <si>
    <t>Mai Laub Nielsen</t>
  </si>
  <si>
    <t>29 89 85 07</t>
  </si>
  <si>
    <t>mainielsen4@gmail.com</t>
  </si>
  <si>
    <t>https://slack-files.com/T089JBRTVMM-F099ADUKLCX-cf9e0ade9f</t>
  </si>
  <si>
    <t xml:space="preserve">Alt eller intet mentalitet. Balance i kosten. Svinger 5-10 kg. i vægt. Sundere forhold til mad så hun kan vende tilbage til sig selv. Motivation. </t>
  </si>
  <si>
    <t>11.08.25</t>
  </si>
  <si>
    <t>Merete Jacobsen</t>
  </si>
  <si>
    <t>22 10 29 36</t>
  </si>
  <si>
    <t>merete81@hotmail.com</t>
  </si>
  <si>
    <t>Har brug for tænketid og kigge på økonomi. Har sat et loft på 1000 kr. men vil kigge på om hun kan få det til at køre rundt. Snakket med hende om at følge op i januar</t>
  </si>
  <si>
    <t>https://slack-files.com/T089JBRTVMM-F09ALFYT6PJ-88386d2205</t>
  </si>
  <si>
    <t>Merete er i andet forløb, men føler sig presset med den tilgang der bliver brugt og ønsker derfor at skifte forløb til noget mere balanceret. Hun har de sidste 8 måneder været ude af takt med de gode rutiner og ønsker at finde tilbage. VIl gerne have en mere tonet krop, vægttab på 5 kg, bedre søvn, balance i kosten. Har spillet fodbold på eliteplan og har en tendens til at overtærne og har derfor brug for stuktur, også på sine hvil så hun kan finde mere ro i hverdagen. Hendes tilstand stopper hende i flere ting som rejser, finde en kæreste og at søge nyt job. Løber</t>
  </si>
  <si>
    <t>12.08.25</t>
  </si>
  <si>
    <t>Alma Murguz</t>
  </si>
  <si>
    <t>30 82 62 20</t>
  </si>
  <si>
    <t>almamurguz@hotmail.com</t>
  </si>
  <si>
    <t>Forældre betaling</t>
  </si>
  <si>
    <t>https://slack-files.com/T089JBRTVMM-F099UAX0E11-f28f8c81f5</t>
  </si>
  <si>
    <t xml:space="preserve">Ønsker at finde balance i kosten og finde en god træningsrutine. Tabe ca 5 kg fedt og få tonet krop. Mangler indblik og viden i forhold til kostsammensætning. Har for 1,5 år siden haft en forstyrret spisning med opkastninger. Varede 3-4 måneder og fik selv stoppet det. Ønsker hjemmetræning til en start. Det går 4-5 år tilbage. </t>
  </si>
  <si>
    <t>13.08.25</t>
  </si>
  <si>
    <t>Christina Kraul Møllegaard</t>
  </si>
  <si>
    <t>28 71 83 89</t>
  </si>
  <si>
    <t>christinamoe93@hotmail.com</t>
  </si>
  <si>
    <t>Ønsker 5 måneder men starter med 4 grundet økonomi</t>
  </si>
  <si>
    <t>4-5 måneder</t>
  </si>
  <si>
    <t>https://slack-files.com/T089JBRTVMM-F09A5REG4P7-98cf85d13a</t>
  </si>
  <si>
    <t xml:space="preserve">Rejseleder og ønsker derfor et fleksibelt træningsprogram - hjemmetræning uden for mange redskaber og fitnesscenter (elsker at løfte tungt). Vægttab på 5 kg + mere muskelmasse. Føler sig ikke tilfreds med sin krop. Har fokus på at skifte mindset - kan ikke overholde aftaler med sig selv og laver altid undskyldninger for ikke at komme afsted. Oppustet, balance i kosten, overspisninger da hun kommer fra et hjem hvor man spiser op. </t>
  </si>
  <si>
    <t>14.08.25</t>
  </si>
  <si>
    <t>Siggi Løvstrøm</t>
  </si>
  <si>
    <t>61 28 67 11</t>
  </si>
  <si>
    <t>sikki-l@hotmail.com</t>
  </si>
  <si>
    <t>Rescheduled</t>
  </si>
  <si>
    <t xml:space="preserve">Follow up dec. </t>
  </si>
  <si>
    <t>https://slack-files.com/T089JBRTVMM-F09AFLY1WA2-7e028e4514</t>
  </si>
  <si>
    <t xml:space="preserve">ADD, misbrug af hash (går i behandling) ønsker først og fremmest at arbejde på sit mindset - taler hårdt til sig selv, dårlig selvværd - går 10 år tilbage. Træner og vil gerne leve sundt og stå skarpt. Tabe 5 kg. fedt. </t>
  </si>
  <si>
    <t>15.08.25</t>
  </si>
  <si>
    <t>Camilla B Andersen</t>
  </si>
  <si>
    <t>26 29 24 62</t>
  </si>
  <si>
    <t>milla0509@hotmail.com</t>
  </si>
  <si>
    <t>Dagpenge</t>
  </si>
  <si>
    <t>https://slack-files.com/T08TMAAKCCU-F09AY42GCJD-c17940c484</t>
  </si>
  <si>
    <t xml:space="preserve">Camilla er i en meget presset situation - hendes x stalker hende, hun føler sig utryg og stresset. Ønsker at skabe de bedste forudsætninger for at stå imod de udfordringer hun har i livet. Hun siger selv hun er mester i at udsætte! Nu skal det være slut. Ønsker hjælp til træning - både hjemme og i centret. Mere rytme og balance i kosten. Er nysgerrig på mere viden. Går til psykolog. Har været stresset og deprimeret over flere omgange. Ønsker børn i fremtiden (er 33 år - evt første barn bliver doner da hun ikke har kæreste - tid) så vil derfor også gerne have en sund krop. </t>
  </si>
  <si>
    <t>Emilie Spørring</t>
  </si>
  <si>
    <t>42 16 16 63</t>
  </si>
  <si>
    <t>emiliespoerring@icloud.com</t>
  </si>
  <si>
    <t>https://slack-files.com/T08TMAAKCCU-F09AP90NUCU-eae9d9d3a4</t>
  </si>
  <si>
    <t>Emilie har svært ved at finde ind i de sunde rutiner. For et år siden døde hendes veninde hvilket kastede hende ud af balance - hun tabte sig på en usund måde. Har de sidste 4-5 år været utilfreds med sin krop. Mangler kropsbevidsthed så hun kan mærke mæthed og sult. Ønsker at blive strammet op og få en tonet krop. Ked af sit mavefedt - ønsker at tabe 5-10 kg. Vil gerne etablere et godt balanceret for hold til mad.</t>
  </si>
  <si>
    <t>Newros Secilmis (afsluttet før tid)</t>
  </si>
  <si>
    <t>60 60 64 89</t>
  </si>
  <si>
    <t>nevruzsecilmis@live.dk</t>
  </si>
  <si>
    <t>Prøvet mange forløb</t>
  </si>
  <si>
    <t>https://slack-files.com/T08TMAAKCCU-F09AM6ERP4N-9cac8d5b5d</t>
  </si>
  <si>
    <t>Newros har prøvet mange forskellige forløb. Meget berørt af hendes situation: Manglende overskud til træning, hopper over måltider og overspiser om aftenen. Har to børn og mangler energi. Ønsker at blive den bedste version af sig selv for sine børn og sig selv. Vægttab på 10 kg. men går mest op i at føle sig godt tilpas og finde rytmen og balancen. Ønsker hjemmetræning der passer til hendes manglende tid i hverdagen.</t>
  </si>
  <si>
    <t>18.08.25</t>
  </si>
  <si>
    <t>Astrid Lausten, skrevet</t>
  </si>
  <si>
    <t>53 40 44 60</t>
  </si>
  <si>
    <t>astrid.lausten@hotmail.com</t>
  </si>
  <si>
    <t>Flytning</t>
  </si>
  <si>
    <t>https://slack-files.com/T08TMAAKCCU-F09AXS125QV-04c596a81f</t>
  </si>
  <si>
    <t>Næsten i mål selv. Har tabt næsten 20 kg. selv. Mangler 5 kg. Hjælp til balance i kosten. Struktur. Har en skade efter en ulykke der gør det svært at træne. Har været elite badmintonspiller. Ønsker at bygge muskelmasse - hjemmetræning.</t>
  </si>
  <si>
    <t>19.08.25</t>
  </si>
  <si>
    <t>Luna Friis Hansen</t>
  </si>
  <si>
    <t>21 30 65 97</t>
  </si>
  <si>
    <t>lunafriishansen@gmail.com</t>
  </si>
  <si>
    <t>Stor gæld</t>
  </si>
  <si>
    <t>https://slack-files.com/T08TMAAKCCU-F09B2HQ42KG-c8e863f986</t>
  </si>
  <si>
    <t>Ønsker at tabe 10 kg. Overspisning. Oppustet hele tiden. Kan ikke finde balancen i kosten og rytmen i træningen. Ikke motiveret. Vægten stiger hver gang. Har taget 20 kg. på de sidste 4 år. Gammel elitegymnast - savner at føle sig tilpas i sin krop.</t>
  </si>
  <si>
    <t>20.08.25</t>
  </si>
  <si>
    <t>Nancy Natalie</t>
  </si>
  <si>
    <t>21 73 40 15</t>
  </si>
  <si>
    <t>raufort95@gmail.com</t>
  </si>
  <si>
    <t>https://slack-files.com/T08TMAAKCCU-F09B71EGSKU-7f825c1317</t>
  </si>
  <si>
    <t xml:space="preserve">Vejer 103 kg og er bange for at vægten fortsat stiger. Hun har kæmpet med dårlige vaner i 11 år og kan ikke komme ud af den onde cirkel. Ønsker en livsstilsændring så hun kan få det godt med sig selv og blive mere mobil. Har smerter og skader grundet overvægt. Mangler energi og overskud. Har svært ved at mærke mæthed. </t>
  </si>
  <si>
    <t>21.08.26</t>
  </si>
  <si>
    <t>Laura Kirstine Hunæus Kaas</t>
  </si>
  <si>
    <t>24 43 20 30</t>
  </si>
  <si>
    <t>laurakhkaas@gmail.com</t>
  </si>
  <si>
    <t>https://slack-files.com/T08TMAAKCCU-F09B14V23TR-5a9e4a6525</t>
  </si>
  <si>
    <t>Laura bliver ved med at tabe sig grundet sin ADHD medicin. Hun har kvalme hver dag, og kaster ufrivilligt op når hun spiser. Hun er bange for at blive taget af sin medicin da den har kæmpe betydning for hendes funktionsniveau. Hjælp til søvn, kost, hjemmetræning. Har stress som kan lede til depression (har lægen sagt). Mangler overskud og overblik.</t>
  </si>
  <si>
    <t>22.08.25</t>
  </si>
  <si>
    <t>Sarah Damkær</t>
  </si>
  <si>
    <t>22 75 65 30</t>
  </si>
  <si>
    <t>sarahdamkaerm@gmail.com</t>
  </si>
  <si>
    <t>https://slack-files.com/T08TMAAKCCU-F09CDAQ0DEU-c959aaeb2d</t>
  </si>
  <si>
    <t>Sarah ønsker at tabe 10 kg og få styr på træningen - både hjemmetræning og center. Hun ønsker at føle sig mere tilpas i sin krop og blive mere tonet. Hun vil gerne have styr på kosten og mangler vejledning omkring hvordan hun kan sammensætte den så hun får det hendes krop har brug for. IBS</t>
  </si>
  <si>
    <t>26.08.25</t>
  </si>
  <si>
    <t>Jessika Kristensen</t>
  </si>
  <si>
    <t>28 10 11 51</t>
  </si>
  <si>
    <t>jessika_844@hotmail.com</t>
  </si>
  <si>
    <t>https://slack-files.com/T089JBRTVMM-F09D31BCR08-6a569007e3</t>
  </si>
  <si>
    <t xml:space="preserve">Skilsmisse og flytning. Ønsker at skabe sunde vaner for sig selv og sine tre børn. Hjemmetræning, strammet op, kostsammensætning. Vægttab 4 kg. Pædagog + børn - integreret. </t>
  </si>
  <si>
    <t>27.08.25</t>
  </si>
  <si>
    <t>Natasha Kjær</t>
  </si>
  <si>
    <t>60 70 01 91</t>
  </si>
  <si>
    <t>kjaernatasha@gmail.com</t>
  </si>
  <si>
    <t>Ikke Olivia som første kontakt</t>
  </si>
  <si>
    <t>https://slack-files.com/T08TMAAKCCU-F09D3RQ2WMN-751c37dacd</t>
  </si>
  <si>
    <t xml:space="preserve">Balance i kost og træning. Bankrådgiver, stillesiddende arbejde. Ønsker mere glæde og har haft svingende vægt i 4 år. Har en kæreste der støtter hende i at få det bedre med sig selv. Lændesmerter. Ønsker hjemmetræningsprogram. Vægttab på 4 kg. Ønsker mere overskud. Hjælp til kostsammensætning. Har haft kost-coach grundet overspising for 2,5 år siden + træningscoach. Ikke pleg for at investere i sig selv. Synes 9000 kr. lød super fair. </t>
  </si>
  <si>
    <t>28.08.25</t>
  </si>
  <si>
    <t>Pernille Mikkelsen</t>
  </si>
  <si>
    <t>28 58 80 27</t>
  </si>
  <si>
    <t>pernillebmikkelsen@hotmail.com</t>
  </si>
  <si>
    <t>Gravid - ønsker at forlænge løbende</t>
  </si>
  <si>
    <t>https://slack-files.com/T08TMAAKCCU-F09C23ELAQ7-595e4071a1</t>
  </si>
  <si>
    <t xml:space="preserve">Pernille har brug for hjælp til at ændre sit mindset. Hun er meget negativ og brokker sig meget. Har intet overskud til sine børn og mand - kan hverken give eller modtage. (Sygeplejerske - sygemeldt som gravid i 4,5 måned) Har et lavt selvværd og mangler troen på sig selv og sin egen værdi. Vil gerne være den bedste mor hun kan være. </t>
  </si>
  <si>
    <t>Rebecca Secher</t>
  </si>
  <si>
    <t>53 35 62 61</t>
  </si>
  <si>
    <t>rsecher@gmail.com</t>
  </si>
  <si>
    <t>Bange for ikke at lykkes med resultater</t>
  </si>
  <si>
    <t>5 måneder (3 måneders binding)</t>
  </si>
  <si>
    <t>https://slack-files.com/T08TMAAKCCU-F09CHHXF19U-22f450545a</t>
  </si>
  <si>
    <t xml:space="preserve">Dagligt oppustet. Vil gerne have hjælp til træning. Strammes op. Vægttab på 3 kg. Utilfreds med krop og mave. Tøj.Arbejder ved SAS og har en travl hverdag. Kæreste fylder meget grundet psyiske udfordringer. Hun har svært ved at prioritere sig selv, men ønsker nu at ændre på det. Svært at tage næste skridt -frygt </t>
  </si>
  <si>
    <t>Melanie Martinussen</t>
  </si>
  <si>
    <t>61 91 51 43</t>
  </si>
  <si>
    <t>melaniemartinussen93@gmail.com</t>
  </si>
  <si>
    <t>Ønsker graviditet + økonomi</t>
  </si>
  <si>
    <t>https://slack-files.com/T08TMAAKCCU-F09C2SC0ZM5-283af0c01b</t>
  </si>
  <si>
    <t>Glutenallergi - spisemønster og madro. Utilpas i krop. Mangler energi og overskud. Advokat med mange arbejdstimer. Vægttab - hofter+mave. Mere balance. Let træning - lidt betænkelig ved træning i forhold til tid og overskud. Har stået på i mange år!</t>
  </si>
  <si>
    <t>Vincens:</t>
  </si>
  <si>
    <t>29.08.25</t>
  </si>
  <si>
    <t>22 32 84 20</t>
  </si>
  <si>
    <t>emmajc2004@icloud.com</t>
  </si>
  <si>
    <t>Forældre</t>
  </si>
  <si>
    <t>Sille Byrgesen</t>
  </si>
  <si>
    <t>28 89 64 17</t>
  </si>
  <si>
    <t>sillebyrgesen7@gmail.com</t>
  </si>
  <si>
    <t>Forældre - er i forløb i forvejen</t>
  </si>
  <si>
    <t>https://slack-files.com/T08TMAAKCCU-F09CNS6CGDC-cfc8cef8a8</t>
  </si>
  <si>
    <t xml:space="preserve"> </t>
  </si>
  <si>
    <t>Anton KPI's</t>
  </si>
  <si>
    <t>Rev per call</t>
  </si>
  <si>
    <t>Cash per call</t>
  </si>
  <si>
    <t>Cash upfront %</t>
  </si>
  <si>
    <t>PIF %</t>
  </si>
  <si>
    <t>Average Binding</t>
  </si>
  <si>
    <t>Average deal</t>
  </si>
  <si>
    <t>Average cash</t>
  </si>
  <si>
    <t>Ig name</t>
  </si>
  <si>
    <t>02.09.25 R</t>
  </si>
  <si>
    <t>Emma Neuhausen</t>
  </si>
  <si>
    <t>20 98 36 97</t>
  </si>
  <si>
    <t>https://slack-files.com/T08TMAAKCCU-F09D72BA7GC-6c1b103813</t>
  </si>
  <si>
    <t xml:space="preserve">Emma har vejet 131 kg i 2022. Gik i forløb hos Türker. Har sat et mål om at stå på scenen i bikinifitness. Ønsker et vægttab på ca. 13. kg. Mere madro. Mere tonet. Mere røv. Smidig og styrke. Tilladelse til kald senere i forløb. </t>
  </si>
  <si>
    <t>02.09.25</t>
  </si>
  <si>
    <t>Rebekka Mikkelsen</t>
  </si>
  <si>
    <t>30 14 01 21</t>
  </si>
  <si>
    <t>https://slack-files.com/T08TMAAKCCU-F09CYM6DLSX-5c296e81ff</t>
  </si>
  <si>
    <t xml:space="preserve">Tabe 4 kg. Strammet op. Af og til oppustet. Ønsker rytme i kostvaner og træningsrutine der giver hende det sidste. Har været været ved coach før for 1,5 år siden men var ikke tilfreds med forløb. Mangler håndgribelige redskaber og struktur. </t>
  </si>
  <si>
    <t>Emilie Liccardi</t>
  </si>
  <si>
    <t>61 60 50 62</t>
  </si>
  <si>
    <t>https://slack-files.com/T08TMAAKCCU-F09D8MCR6FN-1700994994</t>
  </si>
  <si>
    <t>Har aldrig haft styr på kosten - har et anstrengt forhold til mad. Kan bedst lide flydende mad og straffer sig selv mentalt når hun spiser på forkerte tidspunkter. Snakkede ind i madro og at genfinde glæden ved mad igen. Har social-angst - går kun ture alene om aftenen når der ikke er mennesker. Mener det hænger sammen med hendes selvværd og udseende. NU skal det være slut. Hun vil have en sund krop og gode vaner for sig selv og hendes søn. Tilladelse til kald senere i forløb.</t>
  </si>
  <si>
    <t>03.09.25</t>
  </si>
  <si>
    <t>Isabella Fyrst</t>
  </si>
  <si>
    <t>28 76 18 76</t>
  </si>
  <si>
    <t>Flexjob</t>
  </si>
  <si>
    <t>https://slack-files.com/T08TMAAKCCU-F09DBFWRNMC-984f069ab0</t>
  </si>
  <si>
    <t xml:space="preserve">Vægttab på 6 kg. Strammet op lår og mave. Elsker at løbe. Måske hjælp til træningcentret. Har forsøgt at melde sig ind masser af gange men mister motivationen fordi hun ikke ser resultater. Har særligt brug for hjælp til kost hendes mand også kan lide. Mangler redskaber, vejledning og mere energi. God til at udsætte, men ønsker at handle på det. </t>
  </si>
  <si>
    <t xml:space="preserve">Kübra Øzkaya  </t>
  </si>
  <si>
    <t>60 18 83 12</t>
  </si>
  <si>
    <t>kubraozkaya@hotmail.com</t>
  </si>
  <si>
    <t>Måske til januar</t>
  </si>
  <si>
    <t>https://slack-files.com/T08TMAAKCCU-F09D6KSH4CB-1d60e09bc3</t>
  </si>
  <si>
    <t xml:space="preserve">Træning: Teknik, vejledning og inspiration. Kostbalance: protein og næring. Har aldrig rigtig fundet rytmen og balancen i kosten. Ønsker et vægttab på 5 kg. fedt og mere muskelmasse. Bange for at tage på. Lider af overspisning - mængder! Mangler energi, slår sig selv i hovedet, mangler redskaber. Utilfreds med krop - tilbage på rette spor. Mere madro og mindset. Mæthed. </t>
  </si>
  <si>
    <t>05.09.25 R</t>
  </si>
  <si>
    <t>Camilla Rosendal</t>
  </si>
  <si>
    <t>23 35 82 84</t>
  </si>
  <si>
    <t>camillasurma@gmail.com</t>
  </si>
  <si>
    <t>https://slack-files.com/T08TMAAKCCU-F09DPUFUYRY-5ce1c17bac</t>
  </si>
  <si>
    <t xml:space="preserve">Mindset og mental sundhed er vigtigst for hende. Hun vejer over 100 kg. og har altid fået af vide fra sin mor at hun var for stor (første gang da hun var 14). Føler sig ikke tilpas i sin krop. Blodpropper i familien. Oppustet. Vægttab på 20 kg. +. Angst, tankemylder, uro i kroppen (strikker for at holde sig rolig). Sammenhængen mellem mindset og kost. Ønsker en holdbar livsstilsændring. </t>
  </si>
  <si>
    <t>05.09.25</t>
  </si>
  <si>
    <t>Winnie Albers</t>
  </si>
  <si>
    <t>28 72 32 70</t>
  </si>
  <si>
    <t>winniealbers@hotmail.com</t>
  </si>
  <si>
    <t>Penge, følg op i okt</t>
  </si>
  <si>
    <t>https://slack-files.com/T08TMAAKCCU-F09DUJ11ZRS-9df8b3080a</t>
  </si>
  <si>
    <t xml:space="preserve">Har prøvet længe at nå helt i mål med den krop hun ønsker sig. Kæmper stadig med kost og personlig træner i fitnesscentret, men ser ikke de resultater hun ønsker sig. Hun vil gerne være et forbillede for sine 3 børn og føle sig godt tilpas med det hun ser i spejlet. Delte mavemuskler, tonet. </t>
  </si>
  <si>
    <t>06.09.25</t>
  </si>
  <si>
    <t>Laura Jensen</t>
  </si>
  <si>
    <t>21 69 69 28</t>
  </si>
  <si>
    <t>laurajen02@icloud.com</t>
  </si>
  <si>
    <t>https://slack-files.com/T08TMAAKCCU-F09ENKFAFG8-9e090499a5</t>
  </si>
  <si>
    <t xml:space="preserve">Har prøvet flere gange, men kan ikke nå i mål med de resultater hun ønsker sig. Har svært ved at sammensætte kosten så hun både bygger muskel og taber fedt. Mangler energi og overskud i hverdagen. Svært ved at finde rytmen i sine vaner så de holder. Realistiske vaner og struktur hun kan holde. </t>
  </si>
  <si>
    <t>09.09.25</t>
  </si>
  <si>
    <t>Louise Segerlund</t>
  </si>
  <si>
    <t>21 71 95 72</t>
  </si>
  <si>
    <t>louisesegerlund@newmail.dk</t>
  </si>
  <si>
    <t>Følte hun havde styr på det</t>
  </si>
  <si>
    <t>https://slack-files.com/T08TMAAKCCU-F09EPV1JQ0H-be24db5f72</t>
  </si>
  <si>
    <t xml:space="preserve">Havde ikke rigtig brug for hjælp men synes det lød spændende. </t>
  </si>
  <si>
    <t>Wiktoria Malmvig</t>
  </si>
  <si>
    <t>60 83 30 35</t>
  </si>
  <si>
    <t>wikmdm@hotmail.com</t>
  </si>
  <si>
    <t>Bange for hvad partner ville sige</t>
  </si>
  <si>
    <t>5 (Satte forløb på pause d. 21. okt. grundet graviditet)</t>
  </si>
  <si>
    <t>https://slack-files.com/T08TMAAKCCU-F09EAQYHP9C-343185256b</t>
  </si>
  <si>
    <t xml:space="preserve">Vægttab 10 kg. Føler sig ikke tilpas og glad for sin krop. Mangler energi og dunker ofte sig selv i hovedet over hvorfor hun ikke bare kan få styr på det. Tænker konstant over hvordan andre ser hende og spejler sig i andre. PCOS. Nu er det nok! Skiftende arbejdstider som sygeplejerske. Datter på 2,5 år. </t>
  </si>
  <si>
    <t>Jasmin Sahanli</t>
  </si>
  <si>
    <t>27 51 30 93</t>
  </si>
  <si>
    <t>jasminsahanli@hotmail.com</t>
  </si>
  <si>
    <t>Ønsker at starte senere. Kald slut okt.</t>
  </si>
  <si>
    <t>https://slack-files.com/T08TMAAKCCU-F09EPVCUCJV-0d294b5581</t>
  </si>
  <si>
    <t xml:space="preserve">Vægttab 21 kg. Ønsker en rund bagdel. Har forsøgt i 6 år. VIl gerne løbe og have hjælp til hjemmetræning. Oplever ofte cravings og vil gerne have inspiration til kosten. Har været i en periode hvor hun mistede sig selv helt, og vil nu gerne genfinde sig selv og langt om længe se sig i spejlet og føle sig tilpas og glad for det hun ser. Søvn er dårlig grundet datter. Viden om sunde vaner. Selvværd og bedste version af sig selv.Har haft svær periode i parforhold grundet dette. </t>
  </si>
  <si>
    <t>Nicoline</t>
  </si>
  <si>
    <t>21 26 42 53</t>
  </si>
  <si>
    <t>nicolinegrp@gmail.com</t>
  </si>
  <si>
    <t>Fint styr på det, men mere brug for hjælp end forventet</t>
  </si>
  <si>
    <t>https://slack-files.com/T08TMAAKCCU-F09EAP690R0-ef6b438e51</t>
  </si>
  <si>
    <t xml:space="preserve">Nicoline fandt ud af hun havde mere brug for hjælp end forventet gennem samtalen. Hun er ked af sine arme og vil gerne have strammet op. Frygt for at tage på igen. Har dårlig søvn fordi hun spiser snacks lige før sengetid. Mangler energi, vil gerne være gladere. Hendes forhold til træning og mad handler meget om hvordan hun ser ud! Hun vil gerne have vendt sit mindset til ikke at fokusere så meget på udseende, men mere på hvordan det føles. </t>
  </si>
  <si>
    <t>Emilie Lasborg</t>
  </si>
  <si>
    <t>24 21 53 07</t>
  </si>
  <si>
    <t>emilielasborg1@live.dk</t>
  </si>
  <si>
    <t>https://slack-files.com/T08TMAAKCCU-F09EEP9HWMA-0429f422df</t>
  </si>
  <si>
    <t>Var i forløb i 2021 men måtte afbryde grundet corona-lunger. Selvbillede, føler sig ikke tiltrækkende over for sin kæreste. Ønsker hjemmetræning til en start. Måske en træning i center på sigt. Er meget træt til hverdag. Har et meget nedladende syn på sig selv. Dårlige tanker fylder enormt meget. Tager ansvaret på sig - sin egen forandring Ikke lægge over på familiemedlemmer og har brug for coach for at have sin egen proces. Kæreste træner ofte. Ændre adfærd</t>
  </si>
  <si>
    <t>10.09.25</t>
  </si>
  <si>
    <t>Line Klint</t>
  </si>
  <si>
    <t>42 83 85 32</t>
  </si>
  <si>
    <t>linethklint@gmail.com</t>
  </si>
  <si>
    <t>Lagde på ved betaling</t>
  </si>
  <si>
    <t>https://slack-files.com/T08TMAAKCCU-F09E1V5LDGF-c3e7b43242</t>
  </si>
  <si>
    <t>Vejer 100 kg. Vægttab på 20 kg. Vil gerne i fertilitetbehandling, men vejer for meget så det er sat på pause. Sidder fast - har gjort siden januar. Sygemeldt med ryg fra hjemmeplejen. Hjælp til at finde ud af hvad der er galt og hvorfor hun ikke taber sig. Siger selv hun lever af skyr og faster hver dag....</t>
  </si>
  <si>
    <t>24 40 21 72</t>
  </si>
  <si>
    <t>a.mikkelsen2000@gmail.com</t>
  </si>
  <si>
    <t>Afklaring med behandler. Opfølgning 1. okt + følger op igen i marts</t>
  </si>
  <si>
    <t>https://slack-files.com/T08TMAAKCCU-F09EE833ME1-6c68176dfc</t>
  </si>
  <si>
    <t xml:space="preserve">Har vaccineinduceret myalgisk encephalomyelitis som gør hende kronisk træt og har inflamation i kroppen og hjernen. Har brug for meget fleksibilitet i forhold til sin sygdom. 5%bliver raske. Vil gerne være mere selvstændig/selvhjulpen (bro hus forældre) i forhold til kost - nemt og overskuelig mad. Ønsker ikke træningsprogram, men mere kigge ind i hvad der er muligt af let bevægelse de dage hun kan. </t>
  </si>
  <si>
    <t>Freja Lohmann</t>
  </si>
  <si>
    <t>freja.my@lohmannstrobel.dk</t>
  </si>
  <si>
    <t>Nervøs for om det er scam</t>
  </si>
  <si>
    <t>https://slack-files.com/T08TMAAKCCU-F09EJGRHM1C-46f6386ee3</t>
  </si>
  <si>
    <t xml:space="preserve">Vægttab på 10 kg. Gammel håndboldspiller. Snacker mega meget, overspiser, store portioner, søde sager. Svært ved at mærke efter. Stået på i 5 år. Tøj, usikker, stille. Mangler redskaber og har motivationen. Er lost når det kommer til træning og hvad der virker/hvordan man gør. Har medlemsskbet. </t>
  </si>
  <si>
    <t>11.09.25</t>
  </si>
  <si>
    <t>Sofie Sabina Kock</t>
  </si>
  <si>
    <t>50 41 08 09</t>
  </si>
  <si>
    <t>sofiesabina@gmail.com</t>
  </si>
  <si>
    <t>https://slack-files.com/T08TMAAKCCU-F09EPRDR8TU-7d9657e17f</t>
  </si>
  <si>
    <t>Sofie kan ikke tage på (vejer 43 kg. og vil gerne tage 8 kg. på) Hun føler hun spise meget, og har været på et hav af fedekure. Hun kan godt lide mad, men føler mad bliver en uoverskuelig opgave fordi hun mangler inspiration og ikke ved hvordan hun skal sammensætte den. Ønsker hjælp til hjemmetræningsprogram. Bor med sin kæreste som gerne vil tabe sig og "være med" i de nye madvaner. Hun har altid fået mange kommentarer på sit udseende og med alderen er hun blevet mere ligeglad men det påvirker hendes selvsikkerhed. Ønsker at komme igang med løb. INGEN proteinpulver.</t>
  </si>
  <si>
    <t>Larua Berthelsen</t>
  </si>
  <si>
    <t>42 60 00 98</t>
  </si>
  <si>
    <t>Frygt, penge, tvivl  - starter til psykolog næste uge. Opfølgning slut oktober</t>
  </si>
  <si>
    <t>https://slack-files.com/T08TMAAKCCU-F09ENE2N8TV-90ae986409</t>
  </si>
  <si>
    <t xml:space="preserve">Træning og kost fylder alt for meget. Kan ikke sidde stille for dårlig samvittighed. Ønsker mere mental ro omkring sine vaner. Svært ved at bede om hjælp. Er bange for det ender med en spiseforstyrrelse hvis det fortsætter meget længere. Påvirker hendes venskaber - blevet introvært. Føler sig oppustet konstant - har været ved lægen, men ingen hjælp at hente. </t>
  </si>
  <si>
    <t>13.09.25</t>
  </si>
  <si>
    <t>Freja Abrahamsen</t>
  </si>
  <si>
    <t>26 17 94 00</t>
  </si>
  <si>
    <t>mille-3000@hotmail.com</t>
  </si>
  <si>
    <t>Ikke vendt tilbage på aftale</t>
  </si>
  <si>
    <t>https://slack-files.com/T08TMAAKCCU-F09G30UQVHN-e3cdcb48a3</t>
  </si>
  <si>
    <t>Forsvandt og meldte ikke tilbage. Ellers meget varm på kaldet og ville bare igang! Har tabt 11 kg selv men vægten har stået stille 2 måneder. Stress og søvn. Tidligere elitefodboldspiller. Knæoperation for 2,5 måneder siden. Ønsker at tabe 10 kg. mere. Balance i kosten + træningen  - vil gerne resette det hele og finde ud af hvad der fungerer godt for hendes krop det sted hun er nu. Mere balance i rutiner. Muskelmasse. Har haft yoyo-vægt hele sit liv - har ikke knækket koden. Mere ro på, mere selvtillid, sundhedsperspektiv, mindset. Siger hun er stædig.</t>
  </si>
  <si>
    <t>Stine Vondran</t>
  </si>
  <si>
    <t>61 72 18 19</t>
  </si>
  <si>
    <t>stine.v.kristensen@live.dk</t>
  </si>
  <si>
    <t>https://slack-files.com/T08TMAAKCCU-F09FEQ0TWJY-f3c7cf90b3</t>
  </si>
  <si>
    <t>Stine vil gerne være mere tonet - vægttab på 5 kg. styrketræner 3 gange i ugen + løb. Er i tvivl om kosten og kunne godt tænke sig at sætte nogle klare mål for sig selv. Døjer meget med oppustethed. Glæder, tilpas i krop, energi, sundhedsaspekt - mangler vejledning og redskaber. har haft en spiseforstyrrelse for 5 år siden og ønsker nu at finde balancen. holdbare vaner der kan blive til livsstil</t>
  </si>
  <si>
    <t>15.09.25</t>
  </si>
  <si>
    <t>Maria Bejerholm</t>
  </si>
  <si>
    <t>60 21 56 48</t>
  </si>
  <si>
    <t>maria.bejerholm2602@gmail.com</t>
  </si>
  <si>
    <t>https://slack-files.com/T08TMAAKCCU-F09FQ797W9X-f99cfb8803</t>
  </si>
  <si>
    <t xml:space="preserve">Kører i spiral og har prøvet at få styr på både kostvaner og motivation for træning længe. Hun ønsker at få støtte til at lægge en plan så hun kan finde rytmen i hendes holdtræning, og få helt styr på kosten - særligt mængder er svære for hende. Struktur, ugeplaner, motivation, 20 kg. vægttab. Går 4 år tilbage. Vil gerne være mere glad og tilpas i sin krop - livsglæder, udstråling! </t>
  </si>
  <si>
    <t>Josephine Holst</t>
  </si>
  <si>
    <t>50 40 11 64</t>
  </si>
  <si>
    <t>josseholst95@gmail.com</t>
  </si>
  <si>
    <t>SU +  partner + tænke over det</t>
  </si>
  <si>
    <t>https://slack-files.com/T08TMAAKCCU-F09F6F9U259-7b0bc3d1b0</t>
  </si>
  <si>
    <t>Vendte aldrig tilbage på follow up. Josephine er meget aktiv: badminthon, styrketræner, reformer har altid trænet meget og været elite badminthonspiller. 24 år. Ønsker sig inspiration og balance i kosten - hvordan kan hun sammensætte maden så de fungerer for hende (har været i mange forløb før, hvor hun synes det var dårligt sammensat mad som virkede urealistsike og upersonlige). Krop har ændret sig - vil gerne føle sig godt tilpas med det hun ser i spejlet. Mere sund og stærk. Har aldrig rigtig fået knækket koden. Vil gerne finde balancen så hun kan performe bedre.</t>
  </si>
  <si>
    <t>16.09.25</t>
  </si>
  <si>
    <t>Isabella Pallisgaard</t>
  </si>
  <si>
    <t>53 21 26 62</t>
  </si>
  <si>
    <t>isabellapallisgaard@hotmail.com</t>
  </si>
  <si>
    <t xml:space="preserve">SU </t>
  </si>
  <si>
    <t>https://slack-files.com/T08TMAAKCCU-F09FM9KF39S-e37e4565e5</t>
  </si>
  <si>
    <t xml:space="preserve">Døjer med overspisninger og underspisninger. Kan ikke finde balacen i kosten så hun føler sig mæt. Vil gerne tabe sig 10 kg. Hjemmetræning, løb. Kost: næring, mængder, rytme - mere madro. Kost fylder enormt meget i hendes bevidsthed hver dag. Alt eller intet mentalitet. </t>
  </si>
  <si>
    <t>Caroline Kristiansen</t>
  </si>
  <si>
    <t>30 14 58 34</t>
  </si>
  <si>
    <t>caroline.kristiansen15@gmail.com</t>
  </si>
  <si>
    <t xml:space="preserve">Opfølgning d. 16. okt. Bange for at bryde med gammelt mønster. </t>
  </si>
  <si>
    <t>https://slack-files.com/T08TMAAKCCU-F09FKU35L68-d9196e3997</t>
  </si>
  <si>
    <t xml:space="preserve">Træning - form,muskelmasse. Fedttab: 5-10 kg. Hjemmetræning, løb. Ønsker hjælp til at motivere til at holde fast i træningen. Landmand. Spiser meget lidt nogle dage for at "straffe" sig selv fordi hun føler sig utilpas og for stor. Havde en spiseforstyrrelse i 7 klasse hvor hun stoppede med at spise. Sidder stadig i hende. Føler sig konstant træt hvilket har inflydelse på hendes overskud og sociale liv. </t>
  </si>
  <si>
    <t>17.09.25</t>
  </si>
  <si>
    <t>Calina Jensen</t>
  </si>
  <si>
    <t>50 57 07 02</t>
  </si>
  <si>
    <t>calina.jensen@outlook.com</t>
  </si>
  <si>
    <t>Har lavet follow up. SU + Value - har opsparing. FU om en måned</t>
  </si>
  <si>
    <t>https://slack-files.com/T08TMAAKCCU-F09FT4G9P5J-40da8faef2</t>
  </si>
  <si>
    <t xml:space="preserve">Hælspore/betændelse i svangsenen: træning med forbehold. Har været i forløb hos Türker for 1,5 år siden. Nåede i mål, men ikke holdbare resultater. Nævnte mindset mindst 30 gange på kaldet! Vigtigt for hende da hun føler det er den holdbare løsning for hende. Vaner og gode valg. Vægttab på 10-12 kg. Meget aktiv person. Har meget sukkertrang og ønsker inspiration til whole foods, bedre mad og mere inspiration - forhold til kost skal forbedres. Kropsbevidsthed - firbindelse til mæthed. Ser ikke resultater selv om hun er aktiv. Føler sig ikke tilpas i sin krop. Føler op om en måned og ser hvor hun er. </t>
  </si>
  <si>
    <t>Cecilia Åstrand</t>
  </si>
  <si>
    <t>30 86 10 05</t>
  </si>
  <si>
    <t>ceciliaaastrand@gmail.com</t>
  </si>
  <si>
    <t>https://slack-files.com/T08TMAAKCCU-F09FL1XKYMT-14eac54cb8</t>
  </si>
  <si>
    <t xml:space="preserve">Prøvet forløb før for et år siden. Vægttab 8 kg. Kost: inspiration, ikke tælle og veje, glæde ved maden - det skal være nemt, og ikke tage for lang tid. Sidder på udvekling i Rom og har en veninde der træner meget - træner med hende men vil gerne have et skræddersyet program til fitnesscentret. Måske hjælp til løb. Sidder fast i en spiral og har ikke fundet ud af hvad der fungerer godt for hende endnu. Banker sig selv i hovedet over det ikke fungerer for hende og at hun ikke kan selv. Mere ro og glæde og færre bekymringer. Ubalance i kosten går 3 år tilbage. Har prøvet Keto, apps og meget andet. Ønsker at finde sin egen vej. </t>
  </si>
  <si>
    <t>Sofie Rohde</t>
  </si>
  <si>
    <t>52 58 13 09</t>
  </si>
  <si>
    <t>sofierohdedanielsen@gmail.com</t>
  </si>
  <si>
    <t>Penge, logistik, tankemylder, fear</t>
  </si>
  <si>
    <t>https://slack-files.com/T08TMAAKCCU-F09G2T36917-787353a527</t>
  </si>
  <si>
    <t xml:space="preserve">Follow op på mandag. Mangler mest af alt struktur over sin kost og træning - passe ind i hendes travle hverdag med to jobs. Vigtigt for hende at have en sund krop og få styr på de gode vaner før hun flytter hjemmefra. Har stået på i 4 år. Koble mindset og kost - har tendens til oppustethed og svært ved at styre sin trang med arbejde i en isbutik. Fedttab på 7 kg. Har meget tankemylder omkring hvordan hun kan løse det og finde gode vaner så hun kan føle sig godt tilpas i krop. Vejledning og hvordan hun får sig selv afsted, selv på de svære dage hvor motivationen er lav. Langt kald! Ville gerne </t>
  </si>
  <si>
    <t>Emilie Bjerre</t>
  </si>
  <si>
    <t>40 98 06 69</t>
  </si>
  <si>
    <t>ebnulstrup00@gmail.com</t>
  </si>
  <si>
    <t>(Pause fra forløb start nov grundet økonomi - ønsker at vende tilbage)</t>
  </si>
  <si>
    <t>https://slack-files.com/T08TMAAKCCU-F09FKN03NTD-817f667f76</t>
  </si>
  <si>
    <t xml:space="preserve">Emilie har for 4 år siden mistet sin bedste veninde (venindes far myrede hele familien) og hendes bedstefar døde. Hun er lige nu sygemeldt fra sit arbejde som pædagog pga. psykisk pres fra en kollega, uden hendes leders opbakning. Emilie har ikke passet godt på sig selv de sidste 4 år. Har overspist og snacker sig igennem hele dagen (har tabt 14 kg. selv) ønsker et vægttab på 15 kg. Gider ikke i fitnesscenter men måske på sigt når hun bliver tryg da hendes svigermor gerne vil have hende med. Vil gerne have en mindre numse og flad mave. Elsker at lave mad. Har en kjole i skabet hun købte for 5 år siden som hun gerne vil ned i. Vi har aftalt jeg ringer til hende om nogle måneder for at høre hvor tæt vi er på målet. </t>
  </si>
  <si>
    <t>18.09.25</t>
  </si>
  <si>
    <t>Frederikke Aagaard</t>
  </si>
  <si>
    <t>20 26 26 10</t>
  </si>
  <si>
    <t>freder1002@hotmail.com</t>
  </si>
  <si>
    <t>Og value (har været i flere forløb)</t>
  </si>
  <si>
    <t>https://slack-files.com/T08TMAAKCCU-F09FGJHP0DD-f9873ff3e8</t>
  </si>
  <si>
    <t xml:space="preserve">Har været i vægttabsforløb (3 år siden) + coachingforløb omkring mindset og kost (6 måneder siden). Har et anstrengt forhold til mad. Over- og underspiser. Hyperfokuseret på mad. Bange for fedt. Ønsker at finde madro da det fylder meget mentalt. Har en mor der har lidt af spiseforstyrrelse. Ønsker et godt forhold til sin krop. Er bange for at "falde tilbage" til gamle krop hvor hun tager på grundet overspisning. Sidder fast men tror på hun selv kan komme i mål. Var i tvivl om forløbet da hun har investeret mange penge i det førhen uden det har hjulpet, og har fået mange redskaber som hun tror hun kan bruge fremadrettet. </t>
  </si>
  <si>
    <t>Katrine Larsen</t>
  </si>
  <si>
    <t>21 30 03 89</t>
  </si>
  <si>
    <t>katrinelarsen22@gmail.com</t>
  </si>
  <si>
    <t>https://slack-files.com/T08TMAAKCCU-F09FV01QF9B-2237f9ae57</t>
  </si>
  <si>
    <t xml:space="preserve">Vejer over 100 kg. Vil gerne ned på 77 kg. igen. Har prøvet fitness, svømning og ændring af kostvaner, men kan ikke nå i mål og bryde dårlige vaner. Spiser mange burgere og store mængder mad. Hun føler sig træt på daglig basis og vægten går ud over hendes selvværd. Vil gerne både have hjemmetræningsprogram + træningscenter. Har været på sygehuset og få taget prøver som viser dårlige resultater! Livsnødvendig forandring. Vægtøgning har stået på i 7 år. Vil gerne i bikini og kjole igen. Har en drøm om engang at blive fotomodel. </t>
  </si>
  <si>
    <t>Victoria Dommer</t>
  </si>
  <si>
    <t>42 22 58 56</t>
  </si>
  <si>
    <t>viktoriadommer1@gmail.com</t>
  </si>
  <si>
    <t>Vi snakkede økonomi og madbudget</t>
  </si>
  <si>
    <t>https://slack-files.com/T08TMAAKCCU-F09GQHBFTH6-aa116b4e7a</t>
  </si>
  <si>
    <t xml:space="preserve">Gammel eliteatlet. Ønsker struktur og hjemmetrænignsprogram hun kan følge for at bygge muskelmasse og blive stærkere. Går på CBS og sidder meget ned. Savner sin gamle stærke krop. Overvejede hjælp til kost da hendes mor er kostvejleder, men endte med at synes det gav mening at kigge på det hele billede - finde balance i kosten og træningen så hun kan bygge styrke. Mad hopper hun ofte over. Det skal være nemt, billigt og ikke tage lang tid! Mere næring og protein.  Vigtigt for hende at være sund og stærk. Har smerter i ryggen - tænker træning kan hjælpe, men hver gang hun selv har trænet har det givet smerter. </t>
  </si>
  <si>
    <t>22.09.25</t>
  </si>
  <si>
    <t>Petra Sigvør</t>
  </si>
  <si>
    <t>22 86 76 36</t>
  </si>
  <si>
    <t>petrahoydal@outlook.dk</t>
  </si>
  <si>
    <t>https://slack-files.com/T08TMAAKCCU-F09GWNHDRFB-99167e4506</t>
  </si>
  <si>
    <t xml:space="preserve">Elite-fodboldspiller, bor i Italien. Lige færdiggjort gym og er nu klar til at give den fuld gas. Har brug for hjælp til at finde struktur og rytme i sin spisning. Hopper ofte over måltider fordi hun ikke ved hvad hun skal lave. Det skal være simpelt så hun holder fast i det. Hun føler ikke hun kan bygge muskelmasse i forhold til hendes andre holdkammerter. Hun føler det står stille og har gjort det noget tid nu. Hun føler hun er inde i en dårlig spiral og får ofte dårlig samvittighed over ikke at spise det hendes krop har behov for. Struktur, energi, performe maksimalt, muskelopbygning. </t>
  </si>
  <si>
    <t>Janni Lykke</t>
  </si>
  <si>
    <t>60 57 82 82</t>
  </si>
  <si>
    <t>jannilykkestenderup@gmail.com</t>
  </si>
  <si>
    <t xml:space="preserve">Forældre, </t>
  </si>
  <si>
    <t>https://slack-files.com/T08TMAAKCCU-F09GHT3JP54-8e6dd8addd</t>
  </si>
  <si>
    <t xml:space="preserve">Spiseforstyrrelse: Overspisning. Har været ved lægen, men kunne ikke få hjælp. Overvejer også psykolog men kan se fordelen ved at få Olivias hjælp på daglig basis. Har tabt sig og taget på mange gange. Det fylder hele Jannis liv og bevidsthed at have fokus på mad og føler sig meget hæmmet af det. Har meget andet hun ønsker at bruge energi på (spiller musik, ønsker at være model og influencer). Hun sidder fast og kan ikke se sig ud af det på egen hånd. Føler hun spilder sit liv. </t>
  </si>
  <si>
    <t>Isabella</t>
  </si>
  <si>
    <t>fyrstenborg79@icloud.com</t>
  </si>
  <si>
    <t>Cancelled</t>
  </si>
  <si>
    <t>Chikondi</t>
  </si>
  <si>
    <t>29 92 55 30</t>
  </si>
  <si>
    <t>Caroline</t>
  </si>
  <si>
    <t>20 70 96 13</t>
  </si>
  <si>
    <t>Kathrine</t>
  </si>
  <si>
    <t>22 66 46 84</t>
  </si>
  <si>
    <t>Maria</t>
  </si>
  <si>
    <t>31 56 81 03</t>
  </si>
  <si>
    <t>08.09.25</t>
  </si>
  <si>
    <t>Eliana Seferides</t>
  </si>
  <si>
    <t>71 54 05 58</t>
  </si>
  <si>
    <t>Therese</t>
  </si>
  <si>
    <t>93 93 26 44</t>
  </si>
  <si>
    <t>30 20 49 35</t>
  </si>
  <si>
    <t>nikki-emira@hotmail.com</t>
  </si>
  <si>
    <t>Camilla Kold</t>
  </si>
  <si>
    <t>28 86 98 93</t>
  </si>
  <si>
    <t>camilla.kold@hotmail.com</t>
  </si>
  <si>
    <t>Sara Petersen</t>
  </si>
  <si>
    <t>52 99 35 45</t>
  </si>
  <si>
    <t>sarapetersen917@gmail.com</t>
  </si>
  <si>
    <t>Annika</t>
  </si>
  <si>
    <t>22 19 11 25</t>
  </si>
  <si>
    <t>annikahs4131@gmail.com</t>
  </si>
  <si>
    <t>12.09.25</t>
  </si>
  <si>
    <t>Maria Lindebro</t>
  </si>
  <si>
    <t>26 70 10 77</t>
  </si>
  <si>
    <t>frk.lindebro@gmail.com</t>
  </si>
  <si>
    <t>Stine Vorndran Kristensen</t>
  </si>
  <si>
    <t>Caroline Steenfeldt</t>
  </si>
  <si>
    <t>42 20 52 46</t>
  </si>
  <si>
    <t>steenfeldtcaroline@gmail.com</t>
  </si>
  <si>
    <t>Josefine Holst</t>
  </si>
  <si>
    <t>Huda</t>
  </si>
  <si>
    <t>28 44 74 20</t>
  </si>
  <si>
    <t>Maria Andersen</t>
  </si>
  <si>
    <t>31 58 51 05</t>
  </si>
  <si>
    <t>maria.andersen96@hotmail.com</t>
  </si>
  <si>
    <t>19.09.25</t>
  </si>
  <si>
    <t>52 30 25 02</t>
  </si>
  <si>
    <t>pilegaardisabella@gmail.com</t>
  </si>
  <si>
    <t>Clara</t>
  </si>
  <si>
    <t>53 62 06 36</t>
  </si>
  <si>
    <t>claraporsdal@hotmail.com</t>
  </si>
  <si>
    <t>20.09.25</t>
  </si>
  <si>
    <t>Michala Koesgaard</t>
  </si>
  <si>
    <t>31 39 24 60</t>
  </si>
  <si>
    <t>michalakoesgaard@yahoo.dk</t>
  </si>
  <si>
    <t>21.09.25</t>
  </si>
  <si>
    <t>Liva Foresberg</t>
  </si>
  <si>
    <t>60 52 08 66</t>
  </si>
  <si>
    <t>livaforsberg2012@gmail.com</t>
  </si>
  <si>
    <t xml:space="preserve">Katrine Cecilie </t>
  </si>
  <si>
    <t>81 61 76 86</t>
  </si>
  <si>
    <t>sindahl0512@live.dk</t>
  </si>
  <si>
    <t>Shima Riesvand</t>
  </si>
  <si>
    <t>51 92 03 52</t>
  </si>
  <si>
    <t>shimariesvand@outlook.dk</t>
  </si>
  <si>
    <t>23.09.25</t>
  </si>
  <si>
    <t>Julie Dyhrenberg</t>
  </si>
  <si>
    <t>juliedyhrberg123@gmail.com</t>
  </si>
  <si>
    <t>24.09.25</t>
  </si>
  <si>
    <t>Camilla Rosenbjerg</t>
  </si>
  <si>
    <t>21 60 58 59</t>
  </si>
  <si>
    <t>camillakobberholm@icloud.com</t>
  </si>
  <si>
    <t>Amalie Elnegaard</t>
  </si>
  <si>
    <t>42 32 92 67</t>
  </si>
  <si>
    <t>malle-1998@live.dk</t>
  </si>
  <si>
    <t>Og fear</t>
  </si>
  <si>
    <t>https://slack-files.com/T08TMAAKCCU-F09GVFSR3UM-30cd82a97b</t>
  </si>
  <si>
    <t xml:space="preserve">Træning - mere viden, tryghed, teknik. 27 år, økonomistyring. Kost: peotein, balance, viden, nemt! Har dårlig samvittighed over hun ikke når i mål med de sunde vaner. Tonet krop, selvtillid, sundhedsperspektiv fremadrettet, prioritet nu. Muskelmasse - øge sin vægt. Kan ikke finde ud af hvordan hun kan skabe vaner der holder. Har prøvet af flere omgange. Ingen resultater. </t>
  </si>
  <si>
    <t>25.09.25</t>
  </si>
  <si>
    <t>Helene Andersen</t>
  </si>
  <si>
    <t>27 52 72 72</t>
  </si>
  <si>
    <t>heleneandersen89@hotmail.com</t>
  </si>
  <si>
    <t>Lidt fear for at bryde gammelt mønster</t>
  </si>
  <si>
    <t>https://slack-files.com/T08TMAAKCCU-F09HFPE1FTK-35238c4631</t>
  </si>
  <si>
    <t xml:space="preserve">Brug for hjælp til at finde balacen i kosten. Har haft udfordringer med mad i mange år! Døjer med oppustethed som tager meget af hendes energi. Har sat sig for at lave en halv ironman til næste år, og vil gerne passe bedre på sin krop så hun gennemfører på en god måde. Mangler inspiration til mad hun kan lave med sine børn. Oplever svimmelhed og har lavt blodtryk. Mega klar på at der skal ske noget nu, langt om længe! </t>
  </si>
  <si>
    <t>Simone Hansen</t>
  </si>
  <si>
    <t>52 25 41 14</t>
  </si>
  <si>
    <t>simonejj2304@gmail.com</t>
  </si>
  <si>
    <t>25.08.25</t>
  </si>
  <si>
    <t>Olivia Riis</t>
  </si>
  <si>
    <t>oliviariisbh@gmail.com</t>
  </si>
  <si>
    <t>https://slack-files.com/T08TMAAKCCU-F09HY01U472-142ba01ea0</t>
  </si>
  <si>
    <t xml:space="preserve">Har svært ved at nå i mål. Mangler redskaber og ser ingen resultater selv om hun går i fitness 5-6 gange i ugen. Hun ved ikke altid hvad hun skal lave og om hun gør det rigtigt. Brug for hjælp til kost - kommer til at overspise om aftenen og føler sig ofte træt. Hun har brugt 4 år på at være enomt usikker og ønsker noget skal ændre sig nu - både for sig selv men også for at være et forbillede for andre og en bedre ven. Har brug for rammer og støtte til at finde rytmen i de gode vaner så hun kan blive den bedste version af sig selv. Er meget interesseret i at arbejde med det mentale da hun har meget tankemylder, usikkerhed på sin krop og sig selv, svært ved at sætte grænser. Lille vægttab på 5 kg. (vejer sig ikke da de har spiseforstyrrelse i familien) + muskelmasse. Stærk krop. </t>
  </si>
  <si>
    <t>26.09.25</t>
  </si>
  <si>
    <t>Kristina Schneider</t>
  </si>
  <si>
    <t>28 11 76 27</t>
  </si>
  <si>
    <t>schneider1603@hotmail.com</t>
  </si>
  <si>
    <t>Kæbe og tandlægeregning</t>
  </si>
  <si>
    <t>https://slack-files.com/T08TMAAKCCU-F09HPLXPBNV-c260fbef83</t>
  </si>
  <si>
    <t xml:space="preserve">Kost: Har ændret kostvaner de sidste 4 måneder, men er meget i tvivl om det hun gør er godt/sundt. Ønsker mere madro, overblik over sund, nem kost. Skidt kostrytme i weekenderne. Får ikke spist hele dagen og overspiser om aftenen. Rytme. Mor til 3 + kæreste. Har flere sygdomme - lever og tarmsygdom. Lige blevet opereret i kæben og har derfor været sengelæggende længe og tabt muskelmasse. Hun ønsker at se mere tonet ud og alt hendes fedt sætter sig på maven - ønsker sig en talje og de rette værktøjer til at se resultater. Vil gerne have et hjemmetræningsprogram og hjælp til centret. Vil gerne være den bedste udgave af sig selv for sine børn, kæreste, venner. Styrke. Badetøj. vægttab: 3 kg. fedt. Mere mental ro. </t>
  </si>
  <si>
    <t>Terese Christensen</t>
  </si>
  <si>
    <t>Deposit</t>
  </si>
  <si>
    <t>Opstart + betaling d. 1. okt (3000 kr)</t>
  </si>
  <si>
    <t>https://slack-files.com/T08TMAAKCCU-F09HA4XQUKY-5d9a05607f</t>
  </si>
  <si>
    <t xml:space="preserve">Har været psykisk presset forhold gennem længere tid. Lige kommet ud af det for en uge siden og ønsker en ny begyndelse for hende og hendes to børn. Hun har ikke har overskud til at prioritere sig selv før nu, men nu er der momentum! Hun ønsker at få helt styr på kosten: har fået fjernet sin milt/andet organ tæt på maven - som giver hende smerter efter særlige madvarer - fx mælk tror hun. Ønsker at finde ud af hvad hun kan tåle og ikke kan tåle. Meget optaget af Olivias tag på mindset og mental velvære. Hun vil gerne være mere positiv og føle sig god nok og mere ro i sig selv. Nu er det tid. Har stået på i 5 år. Gode vaner for fremtiden - også for børn. </t>
  </si>
  <si>
    <t>Nikkie</t>
  </si>
  <si>
    <t>50 14 50 58</t>
  </si>
  <si>
    <t>nikkiemelina@gmail.com</t>
  </si>
  <si>
    <t>No-Show</t>
  </si>
  <si>
    <t>Kort spærret - venter på nyt (max 8 dage)</t>
  </si>
  <si>
    <t>https://slack-files.com/T08TMAAKCCU-F09HRE4RVR7-988b42bb4f</t>
  </si>
  <si>
    <t xml:space="preserve">Brug for hjælp til struktur på både kost og træning! Har følt sig usikker på sin krop i mange år (har en mor der har gået i et forløb som har fåe tflotte resultater) Har flere jobs så har brug for at finde en balaceneret kost der giver hende mere energi og mealpreppe så det bliver lettere for hende at få noget ordentligt mad. Spiser mange pomfritter på arbejdet. Får ikke det hun skal have. Ved ikke om det hun laver i fitnesscentret er rigtigt - ser ingen resultater. Overspiser om aftenen og føler sig ofte oppustet. Det kan af og til påvirke hendes lyst til at være social. Vil gerne strammes op - særligt på maven. </t>
  </si>
  <si>
    <t>27.09.25</t>
  </si>
  <si>
    <t>Camilla Brøchner</t>
  </si>
  <si>
    <t>22 88 23 02</t>
  </si>
  <si>
    <t>camillavedel23@gmail.com</t>
  </si>
  <si>
    <t>https://slack-files.com/T08TMAAKCCU-F09HD7Y4HQV-5f0fa4635a</t>
  </si>
  <si>
    <t xml:space="preserve">Vægttab på 8-10 kg. Tabt 10 kg. selv men kan ikke komme videre. Har en kæreste (datter på 2) der træner meget og prøver at motivere hende til at komme igang. Har stået stille i et år. Mangler redskaber og vejledning til hvordan hun kommer helt i mål. Mangler rytme og balance i kosten. LIder af IBS og oppustethed. Føler sig usikker. Selvtillid. Tilpas i krop. Pas på sig selv nu. Har tendens til overspringshandlinger - slut nu. Glæden ved træning og mad uden bekymring og tvivl. Ønsker at have stramt tøj på - flad mave og booty. Mere muskelmasse. Har rygsmerter som forsvinder ved træning. </t>
  </si>
  <si>
    <t>Sarah Svenson</t>
  </si>
  <si>
    <t>27 13 80 42</t>
  </si>
  <si>
    <t>sarah.svenson@hotmail.com</t>
  </si>
  <si>
    <t>https://slack-files.com/T08TMAAKCCU-F09JAFBDX5W-2be8f0c389</t>
  </si>
  <si>
    <t xml:space="preserve">Arbejder på kontor - stillesiddende arbejde. Døjer meget med oppustethed på daglig basis - sidste lange stykke tid. Har forsøgt at undgå gluten hvilket virker men hun føler sig ikke mæt og er usikker på om hun får næring nok. Vil gerne finde glæden tilbage ved mad uden bekymringer og stress. Inspiration til nemt, sundt mad! Struktur og finde glæden ved styrketræning. Sparring og vejledning til hvad der virker. Ønsker at skabe realistsike mål så hun kan få succesoplevelser. ønsker bedre holdning og stærk ryg. Energi, styrke, hud, træt, overskud, tilpas i krop, rutiner, madro. Prioriterer sin sundhed højt! </t>
  </si>
  <si>
    <t>Tilde Johnson (skrevet)</t>
  </si>
  <si>
    <t>93 95 79 80</t>
  </si>
  <si>
    <t>tilde@johnsenholck.dk</t>
  </si>
  <si>
    <t>Fylder 18 i okt. følg op i nov ang. økonomi</t>
  </si>
  <si>
    <t>https://slack-files.com/T08TMAAKCCU-F09HMCT149J-73c3e9a881</t>
  </si>
  <si>
    <t xml:space="preserve">Spiller håndbold og styrketræner i samme forbindelse. Kan ikke yde sit bedste fordi hun ikke får den mad og næring hendes krop har behov for. Hopper af og til over måltider fordi hun er bange for at tage på og kan ikke finde en stabil rytme i maden. Træt, energi, tilpas i krop, overskud, glæde - mangler støtte, vejleding inspiration og struktur. Sover ikke nok. Fedttab på 5 kg. Haft været utilpas og ude af balance i 2 år. </t>
  </si>
  <si>
    <t>Anne-Katrine Christiansen</t>
  </si>
  <si>
    <t>52 50 72 51</t>
  </si>
  <si>
    <t>annekatrinechristiansen7@gmail.com</t>
  </si>
  <si>
    <t>Betaler d. 1. okt</t>
  </si>
  <si>
    <t>https://slack-files.com/T08TMAAKCCU-F09HMCUMNCC-e76f800da1</t>
  </si>
  <si>
    <t xml:space="preserve">Har mange bekymringer omkring mad! blev ked af det på kaldet fordi det fylder så meget for hende i dag dagligdagen. Overtænker og stresser og hvad og hvor meget hun skal spise hvornår. Ender med at overspise og føle sig oppustet. Mangler struktur, viden og vejledning. Er ked af sin mave. Madro og stærk krop. Har prøvet selv mange gange men ender i spiral. Alt eller intet. Vægttab på 5 kg. Ønsker talje og færre bekymringer. </t>
  </si>
  <si>
    <t>Sigriður hlin</t>
  </si>
  <si>
    <t>42 67 10 51</t>
  </si>
  <si>
    <t>sigridhlinj@gmail.com</t>
  </si>
  <si>
    <t>https://slack-files.com/T08TMAAKCCU-F09HGLGA5EE-00468e4d7b</t>
  </si>
  <si>
    <t xml:space="preserve">Alene med en søn på 8 og går i skole - tilpasses. Har været igennem et presset forløb (mor døde for 2 år siden). har ikke passet ordentligt på sig selv. Drukket mange energidrikke. Vaper. Cirkel K hver morgen. Ønsker sunde rutiner og en god struktur som passer ind i hendes travle hverdag. Program til  centret, gå, løb - mave. Spejl. Kronisk stress. SMerter i ryggen. Træt + muskelmasse. Ønsker en bedre livsstil så hun kan være mere aktiv med sin søn. vægttab på 7 kg. ikke flere undskyldninger. </t>
  </si>
  <si>
    <t>29.09.25</t>
  </si>
  <si>
    <t>Cecilie Fiil</t>
  </si>
  <si>
    <t>42 16 77 15</t>
  </si>
  <si>
    <t>cecillie13@live.dk</t>
  </si>
  <si>
    <t>Havde 500 kr. max</t>
  </si>
  <si>
    <t>5 (kortere binding)</t>
  </si>
  <si>
    <t>https://slack-files.com/T08TMAAKCCU-F09HN4HJN2Z-9eb11a897f</t>
  </si>
  <si>
    <t xml:space="preserve">Vægttab på 10 kg. Ønsker hjælp til hjemmetræning (måske center på sigt). Selvstændig beauty - negle, vipper: kunne gå bedre og mangler penge. Synes fitnesscentret er dyrt. Kost: Springer over måltider og snacker sig gennem dagen. Usunde tiltag og færdigretter. Partner vil ikke deltage i kostomlægning og spiser ofte snacks foran Cecilie. Hun savner sit gamle jeg og har prøvet meget forskelligt selv. Har tøjkrise hver dag og føler sig utilpas med krop. Føler forløbet er det helt rigtige for hende, men hun har ikke mere i budgettet end 500 kr. når hun skraber sammen. Ingen opsparring og vil ikke låne penge. </t>
  </si>
  <si>
    <t>Julie Kirban</t>
  </si>
  <si>
    <t>24 40 24 39</t>
  </si>
  <si>
    <t>juliekirban@gmail.com</t>
  </si>
  <si>
    <t>Det går for stærkt. Vil gerne selv tage kontakt til follow up</t>
  </si>
  <si>
    <t>https://slack-files.com/T08TMAAKCCU-F09HN4QMRSR-a402e11b18</t>
  </si>
  <si>
    <t>Har altid været meget aktiv. Træning: motivation til at komme afsted, viden, plan, intro til maskiner - har svært ved at forbinde til særlige muskelgrupper og ønsker at øge kropsbevidsthed. Strammes op. Styrke, muskelmasse, booty. Kost: Overspiser, sulter sig selv, rytme - kan godt lide at lave mad men mangler inspiration. Stået på i 2,5 år og hende og kæresten har gerne ville gøre noget i 1 år. Kæresten er igang men Julie vil gerne have et program der passer til hendes krop og mål. Mere enerig. Føler sig tung, tøj, usikkerhed, overskud. Færdig med at udsætte. Blev bange for at tage næste skridt allerede før price drop. "Det går meget hurtigt".</t>
  </si>
  <si>
    <t>Nikoline Emilie Nielsen</t>
  </si>
  <si>
    <t>31 50 05 67</t>
  </si>
  <si>
    <t>nikolineemiliet@gmail.com</t>
  </si>
  <si>
    <t>https://slack-files.com/T08TMAAKCCU-F09HPUVC1HU-e692a85d32</t>
  </si>
  <si>
    <t xml:space="preserve">Vægttab: 7 kg. Meget lav arousal under kald. Prøvet coach før hvor hun ikke fortalte sandheden og dækkede over sig selv. Føler hun spilder tiden på at have det skidt med sig selv. Kost: overtænker og snacker rigtig meget. Mangler viden og mere madro. Selvsikker, lettere sind, klogere på mad, udseende (går nogle gange hjem fra byen fordi der er mange smukke kvinder på Nørrebro og hun føler sig ikke god eller pæn nok) Synes det er fedt Olivia arbejder med mindset. Mave arme, sundhedsaspekt. Sunde rutiner, oppustet, hud, stærkt krop. </t>
  </si>
  <si>
    <t>Laura Jakobsen</t>
  </si>
  <si>
    <t>61 16 27 91</t>
  </si>
  <si>
    <t>laurajakobsen007@gmail.com</t>
  </si>
  <si>
    <t>Tænke over det + kigge økonomi</t>
  </si>
  <si>
    <t>https://slack-files.com/T08TMAAKCCU-F09HW344F6Y-f9830f293b</t>
  </si>
  <si>
    <t xml:space="preserve">Vægttab på 7 kg. Har okay styr på træningen som hun kører med en veninde, men vil meget gerne have helt styr på kosten. Mere struktur, balance, inspiration til sund nem mad - næring og protein. Meal prepping. Har siddet fast i 2 år. Føler sig ikke tilpas i krop. Dårligt humør og træt. Mangler vejledning og hjælp. Nu er det nu! </t>
  </si>
  <si>
    <t>Julie Åsleff</t>
  </si>
  <si>
    <t>29 93 17 15</t>
  </si>
  <si>
    <t>juliesleff@outlook.dk</t>
  </si>
  <si>
    <t>30.09.25</t>
  </si>
  <si>
    <t>Caroline Brandhelft</t>
  </si>
  <si>
    <t>40 91 96 45</t>
  </si>
  <si>
    <t>carolineskanvigb@gmail.com</t>
  </si>
  <si>
    <t>01.10.25</t>
  </si>
  <si>
    <t>Terese Kristensen</t>
  </si>
  <si>
    <t>(Har stoppet forløb d. 21. okt)</t>
  </si>
  <si>
    <t xml:space="preserve">Fra sep. </t>
  </si>
  <si>
    <t>Charlotte Skov</t>
  </si>
  <si>
    <t>50 18 07 01</t>
  </si>
  <si>
    <t>tusindfryd20@hotmail.com</t>
  </si>
  <si>
    <t>Katrine</t>
  </si>
  <si>
    <t>26 11 29 97</t>
  </si>
  <si>
    <t>Amalie Klinkby</t>
  </si>
  <si>
    <t>20 62 93 62</t>
  </si>
  <si>
    <t>amalielarsen69@gmail.com</t>
  </si>
  <si>
    <t>Didde Nicolaisen</t>
  </si>
  <si>
    <t>nicolaisendidde3@gmail.com</t>
  </si>
  <si>
    <t>Josefine Nymann (afsluttet før tid)</t>
  </si>
  <si>
    <t>60 80 29 14</t>
  </si>
  <si>
    <t>josefine@nymann-nederland.dk</t>
  </si>
  <si>
    <t>https://slack-files.com/T08TMAAKCCU-F09J1DZNDSR-1f91470871</t>
  </si>
  <si>
    <t xml:space="preserve">Havde været i forløb før med kost og træning for 3 år siden. Det gik godt, men hun kan ikke holde vægten stabil. Hun ønsker vaner der føles naturlige uden at måle og veje. Har fokus på ikke-restiktiv spisning og hvad hun har lyst til i moderate mængder. Gider ikke tælle, måle og veje. Vil gerne have mere viden omkring kostsammensætning. Når hun er på højeste vægt har det stor indflydelse på hendes humør og føler sig utilpas i krop. Ikke super interesseret i træning - måske gåture. </t>
  </si>
  <si>
    <t>03.10.25</t>
  </si>
  <si>
    <t>Agata</t>
  </si>
  <si>
    <t>71 63 60 51</t>
  </si>
  <si>
    <t>agata215@icloud.com</t>
  </si>
  <si>
    <t>https://slack-files.com/T08TMAAKCCU-F09KD4QJNRE-e31f553292</t>
  </si>
  <si>
    <t xml:space="preserve">Streng alt eller intet mentalitet. Hvis hun spiser et stykke chokolade begynder hun at overspise resten af dagen. Har dårlig samvittighed hver gang hun spiser usundt og det påvirker hende meget mentalt. Ønsker et vægttab på 5 kg. Har gang i trænin - løb + styrketræning. Har talt kalorier og er meget opsat på ikke at gøre det igen. Balance mellem kost og det mentale. Har stået på i 4-5 år. </t>
  </si>
  <si>
    <t>Mathilde Flensted - ringet og skrevet</t>
  </si>
  <si>
    <t>51 89 39 86</t>
  </si>
  <si>
    <t>mathilde.f.n1449@gmail.com</t>
  </si>
  <si>
    <t>Penge (hjemmeboende SU) + forældre</t>
  </si>
  <si>
    <t>https://slack-files.com/T08TMAAKCCU-F09JH539V0E-eddcea2fbe</t>
  </si>
  <si>
    <t xml:space="preserve">Oppustethed og snacking. Fylder rigtig meget mentalt og er gået ud over selvtillid. Ønsker vægttab på 5-10 kg. Har svært ved at bryde med usunde vaner - særligt når det står foran hende. Ønsker mere balance og rytme i kost så hun undgår snacking. Føler sig meget træt. Føler hun bruger sin tid forkert. Vidste ikke oppustethed var en ting før hun så Olivia på IG og blev meget glad da hun fandt ud af det kunne løses. Hvile i sig selv - ved ikke hvordan hun kommer igang. </t>
  </si>
  <si>
    <t>Nikkie Melina</t>
  </si>
  <si>
    <t>50 14 40 58</t>
  </si>
  <si>
    <t>Var i Bilka da jeg ringede</t>
  </si>
  <si>
    <t>Amalie Hansen</t>
  </si>
  <si>
    <t>24 25 16 17</t>
  </si>
  <si>
    <t>hertzumamalie@gmail.com</t>
  </si>
  <si>
    <t>05.10.25</t>
  </si>
  <si>
    <t>Julie Amalie Malchow</t>
  </si>
  <si>
    <t>24 60 64 85</t>
  </si>
  <si>
    <t>juliemalchow@outlook.dk</t>
  </si>
  <si>
    <t>https://slack-files.com/T08TMAAKCCU-F09KMQC46KS-416946a575</t>
  </si>
  <si>
    <t>Kamp med egen krop i 10 år. Arbejder i vuggestue 28 år. Prøvet wegovy og kostvejleder men ikke fundet en holdbar løsning endnu. Hun bruger enormt meget tid og energi på at tænke på mad og føler det er en kamp at finde ud af - mere viden om kost. Synes det er særligt atraktivt at arbejde med mindset og mad samlet. Vægttab på 15 kg. Går op i at have en sund krop og gode vaner så hun kan føle sig godt tilpas. Adfærd og vaneændringer. Mangler en træningsplan og føler sig ofte usikker på hvordan hun griber øvelser an - teknik og formål. Træt, energi, tøj, tilreds, selvsikker - bæredygtig livsstil.</t>
  </si>
  <si>
    <t>Mikkeline Vjernø</t>
  </si>
  <si>
    <t>26 24 07 02</t>
  </si>
  <si>
    <t>mikkelinebjerno@gmail.com</t>
  </si>
  <si>
    <t>https://slack-files.com/T08TMAAKCCU-F09K6GSSZMF-631afc54bb</t>
  </si>
  <si>
    <t xml:space="preserve">Vægttab 30 kg. Har i 10 år ønsket at tabe sig, men er usikker på hvordan. Hun har forsøgt med keto, kalorietælling, men kan ikke ændre vaner/livsstil så det holder. Hun mangler hjælp, råd, rammer og motivation. Har et brændende ænske og føler sig motiveret, men kan ikke gøre det der skal til på egen hånd. Føler hun har ramt en mur lige nu og har aldrig overvejet hjælp før nu. Er bekymret for hvad der sker med hende hvis hun ikke får hjælp nu. </t>
  </si>
  <si>
    <t>Sandra Adrian</t>
  </si>
  <si>
    <t>41 10 01 56</t>
  </si>
  <si>
    <t>sandramusen24@gmail.com</t>
  </si>
  <si>
    <t>Ida Lyhne</t>
  </si>
  <si>
    <t>40 86 91 38</t>
  </si>
  <si>
    <t>ida.lyhne@gmail.com</t>
  </si>
  <si>
    <t>07.10.25</t>
  </si>
  <si>
    <t>Nellie Skovhus</t>
  </si>
  <si>
    <t>53 70 39 00</t>
  </si>
  <si>
    <t>nellie.skovhus@gmail.com</t>
  </si>
  <si>
    <t>https://slack-files.com/T08TMAAKCCU-F09JR0DUXBR-7d39fa5d71</t>
  </si>
  <si>
    <t xml:space="preserve">Vægttab på ca. 10 kg. Arbejder på Café - ikke mange penge. Er i en periode i sit liv hvor hun tager hurtigere beslutninger, hvilket hun synes føles fedt da hun plejer at overtænke. Vil gerne have hjælp til træning: styrketræning, hjemmetræning, løb. Mad: Spiser slik på daglig basis. Smed alt ud der var usundt men endte med at gå ned efter slik alligvel. Tøj, spejl, tilpas i krop, dårlig samvittighed. Sunde vaner - sundhedsperspektiv, motivation. Sagde sit job op spontant fordi hun fik nok. Har lige været igennem en svær periode hvor hendes kæreste var hende utro med veninde som nu er kærester. Påvirket mentalt, men lige trådt ind i en ny periode. Momentum. Snakkede om ørepoeration, men endte med at prioritere forløbet som det første. </t>
  </si>
  <si>
    <t>08.10.25</t>
  </si>
  <si>
    <t>Helene Adlefedt</t>
  </si>
  <si>
    <t>60 63 71 16</t>
  </si>
  <si>
    <t>heleneadlefeldt@gmail.com</t>
  </si>
  <si>
    <t>Kontanthjælp (7000 kr før skat), ingen opsparing - meldt ind som vikar og venter på svar - vil gerne starte hvis hun får mere. Klar til at gøre det til højeste prioritet</t>
  </si>
  <si>
    <t>https://slack-files.com/T08TMAAKCCU-F09KDC0PMKL-b57a28166f</t>
  </si>
  <si>
    <t xml:space="preserve">Har fulgt op d. 28/10 for at høre om hun har fået vikarjob. Det har hun ikke. Prøve at følge op igen i dec. Hun er meget interesseret. Har prøvet pesonlig træner. Arbejdsløs på kontanthjælp. 2 x depression. Mental kamp. Ønsker at bryde med et mønster hun har forsøgt at komme ud af i 10 år (er 33 år). Vil gerne finde løsninger. Mangler støtte til at nå i mål. Har ramt en mur og vil gerne handle på det nu. Kost: Overskueligt, rytme, meal preppe, billigt, balance, fedttab. Træning: hjemmetræning og sat gåture i system. Vil gerne af sin medicin (anti-depressiv) Humørspiser - enten spiser hun meget eller lidt. God snak og endte med meget gerne at ville handle på sin situation. </t>
  </si>
  <si>
    <t>Amalie Rasmussen</t>
  </si>
  <si>
    <t>20 98 62 08</t>
  </si>
  <si>
    <t>amalierasmussen14@gmail.com</t>
  </si>
  <si>
    <t>Grundet operation i maven/tarmen</t>
  </si>
  <si>
    <t>https://slack-files.com/T08TMAAKCCU-F09K26XURS9-6f6ca047ff</t>
  </si>
  <si>
    <t xml:space="preserve">Skriver besked om hun vil starte. Meget tynd. Vil gerne være stærkere. Vil gerne være den bedste udgave af sig selv for sin datter og kæreste. Er meget træt og lav på energi generelt. Kort lunte. Flad mave, stærk ryg, booty, viden. Kost: balance, sammensætning, familie, viden og inspiration. Kan ikke overskue at finde på nyt sundt hver dag. Rutiner, tøj, usikker - spilder tid. Ser ikke resultter af sin træning - demotiveret. Hjemmetræning og løb. </t>
  </si>
  <si>
    <t>Clara Posedal</t>
  </si>
  <si>
    <t>Hører mor om hun vil hjælpe økonomisk - follow up d. 9/10</t>
  </si>
  <si>
    <t>https://slack-files.com/T08TMAAKCCU-F09K3J1HFM4-ec68e9ca99</t>
  </si>
  <si>
    <t>Spiseforstyrrelse: Overspiser + opkastning. Har været i forløb i psykiatri - lige afsluttet. Ønsker støtte til overgangen. Mangler at få etableret et normalt forhold til mad. Tænker konstant på mad. Glemt hvad der er normalt. Hundehvalp fordi hun isolerer sig. 1,5 år siden fik mor kræft som startede spiseforsyrrelsen. Mangler konkrete værktøjer til hvordan hun kan finde balancen i kosten. Lægger meget mærke til kroppens signaler - fryser meget og bliver nervøs for om det er fordi hun ikke spiser nok. Mistet sig selv. Restiktiv! Madro. Livslyst - er bange for hvad der sker hvis hun ikke får hjem ("så er jeg her nok ikke mere")</t>
  </si>
  <si>
    <t>Natacha Gade</t>
  </si>
  <si>
    <t>20 83 12 36</t>
  </si>
  <si>
    <t>ngandersen@hotmail.dk</t>
  </si>
  <si>
    <t>Var i forløb i forvejen (afsluttes slut nov)</t>
  </si>
  <si>
    <t>https://slack-files.com/T08TMAAKCCU-F09K05JK98X-daaa83f20b</t>
  </si>
  <si>
    <t xml:space="preserve">I forløb i forvejen på 3-4 måned. Afsluttes først kontraktmæssigt slut nov. Men var klar på at tage næste skridt alligevel. Ønsker et vægttab på 25 kg. Har haft jojo-vægt i 10 år. Oppustet, overspiser, snacker meget, sulten - efterlader hende fysisk og psykisk dårlig. Sidder fast. Vil gerne have en sund krop til at få børn på sigt. Super vigtigt: Vi kigger på adfæren bag overspisningen og det mentale/mindset. Derfor hun vil starte i forløb da det lød anderledes end andet hun har prøvet. </t>
  </si>
  <si>
    <t>24 25 16 76</t>
  </si>
  <si>
    <t>For 2. gang</t>
  </si>
  <si>
    <t>Emilie Kjær</t>
  </si>
  <si>
    <t>31 10 12 53</t>
  </si>
  <si>
    <t>emilie.k.theodorsen@gmail.com</t>
  </si>
  <si>
    <t>https://slack-files.com/T08TMAAKCCU-F09KCLGDKM3-14ccfff864</t>
  </si>
  <si>
    <t xml:space="preserve">Har kæmpet i 10 år med jojo-vægt og er blevet mobbet en del pga. sin krop - vil gerne blive bedre venner med den. Kost: Tæller konstant kalorier og er hyperfokuseret på det. Har haft en forstyrret spisning. Får ikke den næring hun har brug for. Arbejder i bager og spiser meget brød. Er ofte oppustet og træt. Vil gerne have madro! Ønsker sig en ny livsstil og Emilie 2.0 i 2026. Træning: mere muskelmasse og styrke. Men først og fremmest ro i hovedet og struktur på sunde rutiner. </t>
  </si>
  <si>
    <t>Camilla Glistrup</t>
  </si>
  <si>
    <t>28 72 33 92</t>
  </si>
  <si>
    <t>camillagn@live.dk</t>
  </si>
  <si>
    <t>09.10.25</t>
  </si>
  <si>
    <t>Mathilde Gudsø</t>
  </si>
  <si>
    <t>29 88 21 31</t>
  </si>
  <si>
    <t>mathilde.g.nielsen@hotmail.com</t>
  </si>
  <si>
    <t>https://slack-files.com/T08TMAAKCCU-F09KKR8GNHY-cbd2d3f19c</t>
  </si>
  <si>
    <t xml:space="preserve">Har hele sit liv døjet med maven/tarmene. Smerter og oppustethed. Har været ved lægen og prøvet meget med mad på egen hånd, men ved ikke hvad det er og hvad der virker. Altid oppustet ligemeget hvad hun spiser. Enten ser hun super tynd eller gravid ud. Træning: Elsker at træne men har svært ved at finde rytmen så snart hun er ude af vante rammer. Har brug for at få konkrete redskaber til hvordan hun holder rytmen konstant når det bliver svært. Meget sulten på mere viden omkring træning og kost. Mangler viden omkring træning. Bange for at lave skade på sig selv ved at gøre øvelser forkert. Føler sig usikker i et træningscenter fordi hun ikke ved 100 % hvordan hun går til øvelserne. Føler sig ofte træt og energiforladt. Elsker rutiner, men har svært ved at fastholde dem. Struktur, samtale og sparring. </t>
  </si>
  <si>
    <t>Clara Riley</t>
  </si>
  <si>
    <t>61 27 29 94</t>
  </si>
  <si>
    <t>clara.b.riley@gmail.com</t>
  </si>
  <si>
    <t>Hana Jakupovic</t>
  </si>
  <si>
    <t>60 48 16 17</t>
  </si>
  <si>
    <t>hana.jakupovic@outlook.dk</t>
  </si>
  <si>
    <t>Prøve selv</t>
  </si>
  <si>
    <t>https://slack-files.com/T08TMAAKCCU-F09KZNMTNQZ-31c7019b99</t>
  </si>
  <si>
    <t xml:space="preserve">Studerer til audiolopæd. Har siden august gerne ville gøre noget ved sin livsstil. Kan ikke finde en god rutine i træningen, og er i tvivl om hvad der fungerer når det kommer til øvelser og kost. Hun har været meget opmærksom på at tælle kalorier i en grad så det blev usundt. Er meget opsat på at gøre det på en sund måde. Mere tonet, energi, tilpas i krop, mere ro omkring hvad der virker. Mangler støtte og vejledning. Sundhed i fremtiden - børn. Vægttab: 10 kg. men ikke hovedfokus. Det skaber ængestelighed at hun ikke ved hvad der virker og hvordan man gør. </t>
  </si>
  <si>
    <t>Mathilde Schøler</t>
  </si>
  <si>
    <t>24 52 24 66</t>
  </si>
  <si>
    <t>mlindvald@gmail.com</t>
  </si>
  <si>
    <t>https://slack-files.com/T08TMAAKCCU-F09L0AMMSE5-ca732c83b2</t>
  </si>
  <si>
    <t xml:space="preserve">STX + arbejde. Travl hverdag og vil gerne have sunde rutiner der passer ind. Overspiser og snacker sig igennem dagen. Køber ofte take out fordi hun ikke kan overskue at lave mad. Mangler inspiration og vil gerne kigge ind i meal prepping. Føle sig mæt henover dagen. Hun har prøvet selv i et år, men kan ikke finde ind i rutinen. Træning: ønsker at få helt styr på et træningsprogram i centret. Mangler motivation. Er ofte ked af det når hun tænker på de usunde vaner - det er vigtigt for hende at have en sund livsstil også fremover i hendes liv. Vægttab: 5-10 kg. Gennem søster som kom i mål fik hun også troen på sig selv og ville ikke længere acceptere situationen som den er. Nok! Selvsikkerhed, struktur, overskud, gladere. </t>
  </si>
  <si>
    <t>Sofie Le Fevre</t>
  </si>
  <si>
    <t>21 20 00 44</t>
  </si>
  <si>
    <t>lefevre190704@gmail.com</t>
  </si>
  <si>
    <t>Overvejer alternativer - sport</t>
  </si>
  <si>
    <t>https://slack-files.com/T08TMAAKCCU-F09KREHS4H2-ea35b59c07</t>
  </si>
  <si>
    <t xml:space="preserve">Opfølgning lørdag. Gammel elitesvømmer. Rejse til januar hvor hun gerne vil stå skarpt i bikini. Føler sig utilpas i sin krop. Ser ikke de resultater hun ønsker sig af træning og kost. Har brug for vejledning. Sunde, lækre snacks. Mere protein og næring. Vil gerne prøve hjemmetræning. Løber. Tøj, spejl, mave, ansigt - ønsker sig tonet krop, booty muskelmasse. Krop har ændret sig og det fylder meget mentalt for hende. </t>
  </si>
  <si>
    <t>Mette Riishøj</t>
  </si>
  <si>
    <t>42 95 73 73</t>
  </si>
  <si>
    <t>metteriishoj95@gmail.com</t>
  </si>
  <si>
    <t>https://slack-files.com/T08TMAAKCCU-F09L1A0E2KT-d9d92536a6</t>
  </si>
  <si>
    <t xml:space="preserve">Har haft spiseforstyrrelse og vejet omkring de 35 kg. Har svinget med 30 kg. i vægt. PTSD + OCD. Ønsker at skabe de bedste forudsætninger for familie og børn i fremtiden. Stærk krop der kan bære en graviditet. Har haft svært ved mad og træning så langt tilbage hun kan huske. Svær opvækst med vold og utryghed. Bor hos veninde lige nu, men ser muligheder i at hun starter i forløb (veninde vil også gerne spise sundt og tabe sig). Hjælp til træning i center + hjemmetræning. Ønsker sig booty og blive strammet op. Har dårlig kondi og følser sig slap. Mangler styrke i kroppen. Meget træt. Meal prepping efter lange dage på arbjedet (lagerarbejde med lange vagter) 30 år. Ingen forbindelse til sult og mæthed - signaler og kropsbevidsthed. </t>
  </si>
  <si>
    <t>10.10.25</t>
  </si>
  <si>
    <t>Sygemeldt på 4. år - understøttelse + to børn</t>
  </si>
  <si>
    <t>https://slack-files.com/T08TMAAKCCU-F09KQN07CAZ-011c750fc8</t>
  </si>
  <si>
    <t xml:space="preserve">Sygemeldt med kronisk hovedpine (IIH - vand i hovedet). 34 år. Vægttab på 10 kg. Kost: spiser på følelser. Slik om aftenen. Ingen rytme i maden. Hjemmetræning + struktur på gåture og bevægelse i hverdagen. Tøj, tilpas i krop, føler sig ikke sexet, mave, lår. Har haft jojo-vægt hele sit liv. Mangler en plan og støtte til at nå i mål. </t>
  </si>
  <si>
    <t>Cecilie Victoria Rask Nielsen</t>
  </si>
  <si>
    <t>42 91 11 61</t>
  </si>
  <si>
    <t>cillemusen0697@gmail.com</t>
  </si>
  <si>
    <t>(Stoppet grundet økonomi i nov)</t>
  </si>
  <si>
    <t>https://slack-files.com/T08TMAAKCCU-F09KCN8RL15-3b4f52f91c</t>
  </si>
  <si>
    <t xml:space="preserve">Døjer med oppustethed på 5. år. Har store omkostniner både fysisk, mentalt og socialt. Hun isolerer sig og har mistet flere venner fordi hun bliver i sengen de dage det er slemt. Sulter sig selv og drikker sig mæt i vand for at undgå oppustethed. Ingen energi, overskud. Selvværd. Er der mere for andre end sig selv, hvilket hun nu er klar på at lave om på. Hun synes det har været svært at bede om hjælp (grænseoverskridende) men er nu klar på at træde ud af sin komfortzone for at komme godt videre. Rytme og balance i kost. Stress. Træning: Usikker i et træningscenter, men vil gerne på sigt. Starte med hjemmetræning, løb og gåture. Tro på sig selv, har ofte en facade som hun ikke orker mere. </t>
  </si>
  <si>
    <t>Frida Andersen</t>
  </si>
  <si>
    <t>20 88 98 90</t>
  </si>
  <si>
    <t>fridolina@ymail.com</t>
  </si>
  <si>
    <t>https://slack-files.com/T08TMAAKCCU-F09LPS5V8KS-51aece27af</t>
  </si>
  <si>
    <t>Bor i Mexico og pendler til DK. Tager altid på når hun kommer til DK og vil gerne finde ud af hvad der virker for hendes krop det sted hun er i livet lige nu. For 8 år siden tabte hun 10 kg. på egen hånd, men kan mærke det ikke er det samme der virker for hende nu. Vægttabet er sekundært og hun ønsker først og fremmest at have sunde vaner og passe godt på sin krop. Har haft jojo-vægt altid - ønsker stabil vægt. Har diætist der kommer med to måltider i ugen. Lige nu lever hun meget af junk og hvad der er nemt hvilket hun mærker på sin energi og sit overskud. Tid til at prioritere sig selv. Balance, sund, energi, tonet krop. Ønsker en realistisk rutine i fitnesscentret. Har skader der skal tages højde for. Ønsker at blive bedre til at overholde aftaler med sig selv - det har hun meget svært ved i alle henseender. Travl hverdag. Stabile vaner der holder i det lange løb.</t>
  </si>
  <si>
    <t>11.10.25</t>
  </si>
  <si>
    <t>Celine Hornemann</t>
  </si>
  <si>
    <t>60 13 69 98</t>
  </si>
  <si>
    <t>cp151204@yahoo.com</t>
  </si>
  <si>
    <t>Og penge</t>
  </si>
  <si>
    <t>https://slack-files.com/T08TMAAKCCU-F09KZRSHTQS-0b2baa7dd6</t>
  </si>
  <si>
    <t xml:space="preserve">Arbejder i institution, bor med kæreste, 20 år, gammel gymnast. Ønsker hjælp til træningen. Er usikker i et fitnesscenter - teknik, struktur, øvelser, klar plan. Meget glad for kontrol og overblik! Kost: overspiser - mængder, vane. Ender med dårlig samvittighed og ubehag i kroppen. Meget sulten på mere viden omkring kost og træning. Har taget en beslutning om at ændre sin livssituation - skabe sunde vaner og øge sin livskvalitet. Ofte negativ. Skriver derfor taknemmelighedsdagbog hver morgen så hun kan vende sit mindset. Mere glæde, muskelmasse, styrke, energi. Hendes egen proces. </t>
  </si>
  <si>
    <t>Victoria Kreiler</t>
  </si>
  <si>
    <t>51 16 65 88</t>
  </si>
  <si>
    <t>kreilervictoria@gmail.com</t>
  </si>
  <si>
    <t>https://slack-files.com/T08TMAAKCCU-F09KWRH0BS9-2d72c80aca</t>
  </si>
  <si>
    <t xml:space="preserve">Forstyrret og restiktiv spisning. Straffer sig selv ved at kompensere med træning eller sulte sig selv hvis hun har spist noget hun ikke "burde". Overspiser og har haft tendens til at kaste op efter og have fysisk og mentalt ubehag. Dårlig samvittighed. Selvværd, overskud, energi, tanker om udseende, forskruet syn på kost og træning (siger hun selv) mentalt drænet af at tænke på mad. Kan ikke mærke lysten til mad. Ønsker madro og at finde glæden ved mad. Ændre perspektiv til at mad ikke er farligt, men næring for hendes krop. Besluttet at gøre noget godt for sig selv - blive gode venner med kroppen. Livsstil. Skammer sig over sine vaner. Har altid stået alene med det og ikke fortalt nogen om det. </t>
  </si>
  <si>
    <t>13.10.25</t>
  </si>
  <si>
    <t>Sofie Brix</t>
  </si>
  <si>
    <t>51 78 22 35</t>
  </si>
  <si>
    <t>sofiebrixtofte@gmail.com</t>
  </si>
  <si>
    <t>Camilla Alstrup</t>
  </si>
  <si>
    <t>60 22 14 85</t>
  </si>
  <si>
    <t>mille_333@hotmail.com</t>
  </si>
  <si>
    <t>Lone Mørch (Stoppet før tid)</t>
  </si>
  <si>
    <t>42 20 97 15</t>
  </si>
  <si>
    <t>lone.m.fosdal@gmail.com</t>
  </si>
  <si>
    <t>https://slack-files.com/T08TMAAKCCU-F09LM27HPND-efb040b2cf</t>
  </si>
  <si>
    <t xml:space="preserve">Lone har haft en discus i nakken siden sidste år. Er lige blevet smertefri efter både fys, læge og akkupunktur. Har været vant til at kroppen har set ud som den altid har gjort, men efter forløbet hvor hun har været sat ud af spil, mærker hun en stor forskel og føler sig utilpas i sin krop (31 år) og mærker alderen har noget at sige - ønsker at gøre noget nu og ser fordelen ved at handle nu og ikke senere når det bliver sværere. Bioanalytikker og meget travl kvinde - også på kald om natten. Har haft en presset periode i lang tid nu så synes det at Olivia arbejder med stress var en god gevinst. Har investeret i personlig træner 2 gange før men har ikke følt de metoder og redskaber fungerer for hende det sted hun står nu. Hjælp til centret - mere effektiv træning som ikke kun handler om redskaber (står ofte og venter længe til det er hendes tur) + hjemmetræning + løb. Motivation på de svære dage. Ønsker ikke at tage billeder af sin krop til forløbet. Søvn, energi, overskud, stærk krop, livsstil, appelsinhud, tøj. </t>
  </si>
  <si>
    <t>Anna Dicte</t>
  </si>
  <si>
    <t>21 56 32 62</t>
  </si>
  <si>
    <t>annadicteamby@hotmail.com</t>
  </si>
  <si>
    <t>Studenterhue, hestevogn og skiferie lige betalt</t>
  </si>
  <si>
    <t>https://slack-files.com/T08TMAAKCCU-F09KX7Y2LBH-022a67775f</t>
  </si>
  <si>
    <t>Vil gerne igang og motiveret for at skabe forandring. Har en travl dag med skole og arbejde - har brug for nye stabile vaner passer ind i hverdag. 18 år. Lavt stofskifte. Jojo-vægt gennem flere år. Hjælp til centret, løb, hjemmetræning. Kost: Har været meget restriktiv i forhold til at tælle kalorier (meget usundt siger hun selv) føler sig ofte oppustet hvilket påvirker hende meget. Sundhed, struktur, tonet, strammet op, rutine, tøj, træthed, overskud, viden - alt eller intet. Spiral i 3 år. Godt mindset med gode prioriteter. Klar på at investere i sig selv.</t>
  </si>
  <si>
    <t>14.10.25</t>
  </si>
  <si>
    <t>Cecilie Burholm</t>
  </si>
  <si>
    <t>60 71 10 92</t>
  </si>
  <si>
    <t>cburholm@gmail.com</t>
  </si>
  <si>
    <t>https://slack-files.com/T08TMAAKCCU-F09KZ1UJJHM-77c81c4aec</t>
  </si>
  <si>
    <t xml:space="preserve">Primært hjælp til kosten: overtænker og har hyperfokus på hvad hun spiser hvilket er drændende. Har brug for at få struktur og viden omkring kost. Mæthed! Hjælp til hvordan hun håndterer det at være ude af vante rammer hvor hun ikke har kontrol over det der bliver serveret. Snacker. Madro. Sidder fast i spiral og har prøvet en del selv. </t>
  </si>
  <si>
    <t>Louise Gråbæk</t>
  </si>
  <si>
    <t>50 77 07 91</t>
  </si>
  <si>
    <t>louisebrinch@hotmail.com</t>
  </si>
  <si>
    <t>Birgitte Provstgaard</t>
  </si>
  <si>
    <t>30 15 34 46</t>
  </si>
  <si>
    <t>birgitte@provstgaard.net</t>
  </si>
  <si>
    <t>https://slack-files.com/T08TMAAKCCU-F09LCCSLC3G-8c66df9df9</t>
  </si>
  <si>
    <t>Mangler struktur på kosten. Bruger meget tid på at bekymre sig og tænke over hvor meget, hvor lidt og hvad hun skal spise. Har i mange år ikke prioriteret sig selv, men står nu er et sted hvor hun både gør det for sig selv og sin datter (forbillede). Hun har haft tendens til at hoppe over måltider og overspise - frygt for at tage på. Bedre fordøjelse - ofte forstoppet. Madro og generelt mere ro i hovedet. Selvtillid. Usikker. Snakker meget om det at være tynd har fyldt for hende. Træning: er glad for at løbe. Kunne godt tænke sig at få styr på hjemmetræning - vigtigt det er korte effektive træninger som ikke kræver meget tid. Skal giftes til næste sommer. Vil gerne være den bedste version af sig selv. Jojo-vægt. Klar til at comitte sig. Hjælp til sociale arrangementer og tage gode valg. (Datter på 2)</t>
  </si>
  <si>
    <t>Mathilde Pottier</t>
  </si>
  <si>
    <t>20 48 36 21</t>
  </si>
  <si>
    <t>mp2200@icloud.com</t>
  </si>
  <si>
    <t>Følger op på torsdag. Overvejer investering</t>
  </si>
  <si>
    <t>https://slack-files.com/T08TMAAKCCU-F09KZ1CBJNB-7d15c405fd</t>
  </si>
  <si>
    <t xml:space="preserve">Sygemeldt med stress. Stille og roligt vendt tilbage til arbejdet på 3 timer om dagen. Nervøs for hvordan det ser ud når hun har 37 timer igen. Ser hendes sygemelding som en mulighed for at forbedre og samle sig selv op - tid. Kost: rytme, viden, nemt, overskueligt - kommer til at overspise søde sager efterladt med dårlig samvittighed. Bor alene og vil gerne have inspiration til nemme, sunde retter. Sundhedsaspekt. Træning: Stabil rytme. Hjemmetræning. Måske center på sigt. Bedre med sig selv, selvtillid. vægttab 3 kg. fedt. Stærkere krop. </t>
  </si>
  <si>
    <t>15.10.25</t>
  </si>
  <si>
    <t xml:space="preserve">Og frygt - har været i flere forløb. Bange for at tage en chance igen uden at tænke grundligt over det. Selv om hun kan høre dette forløb er anderledes - fokus på mindset og bæredygtige vaner. </t>
  </si>
  <si>
    <t>https://slack-files.com/T08TMAAKCCU-F09M0349UM7-c08203ae8f</t>
  </si>
  <si>
    <t xml:space="preserve">De sidste 6 år har Louise været på kure og to andre forløb. De gav resultater mens hun var i dem, men ikke holdbare. Ønsker at finde en bæredygtig løsning som bevarer de resultater hun opnår. Sunde vaner som passer ind i livet med to børn og mand. Er meget bevidst omkring cyklus - falder ned i "sort hul" og skal samle sig selv op og starte forfra. Mangler hjælp til at knække koden. Glad for sin træning - løb og hold. Måske på sigt hjælp til at blive bedre løber og styrketræningsdelen. Primært nysgerrig på kost og mindset. Vægttab: 5 kg. Lære at tage gode valg og hvad der lægger bag de valg og tanker hun har nu. Oppustet, tøj, føle sig tilfreds i sin krop, struktur, energi, rytme. Meal prepping så hun har noget sundt og let tilgængeligt i en travl hverdag. </t>
  </si>
  <si>
    <t>Ingeborg Speyermann</t>
  </si>
  <si>
    <t>41 12 13 05</t>
  </si>
  <si>
    <t>ingeborg2308@gmail.com</t>
  </si>
  <si>
    <t>https://slack-files.com/T08TMAAKCCU-F09L5N135JB-7bb14e624a</t>
  </si>
  <si>
    <t xml:space="preserve">Har i 10 år haft et anstrengt, restriktivt forhold til mad - overtænker, alt eller intet. Overspiser på følelser. Mangler rytme, inspiration, balance. Tænker meget over hvordan hun ser ud. Meget interesseret i mindset og at ændre tankemønstre, arbejde med selvværd - isolerer sig fra sine veninder fordi hun spejler sig i dem og føler sig mindre værd. Vil gerne have hjælp til løb, styrketræning, hjemmetræning. Overtænker alt. Klar til at tage handling nu. Højskole til næste efterår - ønsker at være den bedste version af sig selv. Har sabatår nu. 20 år. Arbejder på en skole og plejecenter. Mangler energi, overskud. Muskelmasse og stærk krop. </t>
  </si>
  <si>
    <t>Nana Gleerup</t>
  </si>
  <si>
    <t>22 38 44 09</t>
  </si>
  <si>
    <t>nanagleerupandersennana@gmail.com</t>
  </si>
  <si>
    <t>16.10.25</t>
  </si>
  <si>
    <t>Olivia Plauborg</t>
  </si>
  <si>
    <t>53 37 06 56</t>
  </si>
  <si>
    <t>oliviapphilipp7@gmail.com</t>
  </si>
  <si>
    <t>17 år</t>
  </si>
  <si>
    <t>https://slack-files.com/T08TMAAKCCU-F09MNPDPUGG-1b5b681c7b</t>
  </si>
  <si>
    <t xml:space="preserve">Kost: Overspiser/stress-spiser. Mere struktur, balance og rytme i målrider. Træning: Hjemmetræningsprogram + center - styrke, struktur, plan og mere viden. Mindset: Madro, selvbillede, livsglæde og ønsker at være mere fri i sin krop og sit sind. Har siddet fast i 5 år. Gået hos psykoterapeut. Ønsker at føle sig tilpas i sin krop - mere styrke og selvværd. </t>
  </si>
  <si>
    <t>Josefine Jessen Høyer-Reutin</t>
  </si>
  <si>
    <t>31 33 31 24</t>
  </si>
  <si>
    <t>josefinereutin@hotmail.com</t>
  </si>
  <si>
    <t>15 år - høre forældre ang. økonomisk tilskud (har selv lidt hun kan betale)</t>
  </si>
  <si>
    <t>https://slack-files.com/T08TMAAKCCU-F09M818KDUZ-c2db00c587</t>
  </si>
  <si>
    <t xml:space="preserve">Utilpas i krop. Vil gerne have styr på træningsrutinen - mere sikker og tryg i øvelser og træningscenter. Mere selvsikker. Teknik. Tonet, muskelmasse. Har et svært forhold til mad - "burde ikke/må ikke". Har fyldt meget de sidste 3-4 år. </t>
  </si>
  <si>
    <t>https://slack-files.com/T08TMAAKCCU-F09M97VDYLR-bebe58d770</t>
  </si>
  <si>
    <t>Havde en depression for et år siden og er begyndt at mærke tegn på det igen. Vil gerne undgå det gentager sig. Handicaphjælper og fleksibel. Skade i knæ og hypermobile håndled. Har siddet fast i dårlige vaner de sidste 10 år. Har udsat at handle på det mange gange. Træning: Muskelmasse, fedttab 5 kg. tonet. Stabil rutine, mave, styrke, teknik. Hjemmetræning. Kost: Snacker ofte. Mere balance inspiration - mealpreppe og sunde snacks. Har mange øvdage og føler hun er på vej ned i et sort hul igen. Bryder sig ikke om at være omringet af mange mennesker. Forbedre syn på selv. Mindset. Vil ud at opleve mere i stedet for at isoliere sig. Mindset: selvkritik. selvtillid/selvværd - ser fejl. Negativ</t>
  </si>
  <si>
    <t>Christina Nyborg</t>
  </si>
  <si>
    <t>51 60 16 53</t>
  </si>
  <si>
    <t>christina@frabolivia.dk</t>
  </si>
  <si>
    <t>Startede op og fortrød dagen efter - eventuelt følge op om et par måneder</t>
  </si>
  <si>
    <t>https://slack-files.com/T08TMAAKCCU-F09LV4UEZE2-07ab114b80</t>
  </si>
  <si>
    <t xml:space="preserve">Ønsker at have en selvstændig proces og forbedre sit mindset. Ønsker et mere positivt selvbillede - positiv indre stemme. RO omkring krop og udseende. Ønsker at skabe bæredygtige vaner der holder - livsstil. Ser muligheder under kaldet. Sund krop i balance. Tilpas. Tage sin træning mere seriøst så hun begynder at se resultater. Har forsøgt med kroppen i 4 år. Har forsøgt med mindset/selvbillede i 13 år. er 23 år og pædagog. Sagde til sidst efter pitch at hun var endnu mere sikker på Olivias forløb var det rigtige for hende. NU </t>
  </si>
  <si>
    <t>17.10.25</t>
  </si>
  <si>
    <t>Helena Bay</t>
  </si>
  <si>
    <t>21 76 32 76</t>
  </si>
  <si>
    <t>helenabaypedersen@gmail.com</t>
  </si>
  <si>
    <t>Følger op på mandag/tirsdag</t>
  </si>
  <si>
    <t>https://slack-files.com/T08TMAAKCCU-F09M5MB8NKX-9404b8ab16</t>
  </si>
  <si>
    <t xml:space="preserve">Svært ved at finde pain i begyndelsen på kaldet. Kost: Snacker, stabil rytme, balance, tage flere gode valg. Beskriver at hun claimer kage på arbejdet og føler hendes navn står på det og derfor må spise det. Vil gerne spille af med sukkertrangen og føle sig mere mæt i løbet af dagen. Har et motto: Don't think, just do it". Dårlig søvn. Alt eller intet. 25 år. Har haft en drøm om at nå i mål med krop i 8 år. Nu er hende og hendes mand gået all in på resultater. Framer sig selv som selvstændig og er derfor usikker på hvordan hun vil have det med at komme i forløb og få hjælp. Snakker ind i hvad det ville gøre for hendes udvikling at få hjælp, og hvordan det er en styrke at vide præcis hvornår hjælp er nødvendigt for at komme godt videre og nå sine mål. </t>
  </si>
  <si>
    <t>19.10.25</t>
  </si>
  <si>
    <t>Sara Wejrup</t>
  </si>
  <si>
    <t>61 71 63 43</t>
  </si>
  <si>
    <t>sarawejrup@hotmail.com</t>
  </si>
  <si>
    <t>Stoppet i nov grundet økonomi og manglende overskud</t>
  </si>
  <si>
    <t>https://slack-files.com/T08TMAAKCCU-F09M5GGT2PM-11efcec537</t>
  </si>
  <si>
    <t xml:space="preserve">20 år, bor hjemme. Går til gymnastik 3 gange i ugen. Glutenalleri. Kost: Tvivl, nemme løsninger, inspiration, næring, mere alsidig kost! Træning: Struktur, mave og ben, tonet krop, klar plan, resultater, styrke. Mindset: Sammenligner sig med andre, selvsikker. Sulten på at vide mere om sunde vaner. har siddet fast i 2 år. </t>
  </si>
  <si>
    <t>Amalie Dahl Søgaard Pedersen</t>
  </si>
  <si>
    <t>25 79 51 88</t>
  </si>
  <si>
    <t>amalie-dahl@outlook.dk</t>
  </si>
  <si>
    <t>https://slack-files.com/T08TMAAKCCU-F09MQU5HKAM-5080d7c3df</t>
  </si>
  <si>
    <t>Gymnasiet. Ønsker at være tilpas i sin krop og sind til sommer når hun færdiggør gym. Kost: overspiser/stress-spiser på følelser. Oppustet. Ønsker insiration til sunde snacks. Træning: Center. Tonet. Muskelmasse. Flad mave + ked af arme. Vægttab: 10-15 kg. Alt eller intet - undskyldringer. Mindset: selvtillid. Selvbillede. Sammenligner sig med andre. gemmer sig i tøj. Utilpas og usikker. Forbinde til sin mæthed. 3 år +.</t>
  </si>
  <si>
    <t>20.10.25</t>
  </si>
  <si>
    <t>Partner, fear, money</t>
  </si>
  <si>
    <t>https://slack-files.com/T08TMAAKCCU-F09MDNU2ZQD-22d171cac4</t>
  </si>
  <si>
    <t xml:space="preserve">Kort lunte, irriteret, mangler overskud og energi. Ved hvor godt hun kan have det når hun har den krop hun føler sig tilpas i og sunde vaner. For 5 år siden døde hendes far, og hun har haft svært ved at finde rytmen siden. Hendes mand støtter hende i at tage forløb og gøre hvad der skal til for at hun når sine mål. Migræneanfald. Har haft stress. Er privat børnepasser - mand + 2 børn. Sidder fast i dårlig spiral. Stået på i 6 måneder - har været utilpas i 5 år. Vægttab på 10-12 kg. Kost: har stor trang til søde sager. Hopper over måltider for at spare kalorier. Får ikke nok næring. Struktur på kost. Kosten er hendes hovedfokus. Mealpreppe sunde snacks når hun får trang til sødt. Træning: Elsker at løbe, vil gerne have sat det i strutur og have en hjemmetræning der understøtter hendes løb og forebygger skader. Mindset: Bruger meget energi på at være i tvivl. Ønsker sunde rutiner, og det fylder meget for hende mentalt ikke at etablere det. Har fokus på det skal passe ind i familien så hun ikke bruger tid alene, men kan inddrage hendes børn. Ser fordelen ved egen proces selv om hun snakker meget om folk hun kan trække på i netværk </t>
  </si>
  <si>
    <t>Malou Friis Jensen</t>
  </si>
  <si>
    <t>81 71 12 74</t>
  </si>
  <si>
    <t>mmfj4800@icloud.com</t>
  </si>
  <si>
    <t>Charlotte Uldum</t>
  </si>
  <si>
    <t>21 44 03 31</t>
  </si>
  <si>
    <t>charlottethisgaard@live.dk</t>
  </si>
  <si>
    <t>21.10.25</t>
  </si>
  <si>
    <t>Bless</t>
  </si>
  <si>
    <t>27 29 61 66</t>
  </si>
  <si>
    <t>henrietta.laryea@outlook.dk</t>
  </si>
  <si>
    <t>Kontanthjælp</t>
  </si>
  <si>
    <t>https://slack-files.com/T08TMAAKCCU-F09N1413F41-7a6ea2d6b2</t>
  </si>
  <si>
    <t>Primært fokus på kost. Mangler inspiration og en plan. Har slet ikke overblik over hvordan hun skal spise. Prøver at etablere sunde kostvaner, men falder i og overspiser usunde snacks. Har lypus type 5 og vil derfor gerne have en sundere livsstil. Fedttab: 10 kg. Mere muskelmasse. Har altid haft en usund kost siden hun var barn - afrikansk mad. Utilfreds med hvordan hun ser ud. Selvsikker. Mere ro i hovedet.</t>
  </si>
  <si>
    <t>Julie Schach</t>
  </si>
  <si>
    <t>27 20 49 27</t>
  </si>
  <si>
    <t>jeilschou@hotmail.com</t>
  </si>
  <si>
    <t>Dagpenge (har meldt pause i forløb fra nov-1. januar og fortsætter herfra)</t>
  </si>
  <si>
    <t>https://slack-files.com/T08TMAAKCCU-F09MS7CKNF6-b022227a61</t>
  </si>
  <si>
    <t xml:space="preserve">Udfordringer med fordøjelsen, forstoppet. Inspiration til hvordan hun kan sammensætte sin mad. Har prøvet meget forskelligt de sidste 3 år, men har ikke fundet en løsning. Har en lyskeoperation og  er usikker på hvordan hun kan træne med den. Ønsker mere tonet krop. Hjemmetræningsprogram. Booty, ben, arme. Mere ro i hovedet. Har haft en venstresidet lammelse grundet gammelt arbejde hun nu har sagt op, hvorfor hun går på dagpenge nu. Føler hun har tiden til at finde ind i gode rutiner - fremtidsudsiger sund krop til at kunne bære en graviditet. Muskelmasse. Bedste version af sig selv - føler hun er blevet en mere bekymret version af sig selv nu. Hvilket hun er ked af. </t>
  </si>
  <si>
    <t>Sille Marie Erritzøe</t>
  </si>
  <si>
    <t>23 61 48 86</t>
  </si>
  <si>
    <t>sillemarie1@gmail.com</t>
  </si>
  <si>
    <t>Luca Rose Andersen</t>
  </si>
  <si>
    <t>30 28 42 38</t>
  </si>
  <si>
    <t>lucaandresen@outlook.com</t>
  </si>
  <si>
    <t>https://slack-files.com/T08TMAAKCCU-F09M85BQ0SK-8107dd99eb</t>
  </si>
  <si>
    <t xml:space="preserve">Uni møbel (Herning) + selvstændigt firma. Alt eller intet. Kost: Meal preppe, overskuelig, nemt, balance, energi. Skal spille sammen med hendes træning. Træning: Har okay styr på træningen. Hjælp til gåture. Tabe fedt, øge muskelmasse. Motivation. Mindset: ro i hovedet, glad, overskud, selvomsorg, afgrænse og sige fra. Mistet sig selv - ønsker at blive den bedste version af sig selv nu. Har isoleret sig - plejer hun ikke! Mangler sit drive og ved hvad sunde rutiner kan give hende. </t>
  </si>
  <si>
    <t>Rebecca Østergaard</t>
  </si>
  <si>
    <t>20 40 41 87</t>
  </si>
  <si>
    <t>rebecca.vejen4@gmail.com</t>
  </si>
  <si>
    <t xml:space="preserve">Afsluttet forløbet i dec. </t>
  </si>
  <si>
    <t>https://slack-files.com/T08TMAAKCCU-F09NJKA14KS-55bb301885</t>
  </si>
  <si>
    <t xml:space="preserve">Havde stress og angst for et år siden. Har siddet fast i dårlige vaner de sidste 6 måneder. Kost: Hjælp til sunde snacks, mængder, balance, rytme, nemt. Træning: Løb, struktur, hjemmetræning der understøtter løb. Mindset: Rutiner og gode valg, motivation - hvordan håndteres svære perioder, overskud energi. Føler sig meget træt, i dårligt humør, energiforladt - ikke glad for krop. Dårlig spiral. Studerer sundhed. Tænker på fremtid. Vægttab på 3 kg. </t>
  </si>
  <si>
    <t>22.10.25</t>
  </si>
  <si>
    <t>2. gang</t>
  </si>
  <si>
    <t>23.10.25</t>
  </si>
  <si>
    <t>Jessica Gjerdrum</t>
  </si>
  <si>
    <t>25 21 33 44</t>
  </si>
  <si>
    <t>gjerdrumjessica@gmail.com</t>
  </si>
  <si>
    <t>Forældre (er 17)</t>
  </si>
  <si>
    <t>https://slack-files.com/T08TMAAKCCU-F09NZGPKRUG-cc91d6f4e6</t>
  </si>
  <si>
    <t xml:space="preserve">Følger op lørdag.Spiseforstyrrelse. Over- og underspiser. Tæller meget kalorier. Spise sjældent i selvskab med andre. har selv haft sin egen mad med når hun skal ud så hun ved hvad der er i. Dræner hende psykisk. Vil gerne have balance og mere madro så det ikke skal fylde. Danser hver fredag og går ture. Ønsker at tabe 5-10 kg for at ramme "normal" vægt. Har været meget tynd, men har nu taget på efter hun er begyndt med overspisning. Har stået på i 3 år. </t>
  </si>
  <si>
    <t>Stella Smukke Kath</t>
  </si>
  <si>
    <t>27 57 04 61</t>
  </si>
  <si>
    <t>romeokath@hotmail.com</t>
  </si>
  <si>
    <t>Knæoperation for 5 uger siden</t>
  </si>
  <si>
    <t>https://slack-files.com/T08TMAAKCCU-F09NJS38RLZ-81732ab3eb</t>
  </si>
  <si>
    <r>
      <rPr>
        <rFont val="Arial"/>
      </rPr>
      <t xml:space="preserve">Knæoperation for 5 uger siden. Kost: konstiperet dagligt. Nem overskuelig kost. Har en sød tand - alternativer. Rytme, balance. Vil gerne drage sin egen viden omkring kost ind i forløbet - noget i forhold til organer hun har læst.. Snacker om aftenen på følelser, af kedsomhed. Overgangsalder. Træning: hvad der er muligt i forhold til overkrop lige nu. Arme og bryst. Muskelmasse, Hjemmetræning. På sigt løb. Vægttab på </t>
    </r>
    <r>
      <rPr>
        <rFont val="Arial"/>
        <color rgb="FF1155CC"/>
        <u/>
      </rPr>
      <t>12.kg</t>
    </r>
    <r>
      <rPr>
        <rFont val="Arial"/>
      </rPr>
      <t>. siddet fast i 2 år. Vil gerne vide hvorfor ting virker og ikke virker. Meditation. Yogalærer. Sige fra og mærke efter i kroppen. Alt eller intet. Dårlig søvn - sover uroligt og af og til 9 timer. Knække koden til hvad der fungerer for hende i det lange løb. Har prøvet meget selv</t>
    </r>
  </si>
  <si>
    <t>28.10.25</t>
  </si>
  <si>
    <t>Liva Rank Andersen</t>
  </si>
  <si>
    <t>93 95 17 01</t>
  </si>
  <si>
    <t>livarankandersen@gmail.com</t>
  </si>
  <si>
    <t>https://slack-files.com/T08TMAAKCCU-F09NNL491ST-bb1d486133</t>
  </si>
  <si>
    <t>Jobsøgende - kandidat i informationsvidenskab. Århus, rygsmerter, knæskade, stress-fraktur i fod (overbelastning). Har haft depression. Forsøgt on og off i 10 år at nå i mål med den livsstil hun ønsker sig. Kost: Tager medcin og føler sig derfor sjældent rigtig mæt. Har altid været undervægtig og har nu taget 15 kg på hvilket hun er okay glad for, men vil gerne konvertere lidt fedt til muskelmasse. Mere viden omkring kost, inspiration, sammensætning, balance. Træning: Ønsker intro til øvelser, overblik, teknik. Vil gerne igang med spinning igen. Ønsker også hjemmetræning for fleksibilitet. Mindset: Selvværd, overskud, motivation på den lange bane. Bæredygitg vaner. Gladere, sove mindre i hverdagene. Særligt her i perioden hvor hun ikke har arbejde (dog frivillig).</t>
  </si>
  <si>
    <t>29.10.25</t>
  </si>
  <si>
    <t>Camilla Kure (+mødebooking)</t>
  </si>
  <si>
    <t>28 40 06 74</t>
  </si>
  <si>
    <t>camillaskure@gmail.com</t>
  </si>
  <si>
    <t>https://slack-files.com/T08TMAAKCCU-F09PFQF2CTC-48855ff077</t>
  </si>
  <si>
    <t xml:space="preserve">Har haft anoreksi i 5-6 år. Har fundet et ok sted hvor hun spiser, men stadig er bange for at tage på. Hun træner og føler hun har fint styr på det. 21 år. Kæreste hun bor med. Hendes primære problem er balancen mellem mindset og kost. Hun overspiser slik hver fredag (800g) til hun har mavekramper. Hun kan ikke finde balancen og vil gerne have et naturligt forhold til søde sager og kost generelt. Hun har fed energi på at bryde med gamle mønstre og fornbinde til kroppens naturige stopklods ved overspisning. Overspisning af slik har stået på i 3,5 år. </t>
  </si>
  <si>
    <t>Frieda Marie</t>
  </si>
  <si>
    <t>22 97 02 96</t>
  </si>
  <si>
    <t>friedamarie457@gmail.com</t>
  </si>
  <si>
    <t>Mor er med, far skal overtales (17 år)</t>
  </si>
  <si>
    <t>https://slack-files.com/T08TMAAKCCU-F09PVMS2E06-28cc8ea496</t>
  </si>
  <si>
    <t xml:space="preserve">Snak med mor 8.30 lørdag. Overspisning og BED. Har været på efterskole hvor hun oplede hvordan struktur hjælper hende til at have det bedre og undgå overspisninger. Meget velreflekteret og ved hun spiser på stress eller svære følelser. 80/20% i forhold til mad. Mangler mest af at struktur og overblik. Vil gerne igang med træning i center + løb som hun har været så glad for. Vægttab på 5-8 kg. Føler der er momentumØnsker sig mere livsenergi og at kunne være mere social og tilpas i sin krop. </t>
  </si>
  <si>
    <t>Amanda Jensen</t>
  </si>
  <si>
    <t>51 54 79 36</t>
  </si>
  <si>
    <t>amanda_jensen_36@hotmail.com</t>
  </si>
  <si>
    <t>Partner, money, tid</t>
  </si>
  <si>
    <t>https://slack-files.com/T08TMAAKCCU-F09QANDUM1P-a26d6d3eb5</t>
  </si>
  <si>
    <t xml:space="preserve">Follow up søndag. Varm på forløb. Skulle udfordre hendes perspektiv i forhold til at tage action. 2 børn, kæreste. Uddannelse i ernæring og sundhed. Kost: meget restriktiv spisning. alt eller intet. Har ingen stopknap og overspiser jævnligt - holder det hemmeligt og gemmer indpakninger fra hendes overspisning så står alene med det. Ønsker en støtte her hun kan tale med. Elsker chokolade og is. vil gerne lande et sted hvor der er balance og mental ro omkring mad. Oppustet, balance, rytme. På bar bund i forhold til overspisninger og redskaber?? Har stået på i 6 år. Går nu til psykolog og ønsker at prioritere sig selv efter to børn. Være den bedste udgave af sig selv også for dem. Vil gerne igang med at løbe igen. Vedvarende resultater. Bryde gammel spiral. Vedvarende positiv selvfølelse. Spejl, ro. Ofte træt og ked af det.  </t>
  </si>
  <si>
    <t>Cecilie Sørensen</t>
  </si>
  <si>
    <t>25 36 66 52</t>
  </si>
  <si>
    <t>ceciliesorensen25@gmail.com</t>
  </si>
  <si>
    <t>02.11.25</t>
  </si>
  <si>
    <t>Oline Larsen</t>
  </si>
  <si>
    <t>50 13 34 53</t>
  </si>
  <si>
    <t>03.11.25</t>
  </si>
  <si>
    <t>Rie Viuf</t>
  </si>
  <si>
    <t>26 36 81 32</t>
  </si>
  <si>
    <t>rieviuf8@gmail.com</t>
  </si>
  <si>
    <t>PIF men mor annullerede aftalen samme dag</t>
  </si>
  <si>
    <t>https://slack-files.com/T08TMAAKCCU-F09QC3DQ03F-39033e0597</t>
  </si>
  <si>
    <t xml:space="preserve">19 år til dec. Bor hjemme. Har tabt 30 kg. selv. Går i gym + arbejde. Færdig til sommer. Går til fodbold. Ønsker et vægttab på 10 kg. Alt eller intet. Sidder fast i spiral som har givet hende dårligt selvværd og selvtillid. Er blevet lidt bedre efter selv at have tabt 30 kg. på en knap så sund måde (restriktiv som ikke er holdbar). Bange for at tage det på igen hvis hun ikke får hjælp. Lægger særligt vægt på sit mindset. Ønsker at blive mere positiv. Vedvarende vaner. Føle sig tilpas i krop. Har overspisninger efterfuglt af ubehag og slå sig selv i hovedet. Tæner, men vil gerne have hjælp til træningsprogram. </t>
  </si>
  <si>
    <t>Nadia Hvelplund</t>
  </si>
  <si>
    <t>27 82 64 57</t>
  </si>
  <si>
    <t>nadia92@live.dk</t>
  </si>
  <si>
    <t>https://slack-files.com/T08TMAAKCCU-F09QA2W2WAF-e051618709</t>
  </si>
  <si>
    <t xml:space="preserve">Lige skilt. Flyttet til ny by. Børn. Har investeret i flere forløb før. Kost: Mængder, forhold til mad, snacker, stabilitet, nemt, mæt, balance, inspiration. Træning: Rytme, hjemmetræning, strammet op - arme og bagdel. Muskelmasse. Vægttab: 4-5 kg. Mindset: Madro, mental ro, stress af. Vedvarende vaner. </t>
  </si>
  <si>
    <t>04.11.25</t>
  </si>
  <si>
    <t>Nishanthi Rasayogam</t>
  </si>
  <si>
    <t>42 25 40 16</t>
  </si>
  <si>
    <t>nishanthi.7@hotmail.com</t>
  </si>
  <si>
    <t>Startet andet forløb i går - følg op i januar</t>
  </si>
  <si>
    <t>https://slack-files.com/T08TMAAKCCU-F09QGLXF85R-be6ef25e3f</t>
  </si>
  <si>
    <t xml:space="preserve">Gluten + laktose. Oppustet som plager hende hver dag - påvirker hvordan hun er socialt, indre uro og hvilket tøj hun tager på. Dårlig fordøjelse, forstoppelse relateret til hendes stress. Arbejder som pædagog på deltid efter stress-sygmelding. Humørsvingninger, glæder, træt, overskud - går op i mindset og mental ro. Mærke efter - kroppens signaler. Livskvalitet. Træning: gåture, fodbold, træningscenter. Vant til at være aktiv. </t>
  </si>
  <si>
    <t>05.11.25</t>
  </si>
  <si>
    <t xml:space="preserve">Ronja T. H. </t>
  </si>
  <si>
    <t>40 62 62 89</t>
  </si>
  <si>
    <t>ronjaht@gmail.com</t>
  </si>
  <si>
    <t>https://slack-files.com/T08TMAAKCCU-F09QRALMPJ7-32b737542c</t>
  </si>
  <si>
    <t xml:space="preserve">Atypisk spiseforstyrrelse. Kost: Madro uden systemer. Er bange for at skemer og planer "fodrer" hendes systemer. Mere intuiti spisning. Hyperfokus og gør det svært at tage ud at spise med veninder. Har i perioder meget travls som freelancer - travl vs meget rolige perioder. Træning: hjemmetræning + gåture. Ked af mave men vi snakkede om at mindset kommer før ønsket om at se anderledes ud. Man kan godt have et mål udadtil men det vigtigeste er hun finder fred med sin krop og føler sig tilpas i den uanset hvordan den ser ud. Stor frygt for at tage på. Kropshad. Tøj. Meget social hvilket også gør hende ængestelig. Sanseapparat - ønsker ikke at miste det og er glad for hendes fokus på krop (bortforklaring af hyperfokus og stress omring sin egen fremtræden). Acceptere kroppen. Uden regnskab. Lære at tage pauser uden at skulle kompensere for det senere. Håndtere svære perioder uden motivation. </t>
  </si>
  <si>
    <t>Jasmin Nilsson</t>
  </si>
  <si>
    <t>23 10 10 90</t>
  </si>
  <si>
    <t>jasminecobbynilsson@gmail.com</t>
  </si>
  <si>
    <t xml:space="preserve">18 år, gym uden arbejde. Får 1000 kr i SU pr måned. Har opsparing </t>
  </si>
  <si>
    <t>https://slack-files.com/T08TMAAKCCU-F09QT8W6VQB-ae2ade9f0f</t>
  </si>
  <si>
    <t xml:space="preserve">Kost: spiser ikke kød. Snacker en del. Føler sig oppustet. Træning: Firtnesscenter + hjemmetræning. Har brug for et program og en plan så hun kan finde en i en god rutine. Mere muskelmasse og mere tonet. Apps. Træning 2 gange i ugen. Mindset: Selvværd, positive tanker om krop. Søvn! Dårlig samvittighed og indre uro. Mangler motivation og viden - hænger sammen for hende. Gym. 18 år. Bor hjemme. </t>
  </si>
  <si>
    <t>06.11.25</t>
  </si>
  <si>
    <t>Emma Odgaard</t>
  </si>
  <si>
    <t>61 73 42 12</t>
  </si>
  <si>
    <t>emmaodgaard2004@gmail.com</t>
  </si>
  <si>
    <t>https://slack-files.com/T08TMAAKCCU-F09RM1UEDQR-d45bc850d6</t>
  </si>
  <si>
    <t xml:space="preserve">Har haft anoreksi. Århus. Uni, Jura. Kost: Balance. Protein. Næring. Madro. Træning: tonet. Styrke. Gåture (går lange ture og elsker det) hjemmetræningsprogram. Mindset: ønsker at finde fred med sin krop og føle sig godt tilpas i den. Bedre livsstil. Glæde ved krop. Balance i vaner. Ustabilitet. Kan være meget plaget af at vælge tøj og fravælger nogle gange sociale sammenkomster fordi det bliver for overvældende for hende at finde tøj hun føler sig tilpas i. Spejl. Hjemme i krop. Selvværd. Humør. Negative tanker. Vedholden. Alt eller intet. Har kæmpet med det i 2 år kan ikke finde balancen selv. Vil meget gerne i forløb og skabe positive ændringer men har svært ved at løsrive sig fra forældre - deres mening er vigtig for hendes beslutning. Snakkede vi en del om. </t>
  </si>
  <si>
    <t>Frederikke R. Sørensen</t>
  </si>
  <si>
    <t>42 43 95 75</t>
  </si>
  <si>
    <t>frederikkesorensen@icloud.com</t>
  </si>
  <si>
    <t>https://slack-files.com/T08TMAAKCCU-F09RM2FJRS5-6602d5a283</t>
  </si>
  <si>
    <t xml:space="preserve">Frederikke har i to år forsøgt at tabe sig og holde vægten stabil, men ender i alt eller intet og følelsen af at skulle begynde forfra. Tæller kalorier og vil gerne væk fra det. Madro. Tilpas i krop. Bæredygtige vaner. Lige påbegyndt morgenrutine fordi hun gerne vil skabe positive forandringer. Træning: Tonet, muskelmasse - primært center, måske hjemmetræning. Gåture. Synes det er rart der bliver taget udganspunkt i mindset. Mere selvsikker. Manger støtte og styrke selvfølelsen. Vægttab: 10-15 kg. </t>
  </si>
  <si>
    <t>Freida Marie de Groot</t>
  </si>
  <si>
    <t>Sidste måned</t>
  </si>
  <si>
    <t>07.11.25</t>
  </si>
  <si>
    <t>Isabella Rosendal</t>
  </si>
  <si>
    <t>21 81 01 06</t>
  </si>
  <si>
    <t>isabella.lynghoj@gmail.com</t>
  </si>
  <si>
    <t>https://slack-files.com/T08TMAAKCCU-F09RUJW94F3-f2ffeb83f8</t>
  </si>
  <si>
    <t xml:space="preserve">Har i 7 år følt sig utilpas i krop. Holder hende tilbage fra at handle og være udadvendt i sociale sammenhænge - Tøj. Struktur. Tage rette skridt man ved virker, uden at fumle med det selv og få tilbagefald. Mindset: spiser på følelser, har mange negative tanker om krop. Ønsker at blive mere selvsikker. Kost: struktur. Overspiser - fysisk ubehag og slå i hovedet. Tvivl i forhold til hvordan hun skal spise fylder meget for hende hver dag. Høj prioritet at være sund og stærk. Træning: Tonet, hjemmetræning, rytme. mave og arme. Sidder fast i spiral. Brug for støtte og viden. Klar NU. motivation for ændringer. </t>
  </si>
  <si>
    <t>Sophia Nørgaard</t>
  </si>
  <si>
    <t>21 37 60 94</t>
  </si>
  <si>
    <t>sophiaest@outlook.dk</t>
  </si>
  <si>
    <t>https://slack-files.com/T08TMAAKCCU-F09RD5JENVB-1fe21a97af</t>
  </si>
  <si>
    <t>Har de sidste 4 år forsøgt at nå i mål med den krop hun ønsker sig. sabatår, hjemmeplejen. Kost: oppustet. overspiser om aftenen. Sundt forhold til kost. Mere viden og balance. Protein. inspiration. mealprepping til skæve arbejdstider. Går til reformer. Hjemmetræningsprogram. Strammet op. Særligt arme, ansigt, mave. Teknik og øvelser. Ønsker at føle sig 100% tilpas i krop! tvivl om hvordan hun skal gøre - hvad er sundt og usundt? spiral. Mental ro og madro. Mere selvtillid. Mad fylder meget mentalt.</t>
  </si>
  <si>
    <t>Camilla Maarup</t>
  </si>
  <si>
    <t>40 31 97 07</t>
  </si>
  <si>
    <t>camilla4031@gmail.com</t>
  </si>
  <si>
    <t>https://slack-files.com/T08TMAAKCCU-F09RAN537U3-5fe5c87783</t>
  </si>
  <si>
    <t>Vægttab: 20 kg. Fodbold. Sygeplejestuderende. Har ønsket at tabe sig 7+ år. Kosten er den sværeste for hende: Nemt, overskueigt, inspiration og glæden ved at lave mad. Lige nu køber hun meget take out og tager de nemme, usunde løsninger. Sundhedsaspekt - overvægtige forældre. Selvbillede - slår sig selv i hovedet. spejl. tøj. sammenligner. Tage flere gode valg og sige nej tak.</t>
  </si>
  <si>
    <t>09.11.25</t>
  </si>
  <si>
    <t>Alma Hartmann-Pedersen</t>
  </si>
  <si>
    <t>60 51 79 30</t>
  </si>
  <si>
    <t>ahartped@gmail.com</t>
  </si>
  <si>
    <t>Vi snakkede direkte om hendes midnset og lysten til at udsætte igen</t>
  </si>
  <si>
    <t>https://slack-files.com/T08TMAAKCCU-F09SM1SM00Y-674717e5f7</t>
  </si>
  <si>
    <t>Har spillet meget håndbold, men er nu blevet skadet. Har ikke spillet i 4 måneder. Stor omvæltning og har nu brug for at finde ind i rutiner som fungerer godt for hende. Kost: Overspiser og snacker på følelser og kedsomhed. Rytme, balance. Vil gerne have en plan hun kan forholde sig til så det ikke skal fylde mentalt for hende. Har udskudt længe og føler der er momentum nu. Har siddet fast i 1 år. Træning: Ønsker at knække koden til motivation - hvordan griber hun det an i svære perioder. Træningsplan til fitnesscentret. Løb: ønsker struktur på løb (har skinnebensbetændelse). Dårlige tanker om selv, tilpas i krop, træt, energi. Mindset: motivation, styre tanker.</t>
  </si>
  <si>
    <t>Mathilde Bøgelund Elmose</t>
  </si>
  <si>
    <t>93 89 00 17</t>
  </si>
  <si>
    <t>matelmose@outlook.dk</t>
  </si>
  <si>
    <t>https://slack-files.com/T08TMAAKCCU-F09RSNE41PU-207aa33b64</t>
  </si>
  <si>
    <t xml:space="preserve">Kost: tracker mad og bliver helt panisk hvis hendes trackerapp ikke virker. Tryghed og kontrol. Overspiser og snacker meget. Alt eller intet. Balance. Madro. Nævner mindset flere gange - at det er her den langvarige forandring sker for hende. Træning: har ok styr på træningen (3 gange i ugen). Men vægten stiger mere og mere, og det skal stoppes nu. Har stået på i 3 år. Bruger meget energi på at tænke over tøj og føle sig utilpas på daglig basis. Ønsker mere selvkontrol og har mange negative tanker. Vægttab: 10 kg. Stabil vægt. </t>
  </si>
  <si>
    <t>10.11.25</t>
  </si>
  <si>
    <t>Julie Nielsen</t>
  </si>
  <si>
    <t>30 64 60 55</t>
  </si>
  <si>
    <t>julle32@icloud.com</t>
  </si>
  <si>
    <t>https://slack-files.com/T08TMAAKCCU-F09RWP9T39Q-9a845adceb</t>
  </si>
  <si>
    <t xml:space="preserve">Ved at blive udredt for ADHD. Har svært ved at sætte struktur på sin hverdag - glæden ved at lave mad. Nemt, overskueligt, tid, balance, rytme. Meal preppe (billigere løsninger) Kræsen. Træning: Vil gerne i form, løb, struktur og en klar plan. Hjemmetræning. Vægttab 5 kg. Har haft stress for 6 måneder siden. Svært ved at komme tilbage. Forbinde til krop. Selvstændighed. Mindset: mere ro, regulere nervesystemet - dårlig samvittighed "burde gøre noget". Har svært ved at tage pause med god samvittighed. </t>
  </si>
  <si>
    <t>Mathilde Jepsen</t>
  </si>
  <si>
    <t>36 21 44 03</t>
  </si>
  <si>
    <t>mathildejepsen205@gmail.com</t>
  </si>
  <si>
    <t>https://slack-files.com/T08TMAAKCCU-F09SCAQ455X-38a790eb13</t>
  </si>
  <si>
    <t xml:space="preserve">Besluttede sig for 1 år siden at gøre noget drastigt ved sin situation - vægttab: 20 kg. Træner 5-6 gange i fitness. Kan ikke finde ud af at balancere sin kost - sundt, nærende, mæt, plan, struktur - spiser meget forarbejdet mad der bliver serveret på hendes kollegie (burger, hotdogs) Ønsker at blive tilpas i sin krop. Mere energi. </t>
  </si>
  <si>
    <t>11.11.25</t>
  </si>
  <si>
    <t>Signe Johanne</t>
  </si>
  <si>
    <t>25 11 84 42</t>
  </si>
  <si>
    <t>signespaanhede@gmail.com</t>
  </si>
  <si>
    <t>https://slack-files.com/T08TMAAKCCU-F09SKHSEQQZ-93e001a13c</t>
  </si>
  <si>
    <t xml:space="preserve">Har haft coach før. ADHD. Medicin gør at hun mister apetitten og glemmer at spise. Spiseforstyrrelse/meget kræsen! Har altid enten forstoppelse eller det modsatte. Altid oppustet. Træning: Muskelmasse. Usikkerhed i forhold til øvelser i træningscentret. Vil gerne igang med løb for god kondition. Har speciale næste år og er bange for ikke at præstere grundet manglende struktur, motivation. Kommer ikke særlig ofte til forelæsninger. Kan ikke holde fast. Påvirker hvem der gider hende på studiet - ensom. Ønsker at blive mere selvstædnig. 5 år har det stået på. Vil leve livet fuldt ud. </t>
  </si>
  <si>
    <t>Mine Avci</t>
  </si>
  <si>
    <t>42 34 57 17</t>
  </si>
  <si>
    <t>mine-avci@live.dk</t>
  </si>
  <si>
    <t>6 +</t>
  </si>
  <si>
    <t>https://slack-files.com/T08TMAAKCCU-F09T1BH457A-18615508ab</t>
  </si>
  <si>
    <t xml:space="preserve">27. Sygeplejerske - har gået på politiskolen. Har været i god form. For 2 år siden gik det ned af bakke. fuld drøn på karierre glemte sig selv. Høj prioritet for hende at have en sund krop. Kost: overspiser, snacker. Rytme. Balance. Protein, næring, oppustet. Træning: hjemmetræning hun let kan gå til. Meget travl hverdag har altid gang i noget. Vil gerne tabe sig og øge muskelmasse. Har dårlig søvn - sover 5 timer. Mere ro omkring kost og vaner. Virkelig gået ned af bakke de sidet 6 måneder - slut! Har flere venner som er coaches men har brug for sin egen proces. Mangler generelt bare motivation og struktur. </t>
  </si>
  <si>
    <t>12.11.25</t>
  </si>
  <si>
    <t>Emilie Nielsen</t>
  </si>
  <si>
    <t>42 75 26 73</t>
  </si>
  <si>
    <t>emilie.8840@gmail.com</t>
  </si>
  <si>
    <t>Ghostet</t>
  </si>
  <si>
    <t>Ingen (IG-call)</t>
  </si>
  <si>
    <t xml:space="preserve">Vejer 105 kg. Vil gerne tabe omkring de 30 kg. Svær fortid med grov mobning (politi involveret) Hendes mor døde for 2 måneder siden og de talte om at hun skulle få den krop hun altid havde ønsket sig. Kost: Spiser på følelser, køber meget mad. Træning: Gåture + hjemmetræning. Mangler en der holder hende accounteble når hun falder i. Kun dårlige tanker om sig selv og sin krop. Mindset: bedre selvværd. Har stået på i 10 år. </t>
  </si>
  <si>
    <t>14.11.24</t>
  </si>
  <si>
    <t>Eja Littau</t>
  </si>
  <si>
    <t>28 49 85 13</t>
  </si>
  <si>
    <t>ejajb007@gmail.com</t>
  </si>
  <si>
    <t>https://slack-files.com/T08TMAAKCCU-F09T2L5ALG6-4668f89162</t>
  </si>
  <si>
    <t>Ring om et par måneder. Kost: Vegetar. elsker søde sager - alternativer. Tytme. Mangler kropsbevidsthed - kan ikke mærke sin mæthedsfornemmelse. Står midt i flytning fra kbh til odense med kæresten. Jobskifte og husrenovering. Ser det hele som en ny start og mulighed for at ændre sit liv. Træning: Rutine, øvelser, teknik, fitnesscenter. Måske starte til dans. Mindset: Stress. selvtillid - nogen der holder hende accounteble og lærer hende hvordan hun holder aftaler med sig selv + motivation i svære perioder. Tid til at passe på sig selv - ansvar. Fremtidige børn og livsstil. Stået på i 6 måneder. Gemmer spisning og skammer sig af og til. Tøj. Undgår spejle. påvirker hendes forhold. Vægttab.</t>
  </si>
  <si>
    <t>14.11.25</t>
  </si>
  <si>
    <t>Aya Safad</t>
  </si>
  <si>
    <t>42 75 57 28</t>
  </si>
  <si>
    <t>aya.abdullrahim@hotmail.com</t>
  </si>
  <si>
    <t>Penge - SU</t>
  </si>
  <si>
    <t>https://slack-files.com/T08TMAAKCCU-F09T2LBTCKE-f44ef96286</t>
  </si>
  <si>
    <t xml:space="preserve">2 børn + mand. Går på uni. Haft depression og stress. Ked af hvordan hun ser ud. Fylder meget hver dag. Har ikke lyst til at vise sig på uni grundet sit udseende. Føler hun er blevet for stor. Har stået på i 6 år. Kost: viden, mængder, mæthedsfølelse. Mindset: Selvbillede, selvtillid. Pauser og hvile. Træning: træner slet ikke. Vil gerne igang. Motivation. Fitnesscenter 1 gang i ugen + hjemmetræning for fleksibel træning - rytme. Vægttab 10-15 kg. NU. På SU. vi aftale udenom mand så hun selv styrer økonomien. </t>
  </si>
  <si>
    <t>Milla Marie Tarp</t>
  </si>
  <si>
    <t>28 30 93 29</t>
  </si>
  <si>
    <t>millapoulsenn@gmail.com</t>
  </si>
  <si>
    <t>https://slack-files.com/T08TMAAKCCU-F09SZF1BJRG-861d26d04d</t>
  </si>
  <si>
    <t xml:space="preserve">Vægttab: 5 kg. Træning: muskelmasse, hjemmetræning. mave og lår, tonet. Kost: springer måltider over fordi hun ønsker at tabe sig. Ønsker at lære mere om kostsammensætning og finde en god rytme så hun kan nå i mål med den krop hun ønsker sig. Mindset: selvsikker. motivation. energi. gladere. VIl ikke udsætte mere. søvn. har stået på i et år. 17 år. </t>
  </si>
  <si>
    <t>17.11.25</t>
  </si>
  <si>
    <t>Isabella Geertsen</t>
  </si>
  <si>
    <t>53 37 87 83</t>
  </si>
  <si>
    <t>igeertsen@outlook.dk</t>
  </si>
  <si>
    <t>https://slack-files.com/T08TMAAKCCU-F09TUNQMNHF-04ff94bddb</t>
  </si>
  <si>
    <t xml:space="preserve">Vægttab: 20 kg. Har hele livet altid været hende den store veninde og familiemedlem som hun er træt af og som er en del af hendes identitet. Er blevet mobbet en del. Vi brugte meget tid på at snakke om hendes tidligere forløb hos en coach (af to omgange) da det tydeligvis har givet hende frygt for om hun kan nå i mål. Var ret overrasket over at der kunne tages udgangspunkt i hende og de behov hun har i stedet for at få restriktive planer hun skulle overholde. Endte i gamle forløb med at have bokse med mad alle steder da hun var bange for at spise uden for planen og slog sig selv i hovedet når hun gjort. Evigt regnskab. Der var lidt money i begyndelsen, men brugte framet at hun først og fremmest skulle føle forløbet var anderledes end det hun havde prøvet før, og noget der kunne få hende i mål. Så skulle vi nok finde løsning på alt det praktiske. Spiser meget på følelser - mængder/overspiser. Hader spejle. Tænker på krop, vaner og sundhed 80% af sin tid. Fylder meget for hende og påvirker de valg hun tager. </t>
  </si>
  <si>
    <t>18.11.25</t>
  </si>
  <si>
    <t>Isabella Abkjær</t>
  </si>
  <si>
    <t>42 73 83 25</t>
  </si>
  <si>
    <t>abkjaer.isabella@gmail.com</t>
  </si>
  <si>
    <t xml:space="preserve">16 år. Mor holder kort til opsparing </t>
  </si>
  <si>
    <t>https://slack-files.com/T08TMAAKCCU-F09UTBSV1H6-810f1ed52e</t>
  </si>
  <si>
    <t xml:space="preserve">1,5 år taget på. Vægttab 10 kg. Føler sig meget utilpas i krop og har ikke lyst til at bruge mere tid på den måde. Har prøvet meget selv, sultet sig selv meget, for at tabe sig, men tager bare mere på. Snacker sig gennem dagen med usunde ting. Mangler rytme, balance i kosten. Træning: har ikke trænet i noget tid grundet manglende motivation og struktur. Vil gerne igang igen - ben og mave. Mindset: Ro i hovedet, selvtillid, komforbabel og selvværd. Mangler overskud. Tøj. Ked af det. 16 år. Vi taler ind i fremtidsperspektiv - hvad det kunne give hende at nå sit mål og skabe et sundt, solidt fundament. Mor døjer selv med vægt og ønsker Isabella får hjælp (vil gerne støtte økonomisk). Virker meget klar til at komme igang nu og siger flere gange hun er indstillet på det bliver hårdt, men det er det der skal til nu. </t>
  </si>
  <si>
    <t>Hezra Malik</t>
  </si>
  <si>
    <t>53 31 70 09</t>
  </si>
  <si>
    <t>hezra1990@hotmail.com</t>
  </si>
  <si>
    <t xml:space="preserve">Tid. Prøvet forløb før. Mange spørgsmål. Kontrol. Vil starte på en måned. </t>
  </si>
  <si>
    <t>1+</t>
  </si>
  <si>
    <t>https://slack-files.com/T08TMAAKCCU-F09TZ2BHMEW-780fff9b95</t>
  </si>
  <si>
    <t xml:space="preserve">Meget frygt for commitment hvilket jeg gik ind i helt i starten af kaldet og adresserer flere gange i løbet af vores snak. Forsøger at få vendt hendes perspektiv, og til sidst vil hun gerne forkorte de 6 måneder hvilket vi også tager en snak om - hvorfor har hun det behov for at have en god ude, og hvad der fordelene ved at committe sig og gå all in på alle månederne. Har været i forløb før som ikke virkede. Barn på 1 + mand. Ikke meget tid. Vi snakker om at hun helst skulle spare en masse tid og energi ved at få overblik og støtte. Har siddet fast i 8 år. meget brug for kontrol. Havde mange spørgsmål - jeg blev ved med at spørge om der var andet hun havde behov for at få afklaret for at have ro i maven. Det fungerede ret godt og tonen endte med at være meget positiv. Gik ind i partner objection både i begyndelsen og slutningen. Tvivl. Mindset i forhold til at tage en chance så hun kan ændre sin situation. Mindset: det primære fokusområde er hendes forhold til mad. Dårlig cyklus af over- og underspisning. Meget motiveret for at træne. Vi snakkede om hviledage og overtærning bunder i en frygt for at tage på. Balance i kost - stabil mæthed for mere energi. </t>
  </si>
  <si>
    <t>19.11.25</t>
  </si>
  <si>
    <t>Clara Lind</t>
  </si>
  <si>
    <t>26 27 80 79</t>
  </si>
  <si>
    <t>claralindc@gmail.com</t>
  </si>
  <si>
    <t>Forældre - beslutningsproces</t>
  </si>
  <si>
    <t>https://slack-files.com/T089JBRTVMM-F09UUNC0SQY-5eab6ba462</t>
  </si>
  <si>
    <t>Snakkes ved i februar - kærste skulle flytte til udlandet så måske penge på rejser kommer til at fylde meget + hun ville give det et skud selv. Arbejder på folkeskole. Sabatår. Bor hjemme. Kæreste som støtter hende. Har siddet fast i mønster i 2 år. Har svært ved at overholde aftaler med sig selv og tage beslutninger hvilket jeg udfordrede hende en helt del på - at det netop starter i dag og hvordan det ville føles for hende at stå stærkt i sig selv omkring beslutnignen af gøre det her for sig selv uden andres approval. Føler sig ikke tilpas i krop - ked af det. Tøj. Sammenligner. Kost: Snacker og overspiser. Mere balance, meal prepping, rytme. Træning: Smide lidt fedt og bygge muskelmasse - fitnesscenter + hjemmetræning. alt eller intet. Mindset: dårlig samvittighed, selvaccept, aftaler med sig selv. Hele familien og bedsteforældre er meget aktive! Føler ikke helt hun passer ind lige nu.</t>
  </si>
  <si>
    <t>Freja Aunbøl Futtrup</t>
  </si>
  <si>
    <t>21 96 75 85</t>
  </si>
  <si>
    <t>freja.futtrup@gmail.com</t>
  </si>
  <si>
    <t>Vil selv række ud når behovet opstår</t>
  </si>
  <si>
    <t>Anette Jakobsen</t>
  </si>
  <si>
    <t>42 57 29 80</t>
  </si>
  <si>
    <t>jakobsenanette75@gmail.com</t>
  </si>
  <si>
    <t>Emma Jensen</t>
  </si>
  <si>
    <t>25 75 14 19</t>
  </si>
  <si>
    <t>2710emma@gmail.com</t>
  </si>
  <si>
    <t>Michelle Rosenlund</t>
  </si>
  <si>
    <t>22 24 70 89</t>
  </si>
  <si>
    <t>michelrosenlund@gmail.com</t>
  </si>
  <si>
    <t>Karina Leonard Haugaard</t>
  </si>
  <si>
    <t>28 11 37 57</t>
  </si>
  <si>
    <t>karina.haugaard@hotmail.com</t>
  </si>
  <si>
    <t>20.11.25</t>
  </si>
  <si>
    <t>Victoria Blomstrand</t>
  </si>
  <si>
    <t>60 74 91 88</t>
  </si>
  <si>
    <t>victoriablomstrand@gmail.com</t>
  </si>
  <si>
    <t>Hjemmeboende SU</t>
  </si>
  <si>
    <t>https://slack-files.com/T08TMAAKCCU-F09UBA83SUC-d16f292d83</t>
  </si>
  <si>
    <t>19 år. Håndbold 3 gange i ugen. Har siddet fast i et år. Kost: overspiser på følelser og har altid gjort det. Føler sig meget træt og utilpas i sin krop. Træning: vil gerne styrketræne og have mere muskelmasse - hjemmetræning. Mindset: stress, indre ro, forbinde til sult og mæthed, positive tanker om sig selv. Jeg havde svært ved at få hende helt ned i pain. Samtalen blev mere overfladisk end normalt.</t>
  </si>
  <si>
    <t>Katrine Hjort</t>
  </si>
  <si>
    <t>42 19 01 01</t>
  </si>
  <si>
    <t>katrine.h.j@outlook.dk</t>
  </si>
  <si>
    <t>Sygemeldt</t>
  </si>
  <si>
    <t>https://slack-files.com/T08TMAAKCCU-F09U8R52E90-91de8ac657</t>
  </si>
  <si>
    <t xml:space="preserve">x-misbruger. Stadig i AA. Har haft spiseforstyrrelse, selvskadende adfærd. Ønsker støtte til at finde indhold og sunde rutiner i sin hverdag. Har aldrig haft balance i sit liv og ønsker nu at finde rytmen og bygge sig selv op. Mental ro. Madro. Træning: fastlagt plan, styrketræning, muskelmasse. Handling - ikke mere på mandag. Bange for tilbagefald. Ønsker at blive i stand til at overholde aftaler med sig selv. Meget motiveret. Aftalt jeg ringer til hende om 2-3 måneder og hører hvordan det går. </t>
  </si>
  <si>
    <t>23.11.25</t>
  </si>
  <si>
    <t>Therese Luchau</t>
  </si>
  <si>
    <t>53 80 41 57</t>
  </si>
  <si>
    <t>thereseluchau1995@gmail.com</t>
  </si>
  <si>
    <t xml:space="preserve">I tog på vej hjem fra Jylland. Kunne ikke nå det. </t>
  </si>
  <si>
    <t>24.11.25</t>
  </si>
  <si>
    <t>Opstart d. 1. jan grundet økonomi</t>
  </si>
  <si>
    <t>https://slack-files.com/T08TMAAKCCU-F09UWEAFQNS-a5b1836038</t>
  </si>
  <si>
    <t xml:space="preserve">Kost: Hopper over måltider og køber ofte usunde, nemme løsninger på farten. Føler sig meget træt og energiforladt og ender mest af alt på sofaen. Rytme, overskueligt, meal preppe i weekender, alternativer til søde sager, billig, balance. Træning: Starter ud med hjemmetræningsprogram men vil gerne i fitnesscenter på sigt. Muskelmasse og styrke. Mindset: Alt eller intet-mentalitet. siddet fast i 1 år. Har udsat så mange gange. Klar på at det skal være nu og ikke efter nytår. Elevatorvægt. </t>
  </si>
  <si>
    <t>Nina H. Kirkbak</t>
  </si>
  <si>
    <t>31 51 95 03</t>
  </si>
  <si>
    <t>ninakirkbak@gmail.com</t>
  </si>
  <si>
    <t>Opstart d. 1. dec - intet problem med betaling derfra (synes det var en mega god pris!) Skrev med Olivia på IG at hun ikke ville starte i forløb.</t>
  </si>
  <si>
    <t>6+</t>
  </si>
  <si>
    <t>https://slack-files.com/T08TMAAKCCU-F0A0ATFRJ00-1bcce40b99</t>
  </si>
  <si>
    <t>Har sagt ja til opkald om en måned og ser hvordan det går. Vægttab på 20 kg. Meget motiveret! Jeg brugte meget tid på at snakke om handling nu, og hvorfor hun var klar til at skabe forandring i dag. Urgency, Tog en beslutning i mandags om at starte på kur så hun kunne tabe sig. Har vejet 57 kg. for 15 år siden. 2 børn. Skilsmisse nu ny kæreste som støtter hende i forløbet/forandringen. Kost: ikke restriktiv. Balance. Oppustet. Træning: Overskueligt program til hjemme og fitnes. Gåture. På sigt løb - meget motiveret for at nå dertil igen! Holdbare vaner der føles naturligt. Madro. Ikke tælle. Har meget tvivl i forhold til hvad der virker hvilket jeg brugte som primær salgsargument. Føler det skred for 6 måender siden og er røget helt af sporet nu. Føle sig god tilpas i krop</t>
  </si>
  <si>
    <t>26.11.25</t>
  </si>
  <si>
    <t>Isabella Haas</t>
  </si>
  <si>
    <t>81 75 10 56</t>
  </si>
  <si>
    <t>ihaasbornand@gmail.com</t>
  </si>
  <si>
    <t>SU - Frygt fylder en del</t>
  </si>
  <si>
    <t>https://slack-files.com/T08TMAAKCCU-F0A0UJJB84Q-f4fe10f895</t>
  </si>
  <si>
    <t xml:space="preserve">Meget ængstelig. indtager meget sukker og kaffe. Kost: oppustet, balance, sundere, tid - nemt, protein. Stabil. Træning: Fitness + hjemmetræning - styrketræning. Primært fokus på kost. Dårlig søvn. VIl gerne forbedre sit fysiske og mentale helbred. Kronisk træt. Mindset: mental ro. angst, depression, motivaion.  Udskudt længe. Vil gerne passe bedre på sig selv nu. Går på uni/SU. </t>
  </si>
  <si>
    <t>Celina Pedersen</t>
  </si>
  <si>
    <t>60 48 47 53</t>
  </si>
  <si>
    <t>celinapedersen040@gmail.com</t>
  </si>
  <si>
    <t>Opstart d. 1. jan</t>
  </si>
  <si>
    <t>https://slack-files.com/T08TMAAKCCU-F0A0D7KU9JM-5df7ac9675</t>
  </si>
  <si>
    <t xml:space="preserve">18 år. vil gerne nå i mål før studenterkørsel til sommer. Kost: snacker meget, rytme, balance, hopper over måltider og ender med overspisning. Mangler inspiration til sund kost. Træning: Meget usikker på hvad der virker. Mangler hjælp til teknik og en klar plan. Tonet krop. Særligt maven er hun ked af. At hun føler sig utilpas i sin krop stjæler hendes nærvær med sine venner. Sidder fast i dårlig spiral. selvsikker. Fedt på mave. </t>
  </si>
  <si>
    <t>Vigga Meng</t>
  </si>
  <si>
    <t>93 89 32 20</t>
  </si>
  <si>
    <t>viggahmeng@outlook.dk</t>
  </si>
  <si>
    <t>2. g med hjemmeboende SU</t>
  </si>
  <si>
    <t>https://slack-files.com/T08TMAAKCCU-F0A00Q8B6BU-7f6ce7a111</t>
  </si>
  <si>
    <t xml:space="preserve">18 år. Kost: oppustet. Rytme, mængder, struktur. Mindre vægttab på 3 kg. Mere tonet krop. Både hjemmetræning og fitness. Mave og hofter for store hvilket gør hende meget usikker på sig selv. Tøj. Meget træt - mangler energi. Har højcostal vejrtræning - snakker om stress. Mindset: fejlfinder, negative tanker om selv. Motivation. Fremtidsperspektiv - sundhed. </t>
  </si>
  <si>
    <t>27.11.25</t>
  </si>
  <si>
    <t>Maria Catarina Søgaard</t>
  </si>
  <si>
    <t>21 34 86 70</t>
  </si>
  <si>
    <t>soegaard.m@gmail.com</t>
  </si>
  <si>
    <t>Follow up: Vil gerne igang fra 1. januar</t>
  </si>
  <si>
    <t>https://slack-files.com/T08TMAAKCCU-F0A01M5GU9Z-ca99f8a29c</t>
  </si>
  <si>
    <t xml:space="preserve">Stewardese - brug for fleksible løsninger både i forhold til kost og træning. Har et stort ønske om en brystreduktion som forudsætter hun taber 7 kg. Vil gerne tabe 10. Det har stået stille længe og hun kan ikke finde ind i rutinerne igen + manger motivation og struktur. Nævner flere gange i kaldet at hun mangler viden og vejledning i forhold til hvad der faktisk virker. Har været på rette vej med træning og kost hvor hun så en forskel for et år siden, men kan ikke komme tilbage og ved egentlig heller ikke præcis hvad der virker. Hun er ofte ude at rejse og har lange arbejdsdage hvor de spiser ude. Hjælp til at tage bedre valg. Synes forløbet virker meget attraktivt for hende fordi det er skræddersyet og fleksibelt. Har prøvet forløb før for 7 år siden som hun mistede motivationen for efter 2 måneder. </t>
  </si>
  <si>
    <t>Sanne Veda-Nielsen</t>
  </si>
  <si>
    <t>29 31 65 47</t>
  </si>
  <si>
    <t>sanne.veda@gmail.com</t>
  </si>
  <si>
    <t xml:space="preserve">Lathusana </t>
  </si>
  <si>
    <t>60 54 91 25</t>
  </si>
  <si>
    <t>lathusanaa@gmail.com</t>
  </si>
  <si>
    <t xml:space="preserve">17 år.  Økonomi, men opsparing </t>
  </si>
  <si>
    <t>https://slack-files.com/T08TMAAKCCU-F09V6KBB1QX-7e118a8d2c</t>
  </si>
  <si>
    <t xml:space="preserve">Vægttab: 10-15 kg. Mangler en plan. Ved ikke hvordan hun skal gøre. Overspiser. Oppustet. Dårlig samvittighed. Tøj, spejl. Struktur og vaner. Vil gerne i træningscentret og måske starte løb på sigt. Utilpas i krop. Jeg øvede mit double down og lagde ekstra vægt på pain i kaldet. </t>
  </si>
  <si>
    <t>01.12.25</t>
  </si>
  <si>
    <t>split-pay</t>
  </si>
  <si>
    <t>Uni, SU + fear</t>
  </si>
  <si>
    <t>Follow up fra nov. Gratis december måned.</t>
  </si>
  <si>
    <t>Selma Fink</t>
  </si>
  <si>
    <t>61 39 98 13</t>
  </si>
  <si>
    <t>selmafink1908@gmail.com</t>
  </si>
  <si>
    <t xml:space="preserve">SU (hører forældre om tilskud + har tilbudt dec. gratis) Eksaminer. Virkede interesseret i at starte på et senere tidspunkt. </t>
  </si>
  <si>
    <t>https://slack-files.com/T08TMAAKCCU-F0A0Y71MUJY-6be6bcc874</t>
  </si>
  <si>
    <t xml:space="preserve">Bæredygitge vaner. Hoppet af p-piller og har taget lidt på efter det. Vægttab på 5 kg. Har ikke følt sig 100% tilpas i sin krop de sidste 5 år. Vil gerne finde sunde rutiner. Føler weekenden er en udfordring - alkohol og dårlig mad. Spiral det sidste år. Dårlig søvn. Skrtuktur, tøj, motivation er en udfordring i forhold til træning. Vil gerne starte til reformer. Det var svært for mig at mærke hende på kaldet - ikke lige så god connection som normalt. Mere dybde. </t>
  </si>
  <si>
    <t>Emilie Munk</t>
  </si>
  <si>
    <t>52 16 72 62</t>
  </si>
  <si>
    <t>emiliemunkkurtzmann@gmail.com</t>
  </si>
  <si>
    <t>02.12.25</t>
  </si>
  <si>
    <t xml:space="preserve">Kontaktet fra sidste måned. Ville gerne starte op 1. jan. Fik tilbud om gratis december. </t>
  </si>
  <si>
    <t>Josefine Steen-Jørgensen</t>
  </si>
  <si>
    <t>61 45 79 82</t>
  </si>
  <si>
    <t>josefinesteenj@gmail.com</t>
  </si>
  <si>
    <t>Forældre, troen på at ting kan ændre sig</t>
  </si>
  <si>
    <t>https://slack-files.com/T08TMAAKCCU-F0A10RRG0BF-daf50a8f91</t>
  </si>
  <si>
    <t>PCOS. Vægttab på 10 kg. ADD. Alt står stille selv om hun forsøger. Har stået stille i minimum 5 år. Spiser i øjeblikket anitinflammatorisk. Mangler inspiration til nem, overskuelig kost. Struktur. Dårlig søvn. Utilpas i krop. Mangler sunde rutiner. Mere energi og overskud. Vil bare gerne have det godt. Det var svært at komme tæt på hende de første 10 min. men så fik jeg spurgt ind til hvordan hun  faktisk har det som gjorde hende meget berørt. Ked af det flere gange på kaldet - også til sidst efter pitch da hun virkelig føler det er det rigtige forløb for hende. Mange fordomme overfor coaches (altid med i realityprogrammer) men gik ind til samtalen med et åbent mindset. Gider ikke udsætte mere. Meget nervøs for om Olivia har tid nok til sine klienter eller om man bliver en af 1000 og forsvinder i systemet. Aftalt at snakkes ved om et par måneder.</t>
  </si>
  <si>
    <t>03.12.25</t>
  </si>
  <si>
    <t>Emma Louise Spangaard Bittan</t>
  </si>
  <si>
    <t>60 61 02 36</t>
  </si>
  <si>
    <t>emma-bittan@hotmail.com</t>
  </si>
  <si>
    <t>05.12.25</t>
  </si>
  <si>
    <t>Nicoline Benedicte Mona Andreasen</t>
  </si>
  <si>
    <t>41 15 43 02</t>
  </si>
  <si>
    <t>nicolineandreasen0202@gmail.com</t>
  </si>
  <si>
    <t>https://slack-files.com/T08TMAAKCCU-F0A1LTMSTTM-24317f94bc</t>
  </si>
  <si>
    <t xml:space="preserve">Har været i forløb før for 1 år siden med sin bror - skulle tælle og veje alt. Arbejder i bager. 2. sabatår. Træning: har okay styr på træningen men vil gerne have hjælp. Kost: skidt forhold til kost - siger selv at det fylder meget for hende hver dag. Vil gerne have styr på mindset og kost. Etablere et sundt forhold til mad. Overspisning. Oppustethed fylder meget. Siger selv hun føler sig ulækker og bliver meget ked af det da vi taler ind i det er noget hun gør ved sig selv. Og at hun nu er klar til at behandle sig selv bedre. Mere selvtillid. Tøj. Spiser meget hele dagen nogle gange - føler sig ikke mæt og har usunde vaner. Vil gerne tabe 5-8 kg. på den rigtige måde. </t>
  </si>
  <si>
    <t>07.12.25</t>
  </si>
  <si>
    <t>Partner (ønsker parforløb)</t>
  </si>
  <si>
    <t>https://slack-files.com/T08TMAAKCCU-F0A1W8EQ2CB-9eac1c3651</t>
  </si>
  <si>
    <t xml:space="preserve">(Fandt forløb sammen med kæreste) Forløb før hvor hun talte kalorier. Køber meget Take away og slik - vil gerne finde balancen så hende og hendes kæreste ikke slipper i weekenderne. Har altid følt sig utilpas i sin krop og vil gerne nå i mål nu. Snakker om at hun ikke vil bruge mere tid det sted hun er nu da det er spild af tid. Taler meget om at tage handling nu. Vil gerne tabe 5-6 kg. Har sagt "på mandag" alt for længe. Mindset: blive god til at overholde aftaler med sig selv. Kost: hele fødevarer og inspiration til kostsammensætning. Træning: bedre kondi, sparring til styrketræning (4 gange i ugen) mere viden. Tøj fylder meget for hende. Hun tænker på sin krop hver 2. time dagligt. </t>
  </si>
  <si>
    <t>10.12.25</t>
  </si>
  <si>
    <t>Cille Nissen</t>
  </si>
  <si>
    <t>41 10 89 70</t>
  </si>
  <si>
    <t>cillen93@hotmail.com</t>
  </si>
  <si>
    <t>Tid, udsætte, frygt for at fejle, penge</t>
  </si>
  <si>
    <t>https://slack-files.com/T08TMAAKCCU-F0A2QFJV0GJ-e02692e78e</t>
  </si>
  <si>
    <t xml:space="preserve">Har skrevet besked hun vil tænke over opstart. Prøvet mange forskellige forløb - både PT og kostvejledning. Sygemeldt med stress. Skolelærer. Selv PT. Wegovy: tabt 30 kg. men er ved at tage på igen. Alt eller intet mentalitet. Ved det er kosten der halter. Prøver men kan ikke finde balancen. Vægttab: 5-6 kg. Træning: funktionel træning, muskemasse - træner meget med kæreste. Har døjet med overspisninger og dårlig samvittighed. Gør stadig på ugentlig basis. Var ikke glad for at åbne op omkring det. Får ikke optimalt ud af sin træning. Stilstand de sidste 6 måneder mens vægten stiger. Havde paraderne oppe gennem hele kaldet. Ville ikke tage beslutninger og frygten for at købe sig endnu et forløb der ikke virkede fyldte meget for hende. </t>
  </si>
  <si>
    <t>Kathrine Kondrup</t>
  </si>
  <si>
    <t>42 41 42 70</t>
  </si>
  <si>
    <t>kathrinekondrup@gmail.com</t>
  </si>
  <si>
    <t>11.12.25</t>
  </si>
  <si>
    <t>Caroline Skou Markussen</t>
  </si>
  <si>
    <t>30 25 44 39</t>
  </si>
  <si>
    <t>caroline-skou@hotmail.com</t>
  </si>
  <si>
    <t>Fulgt op på 2 gange - vil ikke bruge 1500 pr. måned</t>
  </si>
  <si>
    <t>https://slack-files.com/T08TMAAKCCU-F0A36QUQPEW-6b6e35e0be</t>
  </si>
  <si>
    <t xml:space="preserve">2 børn. På wegovy - ønsker yderligere vægttab på 10 kg. Har været på kure, forløb med online coaches før, men er ikke nået i mål. Ofte har hun løget overfor sig selv og coachen hvilket jeg dykkede ned i og sagde vi nok skulle gøre hvad vi kunne for at skabe den tillid, men om hun på den anden side også var klar til at være ærlig over for sig selv og os så vi kan få hende i mål. Taler meget grimt til sig selv. Bruger ordet "ulækker krop" om sig selv. Føler ikke hun er god nok. Slevværd. Startede ud med udelukkende at ville have en træningsplan men vi fandt frem til det var et bredere behov og at det hele hang sammen. Ønsker madro - overspiser på kedsomhed. Vil gerne være den bedste version af sig selv for sine børn. Ked af sin mave efter 15 kg. vægttab på 6 måneder. strammes op. </t>
  </si>
  <si>
    <t>12.12.25</t>
  </si>
  <si>
    <t>Cecilia S. Frederiksen</t>
  </si>
  <si>
    <t>50 47 97 30</t>
  </si>
  <si>
    <t>cecilia.frederik@gmail.com</t>
  </si>
  <si>
    <t>Udsætte, spørge mor hvad hun synes</t>
  </si>
  <si>
    <t>https://slack-files.com/T08TMAAKCCU-F0A30DR9MM1-b1b0b1e403</t>
  </si>
  <si>
    <t xml:space="preserve">Overspiser efterfulgt af oppustethed. Føler sig meget utilfreds med sin krop og skammer sig over hvordan den ser ud. Hun føler sig ofte ked af det. Overspiser en gang i ugen. Kan mærke lige før det sker. Ofte på dage hun ikke skal noget. Vil gerne have en let tonet krop. Har styr på træningen og kostbalancen, men rytme og mængder af mad er hun plaget af at tænke over hele tiden. Mangler madro. Primære fokus! Mental ro. Mange stresstanker omrking mad. Har haft depression. Går i forløb hos psykolog. Det er blevet meget værre det sidste halve år og hun har nogle gange kastet op efter sin overspisning fordi hun får det dårligt. </t>
  </si>
  <si>
    <t>15.12.25</t>
  </si>
  <si>
    <t>Nana Obel</t>
  </si>
  <si>
    <t>22 42 13 00</t>
  </si>
  <si>
    <t>nana@obel.one</t>
  </si>
  <si>
    <t>Julie Bjerre</t>
  </si>
  <si>
    <t>20 93 88 90</t>
  </si>
  <si>
    <t>juliebjaerre@hotmail.com</t>
  </si>
  <si>
    <t>Fandt en gratis PT i gym hun hellere ville gå med</t>
  </si>
  <si>
    <t>18.12.25</t>
  </si>
  <si>
    <t>Vanessa Flechtner</t>
  </si>
  <si>
    <t>20 66 01 17</t>
  </si>
  <si>
    <t>vanessaflechtner8@gmail.com</t>
  </si>
  <si>
    <t>Baby</t>
  </si>
  <si>
    <t>20.12.25</t>
  </si>
  <si>
    <t>Hannah Madsen (Stoppet før tid)</t>
  </si>
  <si>
    <t>22 18 14 96</t>
  </si>
  <si>
    <t>hannahsmail@icloud.com</t>
  </si>
  <si>
    <t>https://slack-files.com/T08TMAAKCCU-F0A56BQLBG9-168b6c4e0f</t>
  </si>
  <si>
    <t xml:space="preserve">Har haft spiseforstyrrelse (BED, anoreksi, bulimi) Kropshad, kontrol, mindset, faste rutiner, struktur, madforståelse/madro, kostsammensætning, overspisning, frygt for mad, selvværd. Bange for tilbagefald. Føler sig et okay sted lige nu. Har overtrænet en del og talt kalorier. Har understreget vi ikke er et behandlingstilbud og hvordan vi kan hjælpe. Går 6 år tilbage (er 22 år). Velartikuleret omkring hvad hun har brug for, meget åben og selvbevidst. </t>
  </si>
  <si>
    <t>29.12.25</t>
  </si>
  <si>
    <t>Ronja</t>
  </si>
  <si>
    <t>30 36 05 08</t>
  </si>
  <si>
    <t>ronia@hotmail.dk</t>
  </si>
  <si>
    <t xml:space="preserve">Autisme + ADHD: kunne ikke holde koncentrationen eller tage valg </t>
  </si>
  <si>
    <t>https://slack-files.com/T08TMAAKCCU-F0A620X04EQ-c50488b634</t>
  </si>
  <si>
    <t xml:space="preserve">Lider af overspisning når hun ikke tager medicin. Slår sig selv i hovedet. Forsøger at have kontrol over sine vaner men kan ikke finde rytmen. Det var meget svært at grave motivation frem da hun ikke havde tænkt længere end samtalen og ikke havde forestillingsevne om fremtiden. Vidste ikke helt hvorfor hun ville have hjælp, men fandt frem til i snakken at hun gerne vil ændre sit selvbillede, finde en stabil vægt, forbedre kondi. Ked af sine ben. Siger meget "det er fint nok" hvilket jeg forsøger at dykke ned i mere end en gang. Jeg mærker hurtigt at samtalen bliver overvældende for hende. Prøvede at komme ud af samtalen til sidst fordi hun ikke kunne fokusere mere. </t>
  </si>
  <si>
    <t>05.01.26</t>
  </si>
  <si>
    <t>Malene Bengtsen</t>
  </si>
  <si>
    <t>20 57 98 94</t>
  </si>
  <si>
    <t>malene_bengtsen@hotmail.com</t>
  </si>
  <si>
    <t>https://slack-files.com/T08TMAAKCCU-F0A6XGU5344-e1f9aa24f0</t>
  </si>
  <si>
    <t xml:space="preserve">Har været i forløb for 3 år siden som gav gode resultater. Vi snakkede om at vi skal have fundet ud af hvad der fungerer for hende så hun ikke skal i forløb igen. Søvnproblemer, mangler energi, tænker meget på mad og hvad der er rigtigt, beskriver hun er doven, træner på hold i øjeblikket da hun som fys ikke gider lave programmer selv. Ser ikke de resultater hun gerne vil have : tabe 10 kg. mere tonet. Føle sig hjemme i sin krop. Føler hun er det værd og vil gerne knække koden til hvad der fungerer godt for hende nu. Har prøvet kure og piller. Ønsker at få en god forståelse for mad. Mere selvtillid + kroplig og mental ro. Vil rigtig gerne lære at overholde aftaler med sig selv! </t>
  </si>
  <si>
    <t>Anna Larsen</t>
  </si>
  <si>
    <t>28 30 07 97</t>
  </si>
  <si>
    <t>anna97larsen@gmail.com</t>
  </si>
  <si>
    <t>Insisterer på at sove på beslutningen</t>
  </si>
  <si>
    <t>https://slack-files.com/T08TMAAKCCU-F0A7H47UZGE-43b67f3ceb</t>
  </si>
  <si>
    <t xml:space="preserve">Har undersøgt mange forskellige forløb og føler Olivia har en meget bedre tilgang med fokus på mindset som Anna har indset hun har brug for at ændre. Skal ud at rejse d. 16. januar og to uger frem. Kost: Hel, sund mad. Balance. Rytme. Spiser ofte på arbejdet (advokat) så det skal passe ind uden at være restiktivt. Lette løsninger og meal prep i pressede perioder så hun ikke tyr til usunde alternativer. Får dårlig samvittighed. Vægttab: 10 kg. Alt eller intet. Har stået på i 2-3 år. Slipper i weekenderne og spiser meget usund mad - vil gerne ændre mindset fra at hygge sig er usundt til hygge kan være sundt og selvomsorg. Utilpas i sin krop. Selvværd. Stabil energi både for sig selv og sin karriere. </t>
  </si>
  <si>
    <t>06.01.26</t>
  </si>
  <si>
    <t>Sofie Hansen Bossen</t>
  </si>
  <si>
    <t>51 68 62 69</t>
  </si>
  <si>
    <t>bossenbiel23@gmail.com</t>
  </si>
  <si>
    <t>https://slack-files.com/T08TMAAKCCU-F0A6V92NVLK-62f7f5a331</t>
  </si>
  <si>
    <t xml:space="preserve">Har været undervægtig meget af sit liv og tog 60 kg på det sidste år. Har det fint med at få flere former, men vil gerne konvertere fedt til muskler. x-misbruger som gerne vil skabe et sundt liv hvor hun føler sig selvsikker og godt tilpas i sin krop. Utilfreds med spejlbillede. Vil gerne hvile mere i sig selv. Tænker øv når hun ser sit eget spejlbillede. Har tænkt længe over at få hjælp. Mindset: døjet med angst og om hun er god nok. Har tænkt længe hun "kan selv" men er nået frem til at hun har brug for hjælp. Ønsker at se resultater af sin indsats i træningscentret. </t>
  </si>
  <si>
    <t>Amanda Klenow Lehr</t>
  </si>
  <si>
    <t>61 69 00 01</t>
  </si>
  <si>
    <t>amandaklenowlehr@gmail.com</t>
  </si>
  <si>
    <t>07.01.26</t>
  </si>
  <si>
    <t>SOFIE THARUMALINGAM</t>
  </si>
  <si>
    <t>51 93 76 83</t>
  </si>
  <si>
    <t>sofie.tharum@outlook.dk</t>
  </si>
  <si>
    <t>Bange for ikke at lykkedes</t>
  </si>
  <si>
    <t>https://slack-files.com/T08TMAAKCCU-F0A7470ADJP-611abfe5f9</t>
  </si>
  <si>
    <t xml:space="preserve">Føler sig  meget usikker på sin krop. Begyndte at træne selv i nov og vil gerne have redskaberne til at nå helt i mål med sine resultater så hun kan føle sig godt tilpas. Viden om kostbalance, træning, vil gerne tabe fedt fra mave og ben og komme i form. Muskelmasse. Vil gerne ændre sit mindset og blive god til at overholde aftaler med sig selv - hun nævner selvdiciplin. Bedre forhold til krop. Var super klar på at komme igang ved pricedrop men da hun skulle indtaste betalingsoplysninger blev hun nervøs for at tage næste skridt. Vi snakker om frygten og bedst mulige situation for at nå helt i mål med det hun gerne vil. Er frem og tilbage. Siger ja igen, men ender med at udsætte. Vil meget gerne siger hun flere gange. </t>
  </si>
  <si>
    <t>08.01.26</t>
  </si>
  <si>
    <t>Vibeke Lily Struck</t>
  </si>
  <si>
    <t>60 81 35 20</t>
  </si>
  <si>
    <t>vibeke.struck@hotmail.com</t>
  </si>
  <si>
    <t>https://slack-files.com/T08TMAAKCCU-F0A7DEU2T0T-febea237ac</t>
  </si>
  <si>
    <t xml:space="preserve">Lige været sygemeldt med stress. Skolelærer (overvejer ny vej) Har flere tendenser af spiseforstyrrelse men har ikke fået en diagnostiseret - meget bevidst. Har været på et hav af kure. Meget perfektionistisk. Har aldrig taget sig af sig selv eller sat sig selv først. Altid andre før. Spiser ikke nok - sulter sig selv. Mærker sult men kontollerer mindre mængder. Mangler energi. Føler sig usikker og vil gerne bære sig selv bedre - udstråling. Etableret vaner og struktur. Madro, kostsammensætning, mængder og balance. Forbinde til sult. Regulere nervesystem. Vægttab på 5 kg. Toner op. Se resultater af sin træning. Finde glæde ved træning - ønske om 3 gange i ugen. Selvværd, motivation, overholde aftaler med sig selv. Angst. Siddet fast i et uhensigtsmæssigt mønster i 11 år. 30 år. klar til at bryde med det og skabe det liv hun gerne vil have. Træt af tvivl. Har været i forløb før. </t>
  </si>
  <si>
    <t>09.01.26</t>
  </si>
  <si>
    <t>Alma Greibe Leander</t>
  </si>
  <si>
    <t>53 38 19 09</t>
  </si>
  <si>
    <t>alma.leander@outlook.dk</t>
  </si>
  <si>
    <t>https://slack-files.com/T08TMAAKCCU-F0A7MKC9SRK-2a6f5302be</t>
  </si>
  <si>
    <t xml:space="preserve">Været i online forløb før med fokus på vægttab. Har været restriktiv i forhold til kalorier og mad generelt. Eksluderet i sociale fællesskaber. Påvirker hende meget både mentalt og fysisk ikke at kunne finde balancen. Kost: oppustet, fordøjelse, balance, madro, aflære restiktiv tænkning i frygt for at tage på. Træning: kan godt lide at træne. Ser ikke resultater hun gerne vil - vægttab på 5 kg. tonet, usikker på mave hvor alt samler sig. Mindset: forbinde til krop, balance i vaner, lære krop og signaler at kende og navigere efter dem, alt eller intet. Jojovægt gennem mange år. Dårlig søvn, uro i nervesystem. (Har været ude at rejse og havde sat mål for sig selv hun ikke nåede) Vil gerne nå i mål før sommer så hun kan føle sig godt tilpas. </t>
  </si>
  <si>
    <t>Henriette Mandrup</t>
  </si>
  <si>
    <t>22 42 63 67</t>
  </si>
  <si>
    <t>hmandruppoulsen@gmail.com</t>
  </si>
  <si>
    <t>Bange for ikke at lykkedes + penge</t>
  </si>
  <si>
    <t>https://slack-files.com/T08TMAAKCCU-F0A8MEFNLGY-b480511123</t>
  </si>
  <si>
    <t xml:space="preserve">Vægttab 20-30 kg. Overspiser på daglig basis. Trøstespiser. Hader sig selv. Skidt forhold til krop. Mobilitet - pinligt. Tøj. Stået på i 5 år. Mindset: selvværd. Positive tanker om selv. Spiser og handler på impuls. Alt står stille og hun sidder fast i dårlig spiral. Ønsker at tage handling. Er 31 og vil ikke leve sådan her resten af hendes liv. Har haft PT men virkede ikke. </t>
  </si>
  <si>
    <t>11.01.26</t>
  </si>
  <si>
    <t>Caroline Tønnesen</t>
  </si>
  <si>
    <t>26 92 21 60</t>
  </si>
  <si>
    <t>carolinetonnesen1@gmail.com</t>
  </si>
  <si>
    <t xml:space="preserve">SU uden lån  </t>
  </si>
  <si>
    <t>https://slack-files.com/T08TMAAKCCU-F0A7YKLGZ29-2c78c7272a</t>
  </si>
  <si>
    <t xml:space="preserve">Haft coach før - dårlig erfaring. Oppustet, utilpas og opspændt i maven for at trække den ind. Mangler overskud, balance i kosten (vælger ofte nemme, hurtige løsninger). Har forsøgt at finde en trænignsrutine men sætter baren for højt for sig selv. Alt eller intet. Sidder fast i spiral 7 år. Har tendens til at presse sig selv hårdt hvilket er årsagen til at hun fortsætter i samme uhensigtsmæssige spiral. Vil gerne finde balacen så hun kan føle sig godt tilpas i sig selv. </t>
  </si>
  <si>
    <t>12.01.26</t>
  </si>
  <si>
    <t>Josefine Hauge</t>
  </si>
  <si>
    <t>93 93 19 33</t>
  </si>
  <si>
    <t>jose@hans-j.dk</t>
  </si>
  <si>
    <t>https://slack-files.com/T08TMAAKCCU-F0A7TFC4KFH-5f68d748ba</t>
  </si>
  <si>
    <t xml:space="preserve">Vil gerne have styr på de sunde, gode vaner. Kost: har haft en spiseforstyrrelse for 10 år siden som har efterslæb hun gerne vil bryde ud af. Hopper over måltider eller sulter sig selv på daglig basis. Spiser nemme, usunde løsninger når hun så spiser. Har siddet fast i mønster i 5 år. Går ud over selvtillid. Træt og mangler energi til at lave andet end at lægge på sofaen når hun kommer hjem fra arbejde (SFO) går ud over hendes sociale liv - orker ofte ikke sociale arrangementer. Ønsker et mindre vægttab - ked af mave. Mangler viden og rytme omkring mad. Vænne kroppen til at spise igen. Fremtidsperspektiv - børn. </t>
  </si>
  <si>
    <t>Anna Brandt</t>
  </si>
  <si>
    <t>42 40 04 78</t>
  </si>
  <si>
    <t>annabn9@yahoo.dk</t>
  </si>
  <si>
    <t>https://slack-files.com/T08TMAAKCCU-F0A8HLG0PPW-50902ae04d</t>
  </si>
  <si>
    <t xml:space="preserve">Anna har svært ved at finde ud af kosten. Hun spiser for meget og ved ikke hvad der er sundt for hende at spise når hun træner så meget som hun gør - crossfit 4 gange i ugen, spinning mv. Vægten er steget de sidste 2 år og de sidste 2 måneder er hun blevet bekymret for om det fortsætter. Det er begyndt at gå hende på. Framet som en der tager action og handler impulsivt men på en positiv måde i stedet for at tænke længe over ting da det ikke leder til handling. Slår sig selv i hovedet over hvordan hun ser ud og hvorfor hun ikke kan knække koden. Ved hun har brug for hjælp og finder styrke i at bede om den. Vægttab: 5-10 kg. </t>
  </si>
  <si>
    <t>13.01.26</t>
  </si>
  <si>
    <t>Mathilde Hanne Høver Børgesen</t>
  </si>
  <si>
    <t>29 90 57 77</t>
  </si>
  <si>
    <t>mathilde@borgesen.biz</t>
  </si>
  <si>
    <t>Bange for kontroltab - at bryde med gammelt restiktivt mønster</t>
  </si>
  <si>
    <t>https://slack-files.com/T08TMAAKCCU-F0A87M9B43D-5eb4c40eca</t>
  </si>
  <si>
    <t xml:space="preserve">Mistet sin mensturation siden 2024. Har haft et meget restriktivt forhold til kost de sidste to år. Hun har tabt 13 kg. men føler ikke længere restiktionerne hjælper hende - de begrænser hende i at nyde livet og det er en kontrol hun har svært ved at komme ud af. Kæreste gennem 6 år. Hun siger selv hun savner lysten til livet og være mere fri i hvad hun gør og hvordan hun tænker om sig selv. Ked af hvad hun ser i spejlet. Tone og styrke sin krop efter vægttabet. Ked af mave, ben og bagdel. Var nervøs for at tage næste skridt og bryde med mønster. Talte om hun følte sig klar til at udfordre det, da det netop er det der skal arbejdes med for at hun kan nå i mål. Hun var klar til at udfordre selv om det var svært. </t>
  </si>
  <si>
    <t>14.01.26</t>
  </si>
  <si>
    <t>Sarah Bebe</t>
  </si>
  <si>
    <t>24 43 27 14</t>
  </si>
  <si>
    <t>sabeb10@hotmail.com</t>
  </si>
  <si>
    <t>Brændt af af coach før - usikkerhed hele vejen igennem kald</t>
  </si>
  <si>
    <t>https://slack-files.com/T08TMAAKCCU-F0A8T520GDA-a0a14b34f6</t>
  </si>
  <si>
    <t>Blevet brændt før af en coach - fik ikke den støtte hun betalte for og var bundet til at betale for hele forløbet. Meget i tvivl om coaches. Ville helst ikke have optagelsen af samtalen gemt, spurgte om vi var scam da hun betalte. Generelt meget mistroisk hvilket vi taler meget åbent om hele samentalen igennem. Var igennem et break up for tre år siden, psykologisk utryghed på arbejdspladsen, flyttede mv. Stresssygmeldt og ud fra hvad hun fortalte tendenserer hendes beskrivelser til depression. Hun kan godt lide at lave mad men føler ikke hun vil lave ordentlig mad til sig selv. Kan ikke genkende sig selv i spejlet. Ønsker et lettere vægttab, gode rutiner. Morgenrutiner hvor hun har lyst til at stå op. Hun har en hund som betyder meget for hende og en af årsagerne til at hun ønsker hjælp er både af sundhedsmæssige årsager - bange for at få livsstilssygdomme som diabetes hvis hun fortsætter som hun gør nu, men ønsker at være mere stabil for sin hund da den er meget nervøs for at være alene, eller.. sætte sig selv et bedre stabilt sted hvis hun skal af med den. Blev meget rørt af at tale om at skulle af med den, ven gennem hård tid og sørger for hun kommer ud. Vi har aftalt jeg ringer til hende om 2 måneder og hører hvordan det går med hende.</t>
  </si>
  <si>
    <t>Aroma</t>
  </si>
  <si>
    <t>50 69 61 90</t>
  </si>
  <si>
    <t>aroma@live.dk</t>
  </si>
  <si>
    <t>Understøttelse + bryllup i juli</t>
  </si>
  <si>
    <t>IG kald</t>
  </si>
  <si>
    <t xml:space="preserve">Var ikke super interesseret i ved varende resultater. Ville gerne have booty og talje til sit bryllup hurtigst muligt. Føler sig motiveret NU grundet brylluppet. Vil gerne stråle og have masser af selvtillid på dagen. Snakker meget om bindingsperiode og betaling. Vil gerne have vejledning i kost og træning. Troede Olivia var PT, men kunne godt se ideen med mere støtte på daglig basis. </t>
  </si>
  <si>
    <t>Caroline Suma</t>
  </si>
  <si>
    <t>caroline.aarslev@gmail.com</t>
  </si>
  <si>
    <t>Fandt en PT i netværk</t>
  </si>
  <si>
    <t>15.01.26</t>
  </si>
  <si>
    <t>Emilie Stolberg</t>
  </si>
  <si>
    <t>25 56 32 31</t>
  </si>
  <si>
    <t>emilieoebro@hotmail.com</t>
  </si>
  <si>
    <t>Penge (følger op i morgen)</t>
  </si>
  <si>
    <t>https://slack-files.com/T08TMAAKCCU-F0A8UJHDG1L-f0fe0c6118</t>
  </si>
  <si>
    <t>Kunne ikke se sig selv i forløbet på follow up. Er meget glad for struktur og kontrol. Sygeplejerske med skiftende tider. Pain: svært ved at finde en god rytme i måltider. Nævner hun ikke spiser om natten da hun har hørt det ikke er godt for kroppen. Tvivl omkring rytme i mad. Ønsker mere overskud. 4 år. Spiser sundt og træner en del - slank i god form siger hun selv. Sidder fast i en spiral af ikke at spise nok og nogle gange tage nemme løsninger. Slår sig selv i hovedet over hun ikke kan selv. Interesseret i mindset. Går til holdtræninger. Vi snakkede om selvstædnig træning som en mere fleksibel løsning. Vil gerne gøre det selv, men overvejer lidt støtte nu.</t>
  </si>
  <si>
    <t>Julie G. Pedersen</t>
  </si>
  <si>
    <t>29 71 24 15</t>
  </si>
  <si>
    <t>julie.grangaard05@gmail.com</t>
  </si>
  <si>
    <t>Blev bange ved betalingen</t>
  </si>
  <si>
    <t xml:space="preserve">Altid oppustet, overspiser, overtænker i forhold til mad - tænker på det 24/7. Spiser på følelser. Dækker sig altid til i stort tøj. Har stress, OCD, angst. Ønsker muskelmasse, fedttab, balance i kosten + mindset, madro og få løst maveproblemer. Har døjet med det altid. særligt de sidste 5 år. har været i coachingforløb før hvilket gik fint. men det var primært fokus på træning og lidt kost. </t>
  </si>
  <si>
    <t>18.01.26</t>
  </si>
  <si>
    <t>Caroline Mathilde Christensen</t>
  </si>
  <si>
    <t>caroschelde@gmail.com</t>
  </si>
  <si>
    <t>Alav</t>
  </si>
  <si>
    <t>42 26 98 93</t>
  </si>
  <si>
    <t>milanonoman783@gmail.com</t>
  </si>
  <si>
    <t xml:space="preserve">SU og enlig mor uden opsparing </t>
  </si>
  <si>
    <t>https://slack-files.com/T08TMAAKCCU-F0A9DM8G32S-537fdf5b62</t>
  </si>
  <si>
    <t>Alav ønsker mere indhold i livet. Hun taler om bekymringer om depression og psyiske sygdomme hvis hun fortsætter som hun lever nu. Hun har ikke haft en kæreste eller et ordenligt netværk i 6 år eller mere. Vil gerne passe godt på sig selv, sætte en streg i sandet og ændre sit liv. Hun har udsat i mange år og er meget bevidst om at det er hendes mønster. Mere glad og selvsikker. Vejledning og støtte til at finde ud af hvordan hun kan skabe en hverdag med sin datter hvor hun også passer på sig selv så hun får lyst til at gå mere ud og få nye bekendtskaber. Men hun har ikke overskud til selv at skabe strukturen.</t>
  </si>
  <si>
    <t>19.01.26</t>
  </si>
  <si>
    <t>Margrethe Lind Larsen</t>
  </si>
  <si>
    <t>22 55 71 02</t>
  </si>
  <si>
    <t>margrethelind@yahoo.dk</t>
  </si>
  <si>
    <t>Usikker og overtænker</t>
  </si>
  <si>
    <t>https://slack-files.com/T08TMAAKCCU-F0AAGJ1GAUQ-a62a8a749c</t>
  </si>
  <si>
    <t xml:space="preserve">Usikkerhed og utilpashed i krop fylder meget. Overtænker alt siger hun og har udsat i flere år (sabat år, bor hjemme, 20 år). Har over- og underspist førhen, tænker enormt meget på hvordan hun skal træne og spise for at nå sit mål og føle sig mere tilpas i sin krop. Mental uro og overtænkning fylder meget for hende. Stået på i 4 år. Ønsker at blive strammet op og ikke være hende den tykke af veninderne. Når hun bliver oppustet er hun endnu mere usikker. Er nervøs for den årlige veninderejse de skal på - om hun endnu et år skal være selvbevidst om hvad hun tager på og bikini. Manlger en klar plan og struktur på hvordan hun skal gøre så hun kan være en mere glad version af sig selv. </t>
  </si>
  <si>
    <t>21.01.26</t>
  </si>
  <si>
    <t>Maria-Louise Back</t>
  </si>
  <si>
    <t>29 82 34 58</t>
  </si>
  <si>
    <t>marialouise.back@outlook.dk</t>
  </si>
  <si>
    <t>https://slack-files.com/T08TMAAKCCU-F0AA07AMGKY-f4b5e0c6a3</t>
  </si>
  <si>
    <t xml:space="preserve">Lige blevet udredt for spiseforstyrrelse men opfylder ikke alle krav. Ligger i mellemfeltet. På barset på 6 måned. Ønsker at få barn nummer 2, men har ikke et sundt forhold til mad eller krop lige nu - motivation for at komme igang. Hun oplever meget skyldfølelse omkring mad, tæller konstant kalorier hvilket gør hende mindre fri i hverdagen - hvis hendes mor kommer med kage tænker hun over hun skal træne for at brænde kalorier af. Er meget udmattet og ked af det hver dag hun står op og føler hun skal starte forfra uden at vide hvordan. Konstant oppustet hvilket får hende til at hoppe over måltider. Kvalme, usikker på hvilke madvarer der er "rigtige" og "forkerte". Ønsker at få sin gamle krop tilbage. Snakker meget om muskelmasse som hun har tabt. Har tabt 4 kg uden at gøre noget de sidste to måneder. Vejer nu 54 kg og er 173 høj. Vil gerne tage 4 kg på i muskelmasse igen. Ønsker mere madro! Meget udmattet og bange for hvordan fremtiden ser ud hvis hun ikke får hjælp - gå ned med stress eller få en regulær spiseforstyrrelse. </t>
  </si>
  <si>
    <t>Sara</t>
  </si>
  <si>
    <t>53 80 49 12</t>
  </si>
  <si>
    <t>sara06al@gmail.com</t>
  </si>
  <si>
    <t>Tjener 8000 i måneden</t>
  </si>
  <si>
    <t>https://slack-files.com/T08TMAAKCCU-F0AA1H9TDV3-9a8c63bb29</t>
  </si>
  <si>
    <t xml:space="preserve">Sagde hun ville vende tilbage. Virkede enormt opsat på at blive den bedste version af sig selv og skabe et sundt forhold til sig selv og sin krop. Føler der var momentum. ADHD, 20 år. Har haft spiseforstyrrelse og været overvægtig. Kost: ønsker rytme, viden og struktur. Mangler selvtillid. altid træt dårligt humør. aflyser ofte aftaler grundet udmattelse. Får ikke nok næring. Vil rigtig gerne igang med at træne. Har en drøm om værepligt om 1,5 år. Sætte sig selv først. </t>
  </si>
  <si>
    <t>22.01.26</t>
  </si>
  <si>
    <t>Isabella Hjort Reuter</t>
  </si>
  <si>
    <t>22 77 59 40</t>
  </si>
  <si>
    <t>isabellahreuter@outlook.dk</t>
  </si>
  <si>
    <t>https://slack-files.com/T08TMAAKCCU-F0A9U1M45BR-ee0c1dc169</t>
  </si>
  <si>
    <t xml:space="preserve">Har angst, går til psykolog. Ofte angst og overtænkning omkring mad fylder meget for hende. Isolerer sig og er ikke så social som hun ønsker at være. Vil gerne have en god træningsrutine - 2 gange i ugen bare for lidt bevægelse. Primær pain - tanker omkring mad, hvor meget, hvornår og hvilke fødevarer. Får ikke nok og ender med at overspise. Ofte meget sulten og snacker gennem dagen. Kende sig selv og sin krop bedre. Meget klar på at arbejde med sig selv. Har svært ved at falde i søvn. Ser sammenhængen og værdien i livsstilændring og hvordan den påvirker hendes angst. Framet meget til at tage handling som hun greb! </t>
  </si>
  <si>
    <t>26.01.26</t>
  </si>
  <si>
    <t xml:space="preserve">Pernille Juul </t>
  </si>
  <si>
    <t>26 11 16 18</t>
  </si>
  <si>
    <t>pernillejuuls@hotmail.com</t>
  </si>
  <si>
    <t>https://slack-files.com/T08TMAAKCCU-F0AB176U7U2-23d943ce9f</t>
  </si>
  <si>
    <t xml:space="preserve">Selvstændig fysioterapeut + håndboldspiller. Har styr på træningen, men finder det udfordrende at finde balacen i maden. Har været igennem en svær periode med pres og stress og været ude af balance de sidste 2 år. Virkede meget usikker og ukonkret i starten af kaldet når det kom til at beskrive hvad hun havde brug for hjælp til og hvorfor hun gerne ville have hjælp nu - skulle støttes i at sætte ord på, men vi fandt frem til et mere klart mål og årsag til at handle gennem samtalen. Virkede lidt påpasselig, men greb små humoristiske kommentarer jeg gav flere gange, hvilket fik hende til at slappe mere af i slutniningen. Vil gerne tabe 10 kg. Brug for støtte til balance, rytme og viden om kost. </t>
  </si>
  <si>
    <t>28.01.26</t>
  </si>
  <si>
    <t>Caroline Lykke Busk</t>
  </si>
  <si>
    <t>51 95 46 90</t>
  </si>
  <si>
    <t>carobusk@gmail.com</t>
  </si>
  <si>
    <t>Dobbelthusleje efter lejlighedskøb - vil gerne igang</t>
  </si>
  <si>
    <t>https://slack-files.com/T08TMAAKCCU-F0ABGN01M3Q-1e1fa32ecc</t>
  </si>
  <si>
    <t xml:space="preserve">Vil gerne igang. Følg op på om nogle måneder når flytning er på plads og hun ikke har dobbelthusleje. Har lige fået opereret bryster så må heller ikke løfte tungt. Tid er en stor faktor. 26 år. Kæreste der har styr på træningen. Er meget sulten, har brug for variation i kosten ellers kører hun død i det. Skal være overskueligt! og realistik. Vil gerne finde glæden ved træning og kost. selvtillid. brug for en effektiv, målrettet plan så hun begynder at se nogle resultater. tvivler. Fremtidsperspektiv. </t>
  </si>
  <si>
    <t>Sofie Rytter</t>
  </si>
  <si>
    <t>20 41 45 89</t>
  </si>
  <si>
    <t>sofierytterjensen@gmail.com</t>
  </si>
  <si>
    <t>Partner, penge, frygt for at fejle</t>
  </si>
  <si>
    <t>https://slack-files.com/T08TMAAKCCU-F0ABJPRL998-2571187fba</t>
  </si>
  <si>
    <t xml:space="preserve">Har de sidste 8 år siddet fast i et mønster med et svært forhold til mad. Hun har haft en spiseforstyrrelse da hun var 15 og hendes følelser er stadig koblet meget på mad - bruger til at regulere sig selv. Tænker konstant på mad og er bange for kalorier fordi hun ikke vil tage på. Har taget 10 kg på efter hun har født sin søn for to år siden hvilket påvirker hende en del. Hun kan ikke være den kæreste, mor og veninde som hun gerne vil da træthed fylder meget i hverdagen. Der er kun overskud til arbejde og søn. Vil gerne gå mere og løbe på sigt. vil gerne finde glæden ved mad og føle sig tilpas og som sig selv igen. Kan ikke genkende sit spejlbillede. Motivation for at bryde med gammelt mønster - søn. </t>
  </si>
  <si>
    <t>Sofie Geil Jensen</t>
  </si>
  <si>
    <t>29 84 69 71</t>
  </si>
  <si>
    <t>sofiegeil@live.dk</t>
  </si>
  <si>
    <t>Bange for at bryde mønster gennem 14 år + penge</t>
  </si>
  <si>
    <t>https://slack-files.com/T08TMAAKCCU-F0ABKF0SBD0-f8d8fea137</t>
  </si>
  <si>
    <t xml:space="preserve">Lang objectionhandeling på frygt. Meget drevet af andres syn på hende. Har læst idræt og sundhed. 28 år. Har mange tvangstanker omkring mad. Restiktiv. Holder konstant regnskab over mad og træning og "straffer" sig selv hver gang hun spiser noget med flere kalorier i. Sidder meget fast i et gammelt mønster og er bange for kontroltab. Siger hun er blevet så vant til det at hun synes det er fint, men fortæller samtidig det er enormt anstrengende, har resulteret i stress og at hun ikke er den veinde og moster hun gerne vil være. Hun skal gøre sig fortjent til mad. Vil gerne lære at slappe af og lytte til sin krops behov. Overtænker! Regler. Selvværd. </t>
  </si>
  <si>
    <t>30.01.26</t>
  </si>
  <si>
    <t>Julie Blessendorf</t>
  </si>
  <si>
    <t>42 48 07 11</t>
  </si>
  <si>
    <t>jjepsen2002@gmail.com</t>
  </si>
  <si>
    <t>Havde tænkt 3-400 kr.</t>
  </si>
  <si>
    <t>https://slack-files.com/T08TMAAKCCU-F0AC0RES6RG-fb7cb6f2c4</t>
  </si>
  <si>
    <t xml:space="preserve">Modstridende svar - siger hun er et godt sted, men har forsøgt at nå i mål de sidste 5 år. Taler meget om at udvikle sit mindset og få mere mental ro. Vil gerne stå mere skarpt/tonet. Træner 5 gange i ugen men ser ikke de resultater hun gerne vil. Tager på i vægt uden at vide hvorfor - både fedt og muskel. Vi dykkede dybt i selvværd og grænsesætning til en grad hvor jeg måske mistede hende lidt. Overspiser, oppustet, mængder, men går meget op i sund kost. Vi snakkede om at tales ved senere. Skrædder. </t>
  </si>
  <si>
    <t>01.02.26</t>
  </si>
  <si>
    <t>Alexandra Cathrine Langkjær Nielsen</t>
  </si>
  <si>
    <t>27 36 62 54</t>
  </si>
  <si>
    <t>alexandra_langkjaer@hotmail.com</t>
  </si>
  <si>
    <t xml:space="preserve">Kontroltab </t>
  </si>
  <si>
    <t>https://slack-files.com/T08TMAAKCCU-F0ACGH4S64A-0df37defab</t>
  </si>
  <si>
    <t>Varm! Vil meget gerne igang. Vi snakkede ovetænkning som hun selv adresserede, frygt for at få succes og tab af kontrol som hun er meget bevidst om kan spænde ben for hende. Vi talte meget åbnet om det. Hun insisterede på at tænke over det indtil dagen er omme. Forsøgte at dæmpe hendes overtænkning ved at adresere den og spørge om hun havde brug for at afklare yderligere for at kunne tage en beslutning. Hun ender kaldet med at sige det var en meget behagelig oplevelse og at hun gerne vil. Kan ikke nå helt i mål med de resultater hun ønsker sig af sin træning - tonet krop, energi, sundhed, lavere fedtåprocent  (mave og arme). Mangler viden og vejledning. Siddet fast i spiral i 2-3 år. Ved hun ikke kan selv og har brug for støtte hvis hun vil helt i mål. mere effektiv træning og viden om kost.</t>
  </si>
  <si>
    <t>Annabel Ban Løren Calundann</t>
  </si>
  <si>
    <t>53 82 00 70</t>
  </si>
  <si>
    <t>annabelmoly2402@gmail.com</t>
  </si>
  <si>
    <t>Blev onboardet men meldte fra igen grundet økonomi. Lige startet nyt arbejde i jan. Bor hjemme.</t>
  </si>
  <si>
    <t>https://slack-files.com/T08TMAAKCCU-F0ACA54BE9H-db04338cbc</t>
  </si>
  <si>
    <t xml:space="preserve">Meget lav arousal hele kaldet igennem. Havde depressive tendenser - præget af ulyst og manglende motivation. Har et svært forhold til sin mor som altid har gjort hende forkert og presset hende til at være perfekt, hvilket Annabel er meget bevidst omkring og gerne vil brye med. Hun ønsker at have flere positive tanker omkring sig selv, sin krop og andre mennesker. Overtænker meget og isolerer sig ofte fordi det bliver for meget for hende. Er ked af sine lår og mave, oppustet, ofte sulten og tænker meget på mad og hvad der er godt for hende. Præget af træthed. Dårligt selvværd. Primære pain: mindset. </t>
  </si>
  <si>
    <t>02.02.26</t>
  </si>
  <si>
    <t>Sophia Krarup Lehmann Jacobsen</t>
  </si>
  <si>
    <t>42 73 25 10</t>
  </si>
  <si>
    <t>sophiaklj@gmail.com</t>
  </si>
  <si>
    <t>05.02.26</t>
  </si>
  <si>
    <t>Lili leone Linsegren roed</t>
  </si>
  <si>
    <t>lililindegrenroed@gmail.com</t>
  </si>
  <si>
    <t>Lang snak om hendes frygt da hun har prøvet forløb før - bange for ikke at nå i mål</t>
  </si>
  <si>
    <t>https://slack-files.com/T089JBRTVMM-F0ADL05C31S-57ce9db281</t>
  </si>
  <si>
    <t xml:space="preserve">Var super "klar" hele kaldet igennem, men blev bange da hun vidste hun skulle til at tage en beslutning. Har været i forløb før som gjorde hende restriktiv i sin kost. Bange for at tage en chance igen og ikke lykkedes med det. Ønsker viden og sunde rutiner der rent faktisk fungerer godt for hende - også i det lange løb. </t>
  </si>
  <si>
    <t>06.02.26</t>
  </si>
  <si>
    <t>Elvira Meyer</t>
  </si>
  <si>
    <t>30 70 66 79</t>
  </si>
  <si>
    <t>elvirakirstine@gmail.com</t>
  </si>
  <si>
    <t>Gammelt mønster - frygt for om det virker</t>
  </si>
  <si>
    <t>https://slack-files.com/T089JBRTVMM-F0ADV9PNV6V-0513685593</t>
  </si>
  <si>
    <t xml:space="preserve">Har ikke haft mensturation i 1,5 år. Har IBS. Altid oppustet. Nervøs for madvarer da hun ikke ved hvad hun reagerer på. Overtænker mad og får ikke nok hvilket resulterer i humørsvingninger og manglende energi. Ønsker mere madro og få mappet hvilke madvarer der fungerer godt for hende. Elsker at løbe. Begyndt på styrketræning hjemme. Gym + arbejde. Frygt for kontroltab og bange for ikke at lykkedes med forløbet - vi talte direkte om frygten hvor hun godt kunne se den ikke skulle have lov til at bestemme. </t>
  </si>
  <si>
    <t>08.02.26</t>
  </si>
  <si>
    <t>Frederikke Tronninge</t>
  </si>
  <si>
    <t>29 93 01 69</t>
  </si>
  <si>
    <t>frederikketron@hotmail.com</t>
  </si>
  <si>
    <t>Gammel spiseforstyrrelse - bange for at tage næste skridt</t>
  </si>
  <si>
    <t>https://slack-files.com/T089JBRTVMM-F0ADGCX9GJ3-7c13f2a4c2</t>
  </si>
  <si>
    <t xml:space="preserve">Har haft en spiseforstyrrelse som ung (32 år). Gammel gymnast og bokser. Sultede ofte sig selv og meget var forbudt at spise. Sidder stadig i hende. Hun "glemmer" at spise og føler det uoverskueligt at finde på sund mad med balance. Overspiser ofte. Mangler rytme og madro. Nævner selv flere gange hun ønsker at udvikle sig psykisk og ændre mindset. Siger hun ønsker at være mere "harmonisk" flere gange. Ønsker mere frihed. Dårlig søvn. Rutiner + mere enerig. Havde svært ved at indse hvor svært det stod til og vi nåede ikke helt i dybden. </t>
  </si>
  <si>
    <t>09.02.26</t>
  </si>
  <si>
    <t>Frederikke Conelia</t>
  </si>
  <si>
    <t>25 70 44 67</t>
  </si>
  <si>
    <t>klatretut47@hotmail.com</t>
  </si>
  <si>
    <t>Insisterede på at sove på det selv om hun føler det er det rigtige</t>
  </si>
  <si>
    <t>https://slack-files.com/T089JBRTVMM-F0AE4GCSER4-e405a3363f</t>
  </si>
  <si>
    <t xml:space="preserve">Styr på træning. Udelukkende brug for hjælp til kosten. Snacker gennem hele dagen og laver sjældent mad selv om hun nyder det. Har brug for en overskuelig struktur over kost. Siddet fast i gamle vaner i 5 år. Ofte lavt blodsukker, træt, hovedpine som går ud over hendes sociale relationer. Føler hun har et større potentiale. Lige flyttet, brugt 5 år på at etablere job så nu mangler hun bare det sidste - sig selv. </t>
  </si>
  <si>
    <t>12.02.26</t>
  </si>
  <si>
    <t>Helene Adlefeldt</t>
  </si>
  <si>
    <t>Gammelt lead fra okt.</t>
  </si>
  <si>
    <t>optagelse af samtale i okt</t>
  </si>
  <si>
    <t>22.02.26</t>
  </si>
  <si>
    <t>Maja Brandt Homilius</t>
  </si>
  <si>
    <t>23 31 51 04</t>
  </si>
  <si>
    <t>majahomilius6@gmail.com</t>
  </si>
  <si>
    <t>SU, bor hjemme</t>
  </si>
  <si>
    <t>https://slack-files.com/T089JBRTVMM-F0AGBF01205-8a1ec16521</t>
  </si>
  <si>
    <t xml:space="preserve">Ville gerne have hjælp til mere balance i kosten. Søde sager. Mere struktur og viden omkring kost og træning så hun kan tabe fedt på mave og lår og føle sig tilpas i kroppen. Klar til at finde sig selv og sunde rutiner. Der var en moneyobjection til sidst, men en mindset snak med perspektiv på investeringen fik hende til at tage handling. </t>
  </si>
  <si>
    <t>24.02.36</t>
  </si>
  <si>
    <t>Kathrine Sejersten</t>
  </si>
  <si>
    <t>24 20 07 76</t>
  </si>
  <si>
    <t>kathrineklar@outlook.dk</t>
  </si>
  <si>
    <t>https://slack-files.com/T089JBRTVMM-F0AGQRUGE4V-2a182513b4</t>
  </si>
  <si>
    <t xml:space="preserve">Bartender. Har de sidste 6 måneder forsøgt at finde ind i en sund trænings- og kostrutine uden at lykkedes. Sidder fast i en negativ spiral som koster hende meget energi og dårligt selvbillede. Jeg pointerer hendes sprogbrug om sig selv - at hun føler sig klam og ulækker - hvilket er et wake up call for hende. Alt eller intet. Mangler at finde ud af hvad der kan motivere hende. vedholdende i det lange løb. Rutner. Træner meget uden resultater. Færre træninger, mere effektiv. Bange for at tage næste skridt. Tøvede ved betalingen, men vi fik hende over på den anden side. </t>
  </si>
  <si>
    <t>24.02.26</t>
  </si>
  <si>
    <t>Alberte Berentzen</t>
  </si>
  <si>
    <t>22 64 08 98</t>
  </si>
  <si>
    <t>alberte_berentzen@hotmail.com</t>
  </si>
  <si>
    <t>Sove på det</t>
  </si>
  <si>
    <t>https://slack-files.com/T089JBRTVMM-F0AGS6TDFT8-8b04684f94</t>
  </si>
  <si>
    <t xml:space="preserve">Yoga, pilates, reformer, styrketræning og gammel balletdanser. Altid været meget aktiv. Store forventinger til sig selv, men kan godt lide at have gang i mange ting. Svært ved at se resultater af hendes indsats. Viden om kost og styrketræning så hun kan nå i mål med en mere tonet krop. Vi snakkede også om at få implementeret flere hvil og pauser med god samvittighed. Høje forventinger til selv. Meget tvivl og stress omkring hvad der er rigtigt og forkert. Vil gerne igang men insisterede på at sove på det. Lang åben objectionhandeling. </t>
  </si>
  <si>
    <t>25.02.26</t>
  </si>
  <si>
    <t>Camilla Bundgaard</t>
  </si>
  <si>
    <t>60 21 93 06</t>
  </si>
  <si>
    <t>camilla_leth@hotmail.com</t>
  </si>
  <si>
    <t>Forsvar: Startede ud med at sige "tænke over det"</t>
  </si>
  <si>
    <t>https://slack-files.com/T089JBRTVMM-F0AHDMAQSCR-e0c48328d0</t>
  </si>
  <si>
    <t xml:space="preserve">Sygemledt med stress og angst det sidste år. På vej tilbage. Skifter jo. Ergoterapeut. Mangler overskud. Meget hård ved sig selv. Mere tålmodig og har høje forventninger til selv. Sidder fast i en spiral hvor hun skal begynde forfra hver anden uge. træt. Tager nærværet fra hendes drenge. Hjælp til indre stemme og rutiner. Støtte fra Jesper, hendes mand (sagde hej i telefon og har også været i forløb før). Struktur. Vælge sig selv til efter mange år med at give andre. 10 kg. på det sidste år grundet medicin. Går til psykolog. </t>
  </si>
  <si>
    <t>Simone Larsen</t>
  </si>
  <si>
    <t>42 42 07 04</t>
  </si>
  <si>
    <t>sim.larsen@hotmail.com</t>
  </si>
  <si>
    <t>Sove på det - udfordrede beslutningsproces</t>
  </si>
  <si>
    <t>https://slack-files.com/T089JBRTVMM-F0AH06VM78W-a990ed880c</t>
  </si>
  <si>
    <t xml:space="preserve">28 år. Arbejde (marketing) har prøvet PT før men er klar over det bidrog til et usundt spisemønster og tankegang omkring mad. Snakkede vi ind i - beroligede hende i forhold til tempo og påpeger forståelse for at det er en sårbar proces at gennemgå. Hun har siddet fast i et presset forhold til mad og træning mere end 10 år. Ønsker mere frihed både kropsligt og mentalt (madro). Holder et konstant regnskab når det kommer til at spise og træne. Meget klar over at det handler om et mindset-arbejde. Nået langt på egen hånd de sidste år og tror derfor på forandring med den rigtige hjælp og tilgang. Vil gerne finde glæden ved træningen i stedet som noget hun skal eller et kompentationsværktøj for "usunde" valg. Har en hård indre stemme og meget høje forventninger til sig selv som er hoved-pain for hende. Flere objections i løbet af samtalen som bunder i frygt for at det ikke virker. Starter kaldet med money objection men ender med t sige hendes sundhed og velbefindende ikke har en pris. </t>
  </si>
  <si>
    <t>Sara Stålfors</t>
  </si>
  <si>
    <t>29 93 00 30</t>
  </si>
  <si>
    <t>sara@staalfors.dk</t>
  </si>
  <si>
    <t>26.02.26</t>
  </si>
  <si>
    <t>Sophia Justesen</t>
  </si>
  <si>
    <t>26 83 42 64</t>
  </si>
  <si>
    <t>sophiajustesen@gmail.com</t>
  </si>
  <si>
    <t>Gik ned på 15t på job. Bekymret for økonomi. Snakker med kæreste</t>
  </si>
  <si>
    <t>https://slack-files.com/T089JBRTVMM-F0AHB0PGTBQ-aaf01817ee</t>
  </si>
  <si>
    <t>01.03.26</t>
  </si>
  <si>
    <t>Rikke Juul</t>
  </si>
  <si>
    <t>31 43 49 81</t>
  </si>
  <si>
    <t>rikkejuulw@gmail.com</t>
  </si>
  <si>
    <t>Rejse i halvanden måned</t>
  </si>
  <si>
    <t>https://slack-files.com/T089JBRTVMM-F0AHUSQ16Q2-72c4a7d789</t>
  </si>
  <si>
    <t xml:space="preserve">FU onsdag - snakker om veninde også skal starte da de har en Hyrox om et år. Talte tilbud om ekstra måned hvis vi får hende onboardet også. Der var mange objections gennem hele kaldet. startede ud med tænke over det, penge og tid grundet rejse. Vil gerne udsætte til maj når hun kommer hjem. Interesseret i at level up. Har det fint i sin krop men kunne godt tænke sig at bygge mere muskelmasse og vide mere om kost og styrketræning. Hjælpes igang i træningscentret. Interesseret i træning og spise efter cyklus. Selvudviklng. Balance. Ikke restiktiv og have sig selv med. </t>
  </si>
  <si>
    <t>02.03.26</t>
  </si>
  <si>
    <t>Sara Jensen</t>
  </si>
  <si>
    <t>24 27 86 91</t>
  </si>
  <si>
    <t>sara6713@live.dk</t>
  </si>
  <si>
    <t>Penge lander kl. 19.00</t>
  </si>
  <si>
    <t>https://slack-files.com/T089JBRTVMM-F0AJ76Q6KCJ-a3fd5cad83</t>
  </si>
  <si>
    <t xml:space="preserve">Kæreste og hende har besluttet sig at ændre livsstil sammen. Sara har sukkersyge og har brug for at komme på rette spor med kosten for at holde blodsukkeret stabilt. Har en sød tand. Alternativer. Mere viden. Madro. Usikker i træmningscentret - lår og mave. mere tonet. Vægttab på 10 kg. Mindset: god nok. Komme afsted. Selvtillid og humørsvinginger. 3-4 år. </t>
  </si>
  <si>
    <t>Clara Nonbo</t>
  </si>
  <si>
    <t>42 77 32 61</t>
  </si>
  <si>
    <t>claranonbo@hotmail.dk</t>
  </si>
  <si>
    <t>https://slack-files.com/T089JBRTVMM-F0AHRP0R3HV-a4ab098766</t>
  </si>
  <si>
    <t xml:space="preserve">Fodboldpige. Militær. Søgt ind til politiet. Usikker på krop - for høj frdtprocent. Astma. Kostbalance og struktur. Selvtillid og er træt af at frygte sommeren i lidt tøj. Viden struktur. </t>
  </si>
  <si>
    <t>Yoko Ralund</t>
  </si>
  <si>
    <t>53 86 16 09</t>
  </si>
  <si>
    <t>yokoralund@gmail.com</t>
  </si>
  <si>
    <t>Forældre (18 år)</t>
  </si>
  <si>
    <t>https://slack-files.com/T089JBRTVMM-F0AJAQJ628L-0afbd5479c</t>
  </si>
  <si>
    <t>Betaler via Faktura over mors firma. Bor hjemme. Gammel spiseforstyrrelse for 3 år siden. Bange for at falde tilbage. Meget motiveret for at handle så hun kan få det godt med sig selv! Forhold til krop og mad. Tryghed i træningscentret og finde sunde vaner der bygger hende op. Lige haft kyssesyge i 9 måneder. Passe på sig selv og understøtte kroppen.</t>
  </si>
  <si>
    <t>03.03.26</t>
  </si>
  <si>
    <t>Ida Juul</t>
  </si>
  <si>
    <t>60 53 88 74</t>
  </si>
  <si>
    <t>idaamstrup06@gmail.com</t>
  </si>
  <si>
    <t>Skal udredes for spiseforstyrrelse før hun takker ja</t>
  </si>
  <si>
    <t>https://slack-files.com/T089JBRTVMM-F0AJKMC67L4-a79fe40fb3</t>
  </si>
  <si>
    <t xml:space="preserve">Høje forventninger til selv - adhd. Føler hun er i krise og bange for at blive tyk hvilket gør hun altid har et regnskab kørende. Dårlig samvittighed. Overtænker. Har gym-galla + bekymret for sommer og vise krop frem. Meget træning. Halvmarathon, fodbold, styrketræning, løb. Mere balance i træningen og lægge flere pauser ind. Forhold til mad. Haft en spiseforstyrrelse for 4 år siden. </t>
  </si>
  <si>
    <t>04.03.26</t>
  </si>
  <si>
    <t>Josefine Gelund</t>
  </si>
  <si>
    <t>26 36 75 06</t>
  </si>
  <si>
    <t>josefineegelunn@live.dk</t>
  </si>
  <si>
    <t>https://slack-files.com/T089JBRTVMM-F0AJ0KX8KGX-2f262d8c5f</t>
  </si>
  <si>
    <t xml:space="preserve">Sygeplejeske. Kæreste der støtter 100% op. ADHD + kroniske migræner. Har været i to kostvejederforløb før. Ønsker at få styr på mindset i forhold til mad. Vil gerne se på følelserne der opstår før hendes overspisninger. Vægttab på mindst 6 kg. da hun har erfaring med at føle sig godt tilpas der. Har svært ved at række ud og spørge om hjælp. Lytte til kroppens signaler og sult Madro. Ikke-restriktiv. Prøvet flere kure i tidens løb. altid haft et svært forhold til mad. særligt siden 2018. holder hendes tilbage fra de ting hun gerne vil i fremtiden. uddannelse og familie.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</si>
</sst>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 kr.]"/>
    <numFmt numFmtId="165" formatCode="#,##0.00[$ kr.]"/>
    <numFmt numFmtId="166" formatCode="&quot;$&quot;#,##0"/>
    <numFmt numFmtId="167" formatCode="m&quot;/&quot;d&quot;/&quot;yy"/>
    <numFmt numFmtId="168" formatCode="[$$]#,##0.00"/>
    <numFmt numFmtId="169" formatCode="dd&quot;/&quot;mmm&quot;/&quot;yy"/>
    <numFmt numFmtId="170" formatCode="&quot;$&quot;#,##0.00"/>
  </numFmts>
  <fonts count="54">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sz val="11.0"/>
      <color theme="1"/>
      <name val="Arial"/>
    </font>
    <font>
      <b/>
      <sz val="10.0"/>
      <color rgb="FFFFFFFF"/>
      <name val="Arial"/>
    </font>
    <font>
      <sz val="10.0"/>
      <color theme="1"/>
      <name val="Arial"/>
    </font>
    <font>
      <b/>
      <sz val="10.0"/>
      <color theme="1"/>
      <name val="Arial"/>
    </font>
    <font>
      <b/>
      <color theme="1"/>
      <name val="Arial"/>
    </font>
    <font>
      <sz val="10.0"/>
      <color rgb="FFFFFFFF"/>
      <name val="Arial"/>
    </font>
    <font>
      <sz val="9.0"/>
      <color rgb="FFFFFFFF"/>
      <name val="Arial"/>
    </font>
    <font>
      <color rgb="FF000000"/>
      <name val="Arial"/>
    </font>
    <font>
      <color rgb="FF000000"/>
      <name val="Muli"/>
    </font>
    <font>
      <sz val="10.0"/>
      <color rgb="FF0A2540"/>
      <name val="&quot;Proxima Nova&quot;"/>
    </font>
    <font>
      <sz val="10.0"/>
      <color rgb="FF476788"/>
      <name val="&quot;Proxima Nova&quot;"/>
    </font>
    <font>
      <u/>
      <color rgb="FF0000FF"/>
    </font>
    <font>
      <sz val="11.0"/>
      <color rgb="FF476788"/>
      <name val="&quot;Proxima Nova&quot;"/>
    </font>
    <font>
      <color rgb="FF4E4B66"/>
      <name val="Arial"/>
    </font>
    <font>
      <sz val="9.0"/>
      <color rgb="FF0E0E0E"/>
      <name val="Arial"/>
    </font>
    <font>
      <sz val="11.0"/>
      <color rgb="FF0E0E0E"/>
      <name val="Arial"/>
    </font>
    <font>
      <sz val="9.0"/>
      <color rgb="FF000000"/>
      <name val="Helvetica"/>
    </font>
    <font>
      <sz val="10.0"/>
      <color rgb="FF000000"/>
      <name val="Helvetica"/>
    </font>
    <font>
      <sz val="10.0"/>
      <color rgb="FF3C4043"/>
      <name val="Roboto"/>
    </font>
    <font>
      <color theme="1"/>
      <name val="Arial"/>
      <scheme val="minor"/>
    </font>
    <font>
      <sz val="10.0"/>
      <color rgb="FF5F6368"/>
      <name val="Roboto"/>
    </font>
    <font>
      <sz val="11.0"/>
      <color rgb="FF0A2540"/>
      <name val="&quot;Proxima Nova&quot;"/>
    </font>
    <font>
      <sz val="9.0"/>
      <color rgb="FF0A2540"/>
      <name val="&quot;Proxima Nova&quot;"/>
    </font>
    <font>
      <sz val="11.0"/>
      <color rgb="FF3C4043"/>
      <name val="Roboto"/>
    </font>
    <font>
      <sz val="9.0"/>
      <color rgb="FF5F6368"/>
      <name val="Roboto"/>
    </font>
    <font>
      <sz val="11.0"/>
      <color rgb="FF000000"/>
      <name val="Roboto"/>
    </font>
    <font>
      <sz val="11.0"/>
      <color rgb="FF3C4043"/>
      <name val="&quot;Google Sans&quot;"/>
    </font>
    <font>
      <sz val="10.0"/>
      <color rgb="FF1F1F1F"/>
      <name val="&quot;Google Sans&quot;"/>
    </font>
    <font>
      <b/>
      <sz val="9.0"/>
      <color theme="1"/>
      <name val="Arial"/>
    </font>
    <font>
      <u/>
      <color rgb="FF0000FF"/>
      <name val="Arial"/>
    </font>
    <font>
      <u/>
      <color rgb="FF0000FF"/>
      <name val="Arial"/>
    </font>
    <font>
      <u/>
      <sz val="11.0"/>
      <color rgb="FF3C4043"/>
      <name val="Roboto"/>
    </font>
    <font>
      <sz val="9.0"/>
      <color rgb="FF1F1F1F"/>
      <name val="&quot;Google Sans&quot;"/>
    </font>
    <font>
      <sz val="8.0"/>
      <color rgb="FF0A2540"/>
      <name val="&quot;Proxima Nova&quot;"/>
    </font>
    <font>
      <u/>
      <sz val="11.0"/>
      <color rgb="FF3C4043"/>
      <name val="Roboto"/>
    </font>
    <font>
      <sz val="11.0"/>
      <color rgb="FF1D1C1D"/>
      <name val="Slack-Lato"/>
    </font>
    <font>
      <i/>
      <sz val="9.0"/>
      <color theme="1"/>
      <name val="Arial"/>
    </font>
    <font>
      <sz val="9.0"/>
      <color rgb="FF476788"/>
      <name val="&quot;Proxima Nova&quot;"/>
    </font>
    <font>
      <sz val="9.0"/>
      <color rgb="FF000000"/>
      <name val="&quot;Proxima Nova&quot;"/>
    </font>
    <font>
      <sz val="10.0"/>
      <color rgb="FF0E0E0E"/>
      <name val="Arial"/>
    </font>
    <font>
      <sz val="8.0"/>
      <color rgb="FF3C4043"/>
      <name val="Roboto"/>
    </font>
    <font>
      <sz val="9.0"/>
      <color rgb="FF3C4043"/>
      <name val="Roboto"/>
    </font>
    <font>
      <sz val="12.0"/>
      <color rgb="FF0A2540"/>
      <name val="&quot;Proxima Nova&quot;"/>
    </font>
    <font>
      <sz val="11.0"/>
      <color rgb="FF1F1F1F"/>
      <name val="&quot;Google Sans&quot;"/>
    </font>
    <font>
      <sz val="8.0"/>
      <color rgb="FF1F1F1F"/>
      <name val="&quot;Google Sans&quot;"/>
    </font>
    <font>
      <u/>
      <sz val="11.0"/>
      <color rgb="FF000000"/>
      <name val="Roboto"/>
    </font>
    <font>
      <u/>
      <color rgb="FF0000FF"/>
      <name val="Arial"/>
    </font>
    <font>
      <sz val="12.0"/>
      <color rgb="FF000000"/>
      <name val="Arial"/>
      <scheme val="minor"/>
    </font>
  </fonts>
  <fills count="20">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EA9999"/>
        <bgColor rgb="FFEA9999"/>
      </patternFill>
    </fill>
    <fill>
      <patternFill patternType="solid">
        <fgColor rgb="FFF7F7FC"/>
        <bgColor rgb="FFF7F7FC"/>
      </patternFill>
    </fill>
    <fill>
      <patternFill patternType="solid">
        <fgColor rgb="FF93C47D"/>
        <bgColor rgb="FF93C47D"/>
      </patternFill>
    </fill>
    <fill>
      <patternFill patternType="solid">
        <fgColor rgb="FFF1C232"/>
        <bgColor rgb="FFF1C232"/>
      </patternFill>
    </fill>
    <fill>
      <patternFill patternType="solid">
        <fgColor rgb="FFF8F8F8"/>
        <bgColor rgb="FFF8F8F8"/>
      </patternFill>
    </fill>
    <fill>
      <patternFill patternType="solid">
        <fgColor rgb="FFB6D7A8"/>
        <bgColor rgb="FFB6D7A8"/>
      </patternFill>
    </fill>
    <fill>
      <patternFill patternType="solid">
        <fgColor rgb="FF3C78D8"/>
        <bgColor rgb="FF3C78D8"/>
      </patternFill>
    </fill>
    <fill>
      <patternFill patternType="solid">
        <fgColor rgb="FFF0F4F9"/>
        <bgColor rgb="FFF0F4F9"/>
      </patternFill>
    </fill>
    <fill>
      <patternFill patternType="solid">
        <fgColor rgb="FFFF0000"/>
        <bgColor rgb="FFFF0000"/>
      </patternFill>
    </fill>
  </fills>
  <borders count="13">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dotted">
        <color rgb="FF000000"/>
      </right>
    </border>
    <border>
      <right style="dotted">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3">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4" fillId="0" fontId="5" numFmtId="0" xfId="0" applyAlignment="1" applyBorder="1" applyFont="1">
      <alignment vertical="bottom"/>
    </xf>
    <xf borderId="0" fillId="0" fontId="6" numFmtId="0" xfId="0" applyAlignment="1" applyFont="1">
      <alignment vertical="bottom"/>
    </xf>
    <xf borderId="0" fillId="2" fontId="7" numFmtId="0" xfId="0" applyAlignment="1" applyFont="1">
      <alignment horizontal="center" vertical="bottom"/>
    </xf>
    <xf borderId="0" fillId="2" fontId="1" numFmtId="0" xfId="0" applyAlignment="1" applyFont="1">
      <alignment horizontal="center" readingOrder="0" vertical="bottom"/>
    </xf>
    <xf borderId="0" fillId="0" fontId="5" numFmtId="0" xfId="0" applyAlignment="1" applyFont="1">
      <alignment vertical="bottom"/>
    </xf>
    <xf borderId="5" fillId="2" fontId="7" numFmtId="0" xfId="0" applyAlignment="1" applyBorder="1" applyFont="1">
      <alignment horizontal="left" vertical="bottom"/>
    </xf>
    <xf borderId="5" fillId="0" fontId="8" numFmtId="0" xfId="0" applyAlignment="1" applyBorder="1" applyFont="1">
      <alignment vertical="bottom"/>
    </xf>
    <xf borderId="5" fillId="2" fontId="1" numFmtId="0" xfId="0" applyAlignment="1" applyBorder="1" applyFont="1">
      <alignment vertical="bottom"/>
    </xf>
    <xf borderId="5" fillId="0" fontId="5" numFmtId="0" xfId="0" applyAlignment="1" applyBorder="1" applyFont="1">
      <alignment vertical="bottom"/>
    </xf>
    <xf borderId="6" fillId="2" fontId="7"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8" numFmtId="0" xfId="0" applyAlignment="1" applyBorder="1" applyFill="1" applyFont="1">
      <alignment horizontal="left" vertical="bottom"/>
    </xf>
    <xf borderId="3" fillId="4" fontId="8" numFmtId="0" xfId="0" applyAlignment="1" applyBorder="1" applyFont="1">
      <alignment horizontal="right" vertical="bottom"/>
    </xf>
    <xf borderId="0" fillId="5" fontId="2" numFmtId="0" xfId="0" applyAlignment="1" applyFill="1" applyFont="1">
      <alignment vertical="bottom"/>
    </xf>
    <xf borderId="3" fillId="5" fontId="5" numFmtId="9" xfId="0" applyAlignment="1" applyBorder="1" applyFont="1" applyNumberFormat="1">
      <alignment vertical="bottom"/>
    </xf>
    <xf borderId="0" fillId="6" fontId="8"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0" xfId="0" applyAlignment="1" applyBorder="1" applyFont="1">
      <alignment horizontal="left" shrinkToFit="0" vertical="bottom" wrapText="1"/>
    </xf>
    <xf borderId="0" fillId="8" fontId="2" numFmtId="0" xfId="0" applyAlignment="1" applyFill="1" applyFont="1">
      <alignment vertical="bottom"/>
    </xf>
    <xf borderId="9" fillId="8" fontId="2" numFmtId="0" xfId="0" applyAlignment="1" applyBorder="1" applyFont="1">
      <alignment horizontal="left" vertical="bottom"/>
    </xf>
    <xf borderId="3" fillId="8" fontId="2" numFmtId="0" xfId="0" applyAlignment="1" applyBorder="1" applyFont="1">
      <alignment horizontal="left" vertical="bottom"/>
    </xf>
    <xf borderId="0" fillId="3" fontId="5" numFmtId="0" xfId="0" applyAlignment="1" applyFont="1">
      <alignment vertical="bottom"/>
    </xf>
    <xf borderId="0" fillId="9" fontId="9" numFmtId="0" xfId="0" applyAlignment="1" applyFill="1" applyFont="1">
      <alignment vertical="bottom"/>
    </xf>
    <xf borderId="3" fillId="9" fontId="10" numFmtId="165" xfId="0" applyAlignment="1" applyBorder="1" applyFont="1" applyNumberFormat="1">
      <alignment horizontal="left" vertical="bottom"/>
    </xf>
    <xf borderId="3" fillId="0" fontId="5" numFmtId="166" xfId="0" applyAlignment="1" applyBorder="1" applyFont="1" applyNumberFormat="1">
      <alignment vertical="bottom"/>
    </xf>
    <xf borderId="3" fillId="7" fontId="2" numFmtId="0" xfId="0" applyAlignment="1" applyBorder="1" applyFont="1">
      <alignment horizontal="left" shrinkToFit="0" vertical="bottom" wrapText="1"/>
    </xf>
    <xf borderId="5" fillId="9" fontId="9" numFmtId="0" xfId="0" applyAlignment="1" applyBorder="1" applyFont="1">
      <alignment vertical="bottom"/>
    </xf>
    <xf borderId="4" fillId="9" fontId="10" numFmtId="165" xfId="0" applyAlignment="1" applyBorder="1" applyFont="1" applyNumberFormat="1">
      <alignment horizontal="left" vertical="bottom"/>
    </xf>
    <xf borderId="4" fillId="0" fontId="9" numFmtId="0" xfId="0" applyAlignment="1" applyBorder="1" applyFont="1">
      <alignment vertical="bottom"/>
    </xf>
    <xf borderId="4" fillId="0" fontId="10" numFmtId="0" xfId="0" applyAlignment="1" applyBorder="1" applyFont="1">
      <alignment horizontal="left" vertical="bottom"/>
    </xf>
    <xf borderId="3" fillId="5" fontId="2" numFmtId="0" xfId="0" applyAlignment="1" applyBorder="1" applyFont="1">
      <alignment horizontal="right" vertical="bottom"/>
    </xf>
    <xf borderId="0" fillId="6" fontId="9" numFmtId="0" xfId="0" applyAlignment="1" applyFont="1">
      <alignment vertical="bottom"/>
    </xf>
    <xf borderId="4" fillId="3" fontId="10" numFmtId="0" xfId="0" applyAlignment="1" applyBorder="1" applyFont="1">
      <alignment horizontal="left" vertical="bottom"/>
    </xf>
    <xf borderId="5" fillId="6" fontId="9" numFmtId="0" xfId="0" applyAlignment="1" applyBorder="1" applyFont="1">
      <alignment vertical="bottom"/>
    </xf>
    <xf borderId="4" fillId="6" fontId="5" numFmtId="9" xfId="0" applyAlignment="1" applyBorder="1" applyFont="1" applyNumberFormat="1">
      <alignment vertical="bottom"/>
    </xf>
    <xf borderId="5" fillId="7" fontId="2" numFmtId="0" xfId="0" applyAlignment="1" applyBorder="1" applyFont="1">
      <alignment vertical="bottom"/>
    </xf>
    <xf borderId="4" fillId="7" fontId="5" numFmtId="0" xfId="0" applyAlignment="1" applyBorder="1" applyFont="1">
      <alignment horizontal="left" shrinkToFit="0" vertical="bottom" wrapText="1"/>
    </xf>
    <xf borderId="4" fillId="0" fontId="10" numFmtId="3" xfId="0" applyAlignment="1" applyBorder="1" applyFont="1" applyNumberFormat="1">
      <alignment horizontal="left" vertical="bottom"/>
    </xf>
    <xf borderId="3" fillId="0" fontId="5" numFmtId="3" xfId="0" applyAlignment="1" applyBorder="1" applyFont="1" applyNumberFormat="1">
      <alignment vertical="bottom"/>
    </xf>
    <xf borderId="0" fillId="0" fontId="8" numFmtId="0" xfId="0" applyAlignment="1" applyFont="1">
      <alignment vertical="bottom"/>
    </xf>
    <xf borderId="0" fillId="0" fontId="5" numFmtId="0" xfId="0" applyAlignment="1" applyFont="1">
      <alignment shrinkToFit="0" vertical="bottom" wrapText="1"/>
    </xf>
    <xf borderId="5" fillId="8" fontId="2" numFmtId="0" xfId="0" applyAlignment="1" applyBorder="1" applyFont="1">
      <alignment vertical="bottom"/>
    </xf>
    <xf borderId="10" fillId="8" fontId="2" numFmtId="0" xfId="0" applyAlignment="1" applyBorder="1" applyFont="1">
      <alignment horizontal="left" vertical="bottom"/>
    </xf>
    <xf borderId="4" fillId="8" fontId="2" numFmtId="0" xfId="0" applyAlignment="1" applyBorder="1" applyFont="1">
      <alignment horizontal="left" vertical="bottom"/>
    </xf>
    <xf borderId="4" fillId="10" fontId="10" numFmtId="9" xfId="0" applyAlignment="1" applyBorder="1" applyFill="1" applyFont="1" applyNumberFormat="1">
      <alignment horizontal="left" vertical="bottom"/>
    </xf>
    <xf borderId="11" fillId="4" fontId="8" numFmtId="0" xfId="0" applyAlignment="1" applyBorder="1" applyFont="1">
      <alignment horizontal="left" vertical="bottom"/>
    </xf>
    <xf borderId="4" fillId="4" fontId="8" numFmtId="0" xfId="0" applyAlignment="1" applyBorder="1" applyFont="1">
      <alignment horizontal="right" vertical="bottom"/>
    </xf>
    <xf borderId="5" fillId="5" fontId="2" numFmtId="0" xfId="0" applyAlignment="1" applyBorder="1" applyFont="1">
      <alignment vertical="bottom"/>
    </xf>
    <xf borderId="4" fillId="5" fontId="2" numFmtId="0" xfId="0" applyAlignment="1" applyBorder="1" applyFont="1">
      <alignment horizontal="right" vertical="bottom"/>
    </xf>
    <xf borderId="0" fillId="0" fontId="8" numFmtId="0" xfId="0" applyAlignment="1" applyFont="1">
      <alignment horizontal="left" vertical="bottom"/>
    </xf>
    <xf borderId="0" fillId="2" fontId="11" numFmtId="0" xfId="0" applyAlignment="1" applyFont="1">
      <alignment horizontal="center" vertical="bottom"/>
    </xf>
    <xf borderId="0" fillId="2" fontId="12" numFmtId="0" xfId="0" applyAlignment="1" applyFont="1">
      <alignment horizontal="center" vertical="bottom"/>
    </xf>
    <xf borderId="0" fillId="2" fontId="7" numFmtId="0" xfId="0" applyAlignment="1" applyFont="1">
      <alignment horizontal="left" vertical="bottom"/>
    </xf>
    <xf borderId="0" fillId="2" fontId="1" numFmtId="0" xfId="0" applyAlignment="1" applyFont="1">
      <alignment horizontal="center" vertical="bottom"/>
    </xf>
    <xf borderId="0" fillId="2" fontId="1" numFmtId="0" xfId="0" applyAlignment="1" applyFont="1">
      <alignment horizontal="center" shrinkToFit="0" vertical="bottom" wrapText="1"/>
    </xf>
    <xf borderId="0" fillId="0" fontId="5" numFmtId="167" xfId="0" applyAlignment="1" applyFont="1" applyNumberFormat="1">
      <alignment horizontal="left" vertical="bottom"/>
    </xf>
    <xf borderId="0" fillId="3" fontId="8" numFmtId="0" xfId="0" applyAlignment="1" applyFont="1">
      <alignment horizontal="left" readingOrder="0" vertical="bottom"/>
    </xf>
    <xf borderId="0" fillId="11" fontId="13" numFmtId="0" xfId="0" applyAlignment="1" applyFill="1" applyFont="1">
      <alignment readingOrder="0" shrinkToFit="0" wrapText="1"/>
    </xf>
    <xf borderId="0" fillId="3" fontId="14" numFmtId="0" xfId="0" applyAlignment="1" applyFont="1">
      <alignment readingOrder="0" shrinkToFit="0" wrapText="1"/>
    </xf>
    <xf borderId="0" fillId="3" fontId="15" numFmtId="0" xfId="0" applyAlignment="1" applyFont="1">
      <alignment horizontal="left" readingOrder="0"/>
    </xf>
    <xf borderId="0" fillId="3" fontId="16" numFmtId="0" xfId="0" applyAlignment="1" applyFont="1">
      <alignment readingOrder="0"/>
    </xf>
    <xf borderId="0" fillId="0" fontId="5" numFmtId="0" xfId="0" applyAlignment="1" applyFont="1">
      <alignment horizontal="left" vertical="bottom"/>
    </xf>
    <xf borderId="0" fillId="3" fontId="2" numFmtId="0" xfId="0" applyAlignment="1" applyFont="1">
      <alignment horizontal="left" readingOrder="0" vertical="bottom"/>
    </xf>
    <xf borderId="0" fillId="0" fontId="2" numFmtId="0" xfId="0" applyAlignment="1" applyFont="1">
      <alignment horizontal="left" readingOrder="0" vertical="bottom"/>
    </xf>
    <xf borderId="0" fillId="3" fontId="8" numFmtId="165" xfId="0" applyAlignment="1" applyFont="1" applyNumberFormat="1">
      <alignment horizontal="left" readingOrder="0" vertical="bottom"/>
    </xf>
    <xf borderId="0" fillId="3" fontId="2" numFmtId="165" xfId="0" applyAlignment="1" applyFont="1" applyNumberFormat="1">
      <alignment horizontal="left" readingOrder="0" vertical="bottom"/>
    </xf>
    <xf borderId="0" fillId="0" fontId="5" numFmtId="166" xfId="0" applyAlignment="1" applyFont="1" applyNumberFormat="1">
      <alignment horizontal="left" vertical="bottom"/>
    </xf>
    <xf borderId="0" fillId="0" fontId="5" numFmtId="168"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0" fontId="5" numFmtId="0" xfId="0" applyAlignment="1" applyFont="1">
      <alignment horizontal="left" readingOrder="0" vertical="bottom"/>
    </xf>
    <xf borderId="0" fillId="0" fontId="17" numFmtId="0" xfId="0" applyAlignment="1" applyFont="1">
      <alignment readingOrder="0"/>
    </xf>
    <xf borderId="0" fillId="0" fontId="5" numFmtId="0" xfId="0" applyAlignment="1" applyFont="1">
      <alignment readingOrder="0" shrinkToFit="0" vertical="bottom" wrapText="1"/>
    </xf>
    <xf borderId="0" fillId="3" fontId="5" numFmtId="0" xfId="0" applyAlignment="1" applyFont="1">
      <alignment horizontal="left" readingOrder="0" vertical="bottom"/>
    </xf>
    <xf borderId="0" fillId="3" fontId="5" numFmtId="0" xfId="0" applyAlignment="1" applyFont="1">
      <alignment horizontal="left" vertical="bottom"/>
    </xf>
    <xf borderId="0" fillId="11" fontId="13" numFmtId="0" xfId="0" applyAlignment="1" applyFont="1">
      <alignment readingOrder="0"/>
    </xf>
    <xf borderId="0" fillId="3" fontId="18" numFmtId="0" xfId="0" applyAlignment="1" applyFont="1">
      <alignment readingOrder="0"/>
    </xf>
    <xf borderId="0" fillId="12" fontId="13" numFmtId="0" xfId="0" applyAlignment="1" applyFill="1" applyFont="1">
      <alignment readingOrder="0"/>
    </xf>
    <xf borderId="0" fillId="3" fontId="15" numFmtId="0" xfId="0" applyAlignment="1" applyFont="1">
      <alignment readingOrder="0"/>
    </xf>
    <xf borderId="0" fillId="3" fontId="8" numFmtId="165" xfId="0" applyAlignment="1" applyFont="1" applyNumberFormat="1">
      <alignment horizontal="left" vertical="bottom"/>
    </xf>
    <xf borderId="0" fillId="3" fontId="2" numFmtId="165" xfId="0" applyAlignment="1" applyFont="1" applyNumberFormat="1">
      <alignment horizontal="left" vertical="bottom"/>
    </xf>
    <xf borderId="0" fillId="0" fontId="5" numFmtId="21" xfId="0" applyAlignment="1" applyFont="1" applyNumberFormat="1">
      <alignment horizontal="left" readingOrder="0" vertical="bottom"/>
    </xf>
    <xf borderId="0" fillId="3" fontId="5" numFmtId="0" xfId="0" applyAlignment="1" applyFont="1">
      <alignment horizontal="left" readingOrder="0" vertical="bottom"/>
    </xf>
    <xf borderId="0" fillId="12" fontId="19" numFmtId="0" xfId="0" applyAlignment="1" applyFont="1">
      <alignment readingOrder="0"/>
    </xf>
    <xf borderId="0" fillId="11" fontId="20" numFmtId="0" xfId="0" applyAlignment="1" applyFont="1">
      <alignment readingOrder="0"/>
    </xf>
    <xf borderId="0" fillId="11" fontId="21" numFmtId="0" xfId="0" applyAlignment="1" applyFont="1">
      <alignment readingOrder="0"/>
    </xf>
    <xf borderId="0" fillId="0" fontId="22" numFmtId="0" xfId="0" applyAlignment="1" applyFont="1">
      <alignment readingOrder="0"/>
    </xf>
    <xf borderId="0" fillId="11" fontId="22" numFmtId="0" xfId="0" applyAlignment="1" applyFont="1">
      <alignment readingOrder="0"/>
    </xf>
    <xf borderId="0" fillId="0" fontId="23" numFmtId="0" xfId="0" applyAlignment="1" applyFont="1">
      <alignment readingOrder="0"/>
    </xf>
    <xf borderId="0" fillId="11" fontId="2" numFmtId="0" xfId="0" applyAlignment="1" applyFont="1">
      <alignment horizontal="left" readingOrder="0" vertical="bottom"/>
    </xf>
    <xf borderId="0" fillId="3" fontId="24" numFmtId="0" xfId="0" applyAlignment="1" applyFont="1">
      <alignment horizontal="left" readingOrder="0" shrinkToFit="0" wrapText="0"/>
    </xf>
    <xf borderId="0" fillId="0" fontId="25" numFmtId="0" xfId="0" applyAlignment="1" applyFont="1">
      <alignment readingOrder="0"/>
    </xf>
    <xf borderId="0" fillId="0" fontId="24" numFmtId="0" xfId="0" applyAlignment="1" applyFont="1">
      <alignment horizontal="left" readingOrder="0"/>
    </xf>
    <xf borderId="0" fillId="3" fontId="26" numFmtId="0" xfId="0" applyAlignment="1" applyFont="1">
      <alignment horizontal="left" readingOrder="0" shrinkToFit="0" wrapText="0"/>
    </xf>
    <xf borderId="0" fillId="0" fontId="5" numFmtId="168" xfId="0" applyAlignment="1" applyFont="1" applyNumberFormat="1">
      <alignment horizontal="left" vertical="bottom"/>
    </xf>
    <xf borderId="0" fillId="0" fontId="5" numFmtId="0" xfId="0" applyAlignment="1" applyFont="1">
      <alignment horizontal="left" shrinkToFit="0" vertical="bottom" wrapText="1"/>
    </xf>
    <xf borderId="0" fillId="3" fontId="5" numFmtId="46" xfId="0" applyAlignment="1" applyFont="1" applyNumberFormat="1">
      <alignment horizontal="left" vertical="bottom"/>
    </xf>
    <xf borderId="0" fillId="3" fontId="27" numFmtId="0" xfId="0" applyAlignment="1" applyFont="1">
      <alignment readingOrder="0"/>
    </xf>
    <xf borderId="0" fillId="3" fontId="28" numFmtId="0" xfId="0" applyAlignment="1" applyFont="1">
      <alignment readingOrder="0"/>
    </xf>
    <xf borderId="0" fillId="3" fontId="8" numFmtId="169" xfId="0" applyAlignment="1" applyFont="1" applyNumberFormat="1">
      <alignment horizontal="left" readingOrder="0" vertical="bottom"/>
    </xf>
    <xf borderId="0" fillId="11" fontId="8" numFmtId="169" xfId="0" applyAlignment="1" applyFont="1" applyNumberFormat="1">
      <alignment horizontal="left" readingOrder="0" vertical="bottom"/>
    </xf>
    <xf borderId="0" fillId="13" fontId="8" numFmtId="169" xfId="0" applyAlignment="1" applyFill="1" applyFont="1" applyNumberFormat="1">
      <alignment horizontal="left" readingOrder="0" vertical="bottom"/>
    </xf>
    <xf borderId="0" fillId="0" fontId="5" numFmtId="46" xfId="0" applyAlignment="1" applyFont="1" applyNumberFormat="1">
      <alignment horizontal="left" readingOrder="0" vertical="bottom"/>
    </xf>
    <xf borderId="0" fillId="14" fontId="8" numFmtId="169" xfId="0" applyAlignment="1" applyFill="1" applyFont="1" applyNumberFormat="1">
      <alignment horizontal="left" readingOrder="0" vertical="bottom"/>
    </xf>
    <xf borderId="0" fillId="0" fontId="5" numFmtId="46" xfId="0" applyAlignment="1" applyFont="1" applyNumberFormat="1">
      <alignment horizontal="left" vertical="bottom"/>
    </xf>
    <xf borderId="0" fillId="3" fontId="8" numFmtId="0" xfId="0" applyAlignment="1" applyFont="1">
      <alignment horizontal="left" readingOrder="0" shrinkToFit="0" vertical="bottom" wrapText="0"/>
    </xf>
    <xf borderId="0" fillId="3" fontId="13" numFmtId="0" xfId="0" applyAlignment="1" applyFont="1">
      <alignment horizontal="left" readingOrder="0" vertical="bottom"/>
    </xf>
    <xf borderId="0" fillId="0" fontId="29" numFmtId="0" xfId="0" applyAlignment="1" applyFont="1">
      <alignment horizontal="left" readingOrder="0" shrinkToFit="0" wrapText="0"/>
    </xf>
    <xf borderId="0" fillId="0" fontId="30" numFmtId="0" xfId="0" applyAlignment="1" applyFont="1">
      <alignment horizontal="left" readingOrder="0" shrinkToFit="0" wrapText="0"/>
    </xf>
    <xf borderId="0" fillId="0" fontId="31" numFmtId="0" xfId="0" applyAlignment="1" applyFont="1">
      <alignment readingOrder="0"/>
    </xf>
    <xf borderId="0" fillId="0" fontId="32" numFmtId="0" xfId="0" applyAlignment="1" applyFont="1">
      <alignment readingOrder="0"/>
    </xf>
    <xf borderId="0" fillId="3" fontId="29" numFmtId="0" xfId="0" applyAlignment="1" applyFont="1">
      <alignment horizontal="left" readingOrder="0" shrinkToFit="0" wrapText="0"/>
    </xf>
    <xf borderId="0" fillId="3" fontId="26" numFmtId="0" xfId="0" applyAlignment="1" applyFont="1">
      <alignment horizontal="left" shrinkToFit="0" wrapText="0"/>
    </xf>
    <xf borderId="0" fillId="3" fontId="30" numFmtId="0" xfId="0" applyAlignment="1" applyFont="1">
      <alignment horizontal="left" readingOrder="0" shrinkToFit="0" wrapText="0"/>
    </xf>
    <xf borderId="0" fillId="0" fontId="33" numFmtId="0" xfId="0" applyAlignment="1" applyFont="1">
      <alignment horizontal="left" readingOrder="0"/>
    </xf>
    <xf borderId="0" fillId="3" fontId="8" numFmtId="169" xfId="0" applyAlignment="1" applyFont="1" applyNumberFormat="1">
      <alignment horizontal="left" vertical="bottom"/>
    </xf>
    <xf borderId="0" fillId="3" fontId="2" numFmtId="0" xfId="0" applyAlignment="1" applyFont="1">
      <alignment horizontal="left" vertical="bottom"/>
    </xf>
    <xf borderId="0" fillId="3" fontId="8" numFmtId="0" xfId="0" applyAlignment="1" applyFont="1">
      <alignment horizontal="left" vertical="bottom"/>
    </xf>
    <xf borderId="0" fillId="0" fontId="2" numFmtId="0" xfId="0" applyAlignment="1" applyFont="1">
      <alignment horizontal="left" vertical="bottom"/>
    </xf>
    <xf borderId="0" fillId="3" fontId="8" numFmtId="0" xfId="0" applyAlignment="1" applyFont="1">
      <alignment horizontal="left" shrinkToFit="0" vertical="bottom" wrapText="0"/>
    </xf>
    <xf borderId="0" fillId="3" fontId="8" numFmtId="170" xfId="0" applyAlignment="1" applyFont="1" applyNumberFormat="1">
      <alignment horizontal="left" vertical="bottom"/>
    </xf>
    <xf borderId="0" fillId="3" fontId="2" numFmtId="170" xfId="0" applyAlignment="1" applyFont="1" applyNumberFormat="1">
      <alignment horizontal="left" vertical="bottom"/>
    </xf>
    <xf borderId="0" fillId="3" fontId="8" numFmtId="170" xfId="0" applyAlignment="1" applyFont="1" applyNumberFormat="1">
      <alignment horizontal="left" readingOrder="0" vertical="bottom"/>
    </xf>
    <xf borderId="0" fillId="3" fontId="2" numFmtId="170" xfId="0" applyAlignment="1" applyFont="1" applyNumberFormat="1">
      <alignment horizontal="left" readingOrder="0" vertical="bottom"/>
    </xf>
    <xf borderId="0" fillId="3" fontId="8" numFmtId="166" xfId="0" applyAlignment="1" applyFont="1" applyNumberFormat="1">
      <alignment horizontal="left" vertical="bottom"/>
    </xf>
    <xf borderId="0" fillId="3" fontId="5" numFmtId="166" xfId="0" applyAlignment="1" applyFont="1" applyNumberFormat="1">
      <alignment horizontal="left" vertical="bottom"/>
    </xf>
    <xf borderId="6" fillId="2" fontId="1" numFmtId="0" xfId="0" applyAlignment="1" applyBorder="1" applyFont="1">
      <alignment vertical="bottom"/>
    </xf>
    <xf borderId="8" fillId="4" fontId="2" numFmtId="0" xfId="0" applyAlignment="1" applyBorder="1" applyFont="1">
      <alignment vertical="bottom"/>
    </xf>
    <xf borderId="3" fillId="4" fontId="2" numFmtId="0" xfId="0" applyAlignment="1" applyBorder="1" applyFont="1">
      <alignment horizontal="right" vertical="bottom"/>
    </xf>
    <xf borderId="0" fillId="6" fontId="2" numFmtId="0" xfId="0" applyAlignment="1" applyFont="1">
      <alignment vertical="bottom"/>
    </xf>
    <xf borderId="0" fillId="9" fontId="10" numFmtId="0" xfId="0" applyAlignment="1" applyFont="1">
      <alignment vertical="bottom"/>
    </xf>
    <xf borderId="5" fillId="9" fontId="10" numFmtId="0" xfId="0" applyAlignment="1" applyBorder="1" applyFont="1">
      <alignment vertical="bottom"/>
    </xf>
    <xf borderId="4" fillId="0" fontId="10" numFmtId="0" xfId="0" applyAlignment="1" applyBorder="1" applyFont="1">
      <alignment vertical="bottom"/>
    </xf>
    <xf borderId="0" fillId="6" fontId="34" numFmtId="0" xfId="0" applyAlignment="1" applyFont="1">
      <alignment vertical="bottom"/>
    </xf>
    <xf borderId="5" fillId="6" fontId="34" numFmtId="0" xfId="0" applyAlignment="1" applyBorder="1" applyFont="1">
      <alignment vertical="bottom"/>
    </xf>
    <xf borderId="11" fillId="4" fontId="2" numFmtId="0" xfId="0" applyAlignment="1" applyBorder="1" applyFont="1">
      <alignment vertical="bottom"/>
    </xf>
    <xf borderId="4" fillId="4" fontId="2" numFmtId="0" xfId="0" applyAlignment="1" applyBorder="1" applyFont="1">
      <alignment horizontal="right" vertical="bottom"/>
    </xf>
    <xf borderId="0" fillId="3" fontId="35" numFmtId="0" xfId="0" applyAlignment="1" applyFont="1">
      <alignment horizontal="left" readingOrder="0" vertical="bottom"/>
    </xf>
    <xf borderId="0" fillId="3" fontId="36" numFmtId="0" xfId="0" applyAlignment="1" applyFont="1">
      <alignment horizontal="left" readingOrder="0" vertical="bottom"/>
    </xf>
    <xf borderId="0" fillId="11" fontId="27" numFmtId="0" xfId="0" applyAlignment="1" applyFont="1">
      <alignment readingOrder="0"/>
    </xf>
    <xf borderId="0" fillId="11" fontId="28" numFmtId="0" xfId="0" applyAlignment="1" applyFont="1">
      <alignment readingOrder="0"/>
    </xf>
    <xf borderId="0" fillId="11" fontId="15" numFmtId="0" xfId="0" applyAlignment="1" applyFont="1">
      <alignment readingOrder="0"/>
    </xf>
    <xf borderId="0" fillId="0" fontId="37" numFmtId="0" xfId="0" applyAlignment="1" applyFont="1">
      <alignment readingOrder="0"/>
    </xf>
    <xf borderId="0" fillId="0" fontId="29" numFmtId="0" xfId="0" applyAlignment="1" applyFont="1">
      <alignment readingOrder="0"/>
    </xf>
    <xf borderId="0" fillId="3" fontId="2" numFmtId="169" xfId="0" applyAlignment="1" applyFont="1" applyNumberFormat="1">
      <alignment horizontal="left" readingOrder="0" vertical="bottom"/>
    </xf>
    <xf borderId="0" fillId="0" fontId="29" numFmtId="0" xfId="0" applyAlignment="1" applyFont="1">
      <alignment horizontal="left" readingOrder="0"/>
    </xf>
    <xf borderId="0" fillId="3" fontId="2" numFmtId="0" xfId="0" applyAlignment="1" applyFont="1">
      <alignment horizontal="left" readingOrder="0" shrinkToFit="0" vertical="bottom" wrapText="0"/>
    </xf>
    <xf borderId="0" fillId="3" fontId="30" numFmtId="0" xfId="0" applyAlignment="1" applyFont="1">
      <alignment horizontal="left" shrinkToFit="0" wrapText="0"/>
    </xf>
    <xf borderId="0" fillId="0" fontId="38" numFmtId="0" xfId="0" applyAlignment="1" applyFont="1">
      <alignment readingOrder="0"/>
    </xf>
    <xf borderId="0" fillId="3" fontId="2" numFmtId="169" xfId="0" applyAlignment="1" applyFont="1" applyNumberFormat="1">
      <alignment horizontal="left" vertical="bottom"/>
    </xf>
    <xf borderId="0" fillId="3" fontId="2" numFmtId="0" xfId="0" applyAlignment="1" applyFont="1">
      <alignment horizontal="left" shrinkToFit="0" vertical="bottom" wrapText="0"/>
    </xf>
    <xf borderId="0" fillId="3" fontId="13" numFmtId="0" xfId="0" applyAlignment="1" applyFont="1">
      <alignment readingOrder="0" shrinkToFit="0" wrapText="1"/>
    </xf>
    <xf borderId="0" fillId="11" fontId="39" numFmtId="0" xfId="0" applyAlignment="1" applyFont="1">
      <alignment readingOrder="0"/>
    </xf>
    <xf borderId="0" fillId="0" fontId="40" numFmtId="0" xfId="0" applyAlignment="1" applyFont="1">
      <alignment readingOrder="0"/>
    </xf>
    <xf borderId="0" fillId="15" fontId="41" numFmtId="0" xfId="0" applyAlignment="1" applyFill="1" applyFont="1">
      <alignment horizontal="left" readingOrder="0"/>
    </xf>
    <xf borderId="0" fillId="0" fontId="5" numFmtId="0" xfId="0" applyAlignment="1" applyFont="1">
      <alignment readingOrder="0" vertical="bottom"/>
    </xf>
    <xf borderId="0" fillId="5" fontId="42" numFmtId="0" xfId="0" applyAlignment="1" applyFont="1">
      <alignment vertical="bottom"/>
    </xf>
    <xf borderId="0" fillId="0" fontId="5" numFmtId="165" xfId="0" applyAlignment="1" applyFont="1" applyNumberFormat="1">
      <alignment vertical="bottom"/>
    </xf>
    <xf borderId="0" fillId="16" fontId="28" numFmtId="0" xfId="0" applyAlignment="1" applyFill="1" applyFont="1">
      <alignment readingOrder="0"/>
    </xf>
    <xf borderId="0" fillId="16" fontId="13" numFmtId="0" xfId="0" applyAlignment="1" applyFont="1">
      <alignment readingOrder="0"/>
    </xf>
    <xf borderId="0" fillId="16" fontId="15" numFmtId="0" xfId="0" applyAlignment="1" applyFont="1">
      <alignment readingOrder="0"/>
    </xf>
    <xf borderId="0" fillId="3" fontId="43" numFmtId="0" xfId="0" applyAlignment="1" applyFont="1">
      <alignment readingOrder="0"/>
    </xf>
    <xf borderId="0" fillId="16" fontId="44" numFmtId="0" xfId="0" applyAlignment="1" applyFont="1">
      <alignment readingOrder="0"/>
    </xf>
    <xf borderId="0" fillId="16" fontId="45" numFmtId="0" xfId="0" applyAlignment="1" applyFont="1">
      <alignment readingOrder="0"/>
    </xf>
    <xf borderId="0" fillId="16" fontId="22" numFmtId="0" xfId="0" applyAlignment="1" applyFont="1">
      <alignment readingOrder="0"/>
    </xf>
    <xf borderId="0" fillId="16" fontId="27" numFmtId="0" xfId="0" applyAlignment="1" applyFont="1">
      <alignment readingOrder="0"/>
    </xf>
    <xf borderId="0" fillId="3" fontId="46" numFmtId="0" xfId="0" applyAlignment="1" applyFont="1">
      <alignment horizontal="left" readingOrder="0" shrinkToFit="0" wrapText="0"/>
    </xf>
    <xf borderId="0" fillId="0" fontId="47" numFmtId="0" xfId="0" applyAlignment="1" applyFont="1">
      <alignment horizontal="left" readingOrder="0"/>
    </xf>
    <xf borderId="0" fillId="2" fontId="12" numFmtId="0" xfId="0" applyAlignment="1" applyFont="1">
      <alignment vertical="bottom"/>
    </xf>
    <xf borderId="12" fillId="17" fontId="2" numFmtId="0" xfId="0" applyAlignment="1" applyBorder="1" applyFill="1" applyFont="1">
      <alignment vertical="bottom"/>
    </xf>
    <xf borderId="12" fillId="17" fontId="2" numFmtId="165" xfId="0" applyAlignment="1" applyBorder="1" applyFont="1" applyNumberFormat="1">
      <alignment horizontal="right" vertical="bottom"/>
    </xf>
    <xf borderId="12" fillId="17" fontId="2" numFmtId="4" xfId="0" applyAlignment="1" applyBorder="1" applyFont="1" applyNumberFormat="1">
      <alignment horizontal="right" vertical="bottom"/>
    </xf>
    <xf borderId="12" fillId="17" fontId="2" numFmtId="0" xfId="0" applyAlignment="1" applyBorder="1" applyFont="1">
      <alignment horizontal="right" vertical="bottom"/>
    </xf>
    <xf borderId="12" fillId="17" fontId="2" numFmtId="2" xfId="0" applyAlignment="1" applyBorder="1" applyFont="1" applyNumberFormat="1">
      <alignment horizontal="right" vertical="bottom"/>
    </xf>
    <xf borderId="8" fillId="0" fontId="5" numFmtId="0" xfId="0" applyAlignment="1" applyBorder="1" applyFont="1">
      <alignment vertical="bottom"/>
    </xf>
    <xf borderId="11" fillId="0" fontId="5" numFmtId="0" xfId="0" applyAlignment="1" applyBorder="1" applyFont="1">
      <alignment vertical="bottom"/>
    </xf>
    <xf borderId="0" fillId="3" fontId="48" numFmtId="0" xfId="0" applyAlignment="1" applyFont="1">
      <alignment readingOrder="0"/>
    </xf>
    <xf borderId="0" fillId="3" fontId="13" numFmtId="0" xfId="0" applyAlignment="1" applyFont="1">
      <alignment readingOrder="0"/>
    </xf>
    <xf borderId="0" fillId="3" fontId="45" numFmtId="0" xfId="0" applyAlignment="1" applyFont="1">
      <alignment readingOrder="0"/>
    </xf>
    <xf borderId="0" fillId="3" fontId="20" numFmtId="0" xfId="0" applyAlignment="1" applyFont="1">
      <alignment readingOrder="0"/>
    </xf>
    <xf borderId="0" fillId="18" fontId="49" numFmtId="0" xfId="0" applyAlignment="1" applyFill="1" applyFont="1">
      <alignment readingOrder="0"/>
    </xf>
    <xf borderId="0" fillId="18" fontId="50" numFmtId="0" xfId="0" applyAlignment="1" applyFont="1">
      <alignment horizontal="left" readingOrder="0" shrinkToFit="0" wrapText="0"/>
    </xf>
    <xf borderId="0" fillId="18" fontId="38" numFmtId="0" xfId="0" applyAlignment="1" applyFont="1">
      <alignment horizontal="left" readingOrder="0" shrinkToFit="0" wrapText="0"/>
    </xf>
    <xf borderId="0" fillId="18" fontId="49" numFmtId="0" xfId="0" applyAlignment="1" applyFont="1">
      <alignment horizontal="left" readingOrder="0" shrinkToFit="0" wrapText="0"/>
    </xf>
    <xf borderId="0" fillId="18" fontId="33" numFmtId="0" xfId="0" applyAlignment="1" applyFont="1">
      <alignment horizontal="left" readingOrder="0" shrinkToFit="0" wrapText="0"/>
    </xf>
    <xf borderId="0" fillId="3" fontId="27" numFmtId="0" xfId="0" applyFont="1"/>
    <xf borderId="0" fillId="0" fontId="51" numFmtId="0" xfId="0" applyAlignment="1" applyFont="1">
      <alignment readingOrder="0"/>
    </xf>
    <xf borderId="0" fillId="3" fontId="14" numFmtId="0" xfId="0" applyAlignment="1" applyFont="1">
      <alignment readingOrder="0"/>
    </xf>
    <xf borderId="0" fillId="3" fontId="21" numFmtId="0" xfId="0" applyAlignment="1" applyFont="1">
      <alignment readingOrder="0"/>
    </xf>
    <xf borderId="0" fillId="18" fontId="33" numFmtId="0" xfId="0" applyAlignment="1" applyFont="1">
      <alignment readingOrder="0"/>
    </xf>
    <xf borderId="0" fillId="0" fontId="29" numFmtId="0" xfId="0" applyAlignment="1" applyFont="1">
      <alignment horizontal="left" readingOrder="0"/>
    </xf>
    <xf borderId="0" fillId="3" fontId="47" numFmtId="0" xfId="0" applyAlignment="1" applyFont="1">
      <alignment horizontal="left" readingOrder="0" shrinkToFit="0" wrapText="0"/>
    </xf>
    <xf borderId="0" fillId="0" fontId="52" numFmtId="0" xfId="0" applyAlignment="1" applyFont="1">
      <alignment horizontal="left" readingOrder="0" vertical="bottom"/>
    </xf>
    <xf borderId="0" fillId="0" fontId="5" numFmtId="0" xfId="0" applyAlignment="1" applyFont="1">
      <alignment shrinkToFit="0" vertical="bottom" wrapText="1"/>
    </xf>
    <xf borderId="0" fillId="19" fontId="13" numFmtId="0" xfId="0" applyAlignment="1" applyFill="1" applyFont="1">
      <alignment readingOrder="0" shrinkToFit="0" wrapText="1"/>
    </xf>
    <xf borderId="0" fillId="11" fontId="33" numFmtId="0" xfId="0" applyAlignment="1" applyFont="1">
      <alignment readingOrder="0"/>
    </xf>
    <xf borderId="0" fillId="11" fontId="49" numFmtId="0" xfId="0" applyAlignment="1" applyFont="1">
      <alignment readingOrder="0"/>
    </xf>
    <xf borderId="0" fillId="11" fontId="5" numFmtId="0" xfId="0" applyAlignment="1" applyFont="1">
      <alignment horizontal="left" readingOrder="0" vertical="bottom"/>
    </xf>
    <xf borderId="0" fillId="0" fontId="53" numFmtId="0" xfId="0" applyAlignment="1" applyFont="1">
      <alignment horizontal="left" readingOrder="0"/>
    </xf>
    <xf borderId="0" fillId="3" fontId="49" numFmtId="0" xfId="0" applyAlignment="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slack-files.com/T089JBRTVMM-F08MWHHUFPU-0abf9ab21c" TargetMode="External"/><Relationship Id="rId10" Type="http://schemas.openxmlformats.org/officeDocument/2006/relationships/hyperlink" Target="https://slack-files.com/T089JBRTVMM-F08MQ8K02EP-12dd9edf08" TargetMode="External"/><Relationship Id="rId13" Type="http://schemas.openxmlformats.org/officeDocument/2006/relationships/hyperlink" Target="https://slack-files.com/T089JBRTVMM-F08MWLVLPFW-3165787c27" TargetMode="External"/><Relationship Id="rId12" Type="http://schemas.openxmlformats.org/officeDocument/2006/relationships/hyperlink" Target="https://slack-files.com/T089JBRTVMM-F08MCD15TPH-c3e664aa76" TargetMode="External"/><Relationship Id="rId1" Type="http://schemas.openxmlformats.org/officeDocument/2006/relationships/comments" Target="../comments1.xml"/><Relationship Id="rId2" Type="http://schemas.openxmlformats.org/officeDocument/2006/relationships/hyperlink" Target="https://slack-files.com/T089JBRTVMM-F08LKAN042Z-53ae7da4ea" TargetMode="External"/><Relationship Id="rId3" Type="http://schemas.openxmlformats.org/officeDocument/2006/relationships/hyperlink" Target="https://slack-files.com/T089JBRTVMM-F08M2DVVB6D-c84eeabb5d" TargetMode="External"/><Relationship Id="rId4" Type="http://schemas.openxmlformats.org/officeDocument/2006/relationships/hyperlink" Target="https://slack-files.com/T089JBRTVMM-F08MFE0CJD6-e1d174471b" TargetMode="External"/><Relationship Id="rId9" Type="http://schemas.openxmlformats.org/officeDocument/2006/relationships/hyperlink" Target="https://slack-files.com/T089JBRTVMM-F08M81C5P5L-5eb99c335e" TargetMode="External"/><Relationship Id="rId15" Type="http://schemas.openxmlformats.org/officeDocument/2006/relationships/hyperlink" Target="https://slack-files.com/T089JBRTVMM-F08N5UW4D18-ab53728404" TargetMode="External"/><Relationship Id="rId14" Type="http://schemas.openxmlformats.org/officeDocument/2006/relationships/hyperlink" Target="https://slack-files.com/T089JBRTVMM-F08NA605KQR-a23a9edf51" TargetMode="External"/><Relationship Id="rId17" Type="http://schemas.openxmlformats.org/officeDocument/2006/relationships/vmlDrawing" Target="../drawings/vmlDrawing1.vml"/><Relationship Id="rId16" Type="http://schemas.openxmlformats.org/officeDocument/2006/relationships/drawing" Target="../drawings/drawing2.xml"/><Relationship Id="rId5" Type="http://schemas.openxmlformats.org/officeDocument/2006/relationships/hyperlink" Target="https://slack-files.com/T089JBRTVMM-F08LJSDM32B-e1f6fd421a" TargetMode="External"/><Relationship Id="rId6" Type="http://schemas.openxmlformats.org/officeDocument/2006/relationships/hyperlink" Target="https://slack-files.com/T089JBRTVMM-F08M9TK74BT-71681a9462" TargetMode="External"/><Relationship Id="rId7" Type="http://schemas.openxmlformats.org/officeDocument/2006/relationships/hyperlink" Target="https://slack-files.com/T089JBRTVMM-F08M1FVN70D-80cf01cc98" TargetMode="External"/><Relationship Id="rId8" Type="http://schemas.openxmlformats.org/officeDocument/2006/relationships/hyperlink" Target="https://slack-files.com/T089JBRTVMM-F08ME5NBDT4-6ab2e9895a"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slack-files.com/T089JBRTVMM-F08SYJ51ZTR-0f551d8bd7" TargetMode="External"/><Relationship Id="rId10" Type="http://schemas.openxmlformats.org/officeDocument/2006/relationships/hyperlink" Target="https://slack-files.com/T089JBRTVMM-F08TVQZ397T-e9af25da65" TargetMode="External"/><Relationship Id="rId13" Type="http://schemas.openxmlformats.org/officeDocument/2006/relationships/hyperlink" Target="https://slack-files.com/T089JBRTVMM-F08UPR50350-e5949fc516" TargetMode="External"/><Relationship Id="rId12" Type="http://schemas.openxmlformats.org/officeDocument/2006/relationships/hyperlink" Target="https://slack-files.com/T089JBRTVMM-F08V02U273J-9c1dff272e" TargetMode="External"/><Relationship Id="rId1" Type="http://schemas.openxmlformats.org/officeDocument/2006/relationships/comments" Target="../comments2.xml"/><Relationship Id="rId2" Type="http://schemas.openxmlformats.org/officeDocument/2006/relationships/hyperlink" Target="https://slack-files.com/T089JBRTVMM-F08QR5YR1EX-62568a2bb0" TargetMode="External"/><Relationship Id="rId3" Type="http://schemas.openxmlformats.org/officeDocument/2006/relationships/hyperlink" Target="https://slack-files.com/T089JBRTVMM-F08QPB5BW87-2190d0f762" TargetMode="External"/><Relationship Id="rId4" Type="http://schemas.openxmlformats.org/officeDocument/2006/relationships/hyperlink" Target="https://slack-files.com/T089JBRTVMM-F08RUGEQXUJ-81378ae256" TargetMode="External"/><Relationship Id="rId9" Type="http://schemas.openxmlformats.org/officeDocument/2006/relationships/hyperlink" Target="https://slack-files.com/T089JBRTVMM-F08T1GR9AHY-cec6910858" TargetMode="External"/><Relationship Id="rId15" Type="http://schemas.openxmlformats.org/officeDocument/2006/relationships/drawing" Target="../drawings/drawing3.xml"/><Relationship Id="rId14" Type="http://schemas.openxmlformats.org/officeDocument/2006/relationships/hyperlink" Target="https://slack-files.com/T089JBRTVMM-F08UAV6UBV4-5bc0a5d8f9" TargetMode="External"/><Relationship Id="rId16" Type="http://schemas.openxmlformats.org/officeDocument/2006/relationships/vmlDrawing" Target="../drawings/vmlDrawing2.vml"/><Relationship Id="rId5" Type="http://schemas.openxmlformats.org/officeDocument/2006/relationships/hyperlink" Target="https://slack-files.com/T089JBRTVMM-F08RYPSEGN4-938d06b03b" TargetMode="External"/><Relationship Id="rId6" Type="http://schemas.openxmlformats.org/officeDocument/2006/relationships/hyperlink" Target="https://slack-files.com/T089JBRTVMM-F08SL8SQ796-48d7110029" TargetMode="External"/><Relationship Id="rId7" Type="http://schemas.openxmlformats.org/officeDocument/2006/relationships/hyperlink" Target="https://slack-files.com/T089JBRTVMM-F08T0P7C9FA-9c57ca676d" TargetMode="External"/><Relationship Id="rId8" Type="http://schemas.openxmlformats.org/officeDocument/2006/relationships/hyperlink" Target="https://slack-files.com/T089JBRTVMM-F08SLJP0M6G-d551736604"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slack-files.com/T089JBRTVMM-F091V4RS560-8e2e62fcee" TargetMode="External"/><Relationship Id="rId10" Type="http://schemas.openxmlformats.org/officeDocument/2006/relationships/hyperlink" Target="https://slack-files.com/T089JBRTVMM-F092HLN02D6-222160e8d2" TargetMode="External"/><Relationship Id="rId13" Type="http://schemas.openxmlformats.org/officeDocument/2006/relationships/hyperlink" Target="https://slack-files.com/T089JBRTVMM-F092CPC6C84-d73376f8d3" TargetMode="External"/><Relationship Id="rId12" Type="http://schemas.openxmlformats.org/officeDocument/2006/relationships/hyperlink" Target="https://slack-files.com/T089JBRTVMM-F091YRAUUGM-d8d2583099" TargetMode="External"/><Relationship Id="rId1" Type="http://schemas.openxmlformats.org/officeDocument/2006/relationships/comments" Target="../comments3.xml"/><Relationship Id="rId2" Type="http://schemas.openxmlformats.org/officeDocument/2006/relationships/hyperlink" Target="https://slack-files.com/T089JBRTVMM-F08TVR24X5X-171325519b" TargetMode="External"/><Relationship Id="rId3" Type="http://schemas.openxmlformats.org/officeDocument/2006/relationships/hyperlink" Target="https://slack-files.com/T089JBRTVMM-F08UM3C1527-ffa11987c0" TargetMode="External"/><Relationship Id="rId4" Type="http://schemas.openxmlformats.org/officeDocument/2006/relationships/hyperlink" Target="https://slack-files.com/T089JBRTVMM-F08VDB9TU2G-ad3ba23f37" TargetMode="External"/><Relationship Id="rId9" Type="http://schemas.openxmlformats.org/officeDocument/2006/relationships/hyperlink" Target="https://slack-files.com/T089JBRTVMM-F090STS7V0E-6489aefab7" TargetMode="External"/><Relationship Id="rId15" Type="http://schemas.openxmlformats.org/officeDocument/2006/relationships/hyperlink" Target="https://slack-files.com/T089JBRTVMM-F0931K0S2UC-0c286e8757" TargetMode="External"/><Relationship Id="rId14" Type="http://schemas.openxmlformats.org/officeDocument/2006/relationships/hyperlink" Target="https://slack-files.com/T089JBRTVMM-F092R7XC5B7-1e4b864eb2" TargetMode="External"/><Relationship Id="rId17" Type="http://schemas.openxmlformats.org/officeDocument/2006/relationships/vmlDrawing" Target="../drawings/vmlDrawing3.vml"/><Relationship Id="rId16" Type="http://schemas.openxmlformats.org/officeDocument/2006/relationships/drawing" Target="../drawings/drawing4.xml"/><Relationship Id="rId5" Type="http://schemas.openxmlformats.org/officeDocument/2006/relationships/hyperlink" Target="https://slack-files.com/T089JBRTVMM-F08V9HLUSGP-e854fe9c76" TargetMode="External"/><Relationship Id="rId6" Type="http://schemas.openxmlformats.org/officeDocument/2006/relationships/hyperlink" Target="https://slack-files.com/T089JBRTVMM-F090J524ASG-50f341609d" TargetMode="External"/><Relationship Id="rId7" Type="http://schemas.openxmlformats.org/officeDocument/2006/relationships/hyperlink" Target="https://slack-files.com/T089JBRTVMM-F090M7X1GKW-6cdd3a3ab1" TargetMode="External"/><Relationship Id="rId8" Type="http://schemas.openxmlformats.org/officeDocument/2006/relationships/hyperlink" Target="https://slack-files.com/T089JBRTVMM-F090T3647U3-5467e18aaa" TargetMode="External"/></Relationships>
</file>

<file path=xl/worksheets/_rels/sheet5.xml.rels><?xml version="1.0" encoding="UTF-8" standalone="yes"?><Relationships xmlns="http://schemas.openxmlformats.org/package/2006/relationships"><Relationship Id="rId20" Type="http://schemas.openxmlformats.org/officeDocument/2006/relationships/vmlDrawing" Target="../drawings/vmlDrawing4.vml"/><Relationship Id="rId11" Type="http://schemas.openxmlformats.org/officeDocument/2006/relationships/hyperlink" Target="https://slack-files.com/T089JBRTVMM-F09710309FT-d2831088d6" TargetMode="External"/><Relationship Id="rId10" Type="http://schemas.openxmlformats.org/officeDocument/2006/relationships/hyperlink" Target="https://slack-files.com/T089JBRTVMM-F096ELC6EGJ-67e1074c2c" TargetMode="External"/><Relationship Id="rId13" Type="http://schemas.openxmlformats.org/officeDocument/2006/relationships/hyperlink" Target="https://slack-files.com/T089JBRTVMM-F097HRZ36SG-3d8b6769d4" TargetMode="External"/><Relationship Id="rId12" Type="http://schemas.openxmlformats.org/officeDocument/2006/relationships/hyperlink" Target="https://slack-files.com/T089JBRTVMM-F096WT5M04A-aa1c520e04" TargetMode="External"/><Relationship Id="rId1" Type="http://schemas.openxmlformats.org/officeDocument/2006/relationships/comments" Target="../comments4.xml"/><Relationship Id="rId2" Type="http://schemas.openxmlformats.org/officeDocument/2006/relationships/hyperlink" Target="https://slack-files.com/T089JBRTVMM-F093GLB4NKH-8d9f85d0df" TargetMode="External"/><Relationship Id="rId3" Type="http://schemas.openxmlformats.org/officeDocument/2006/relationships/hyperlink" Target="https://slack-files.com/T089JBRTVMM-F0943BG3G31-a11871ad1f" TargetMode="External"/><Relationship Id="rId4" Type="http://schemas.openxmlformats.org/officeDocument/2006/relationships/hyperlink" Target="https://slack-files.com/T089JBRTVMM-F094ZRKDD50-21466958f8" TargetMode="External"/><Relationship Id="rId9" Type="http://schemas.openxmlformats.org/officeDocument/2006/relationships/hyperlink" Target="https://slack-files.com/T089JBRTVMM-F096HC7U8UQ-5c0844adb4" TargetMode="External"/><Relationship Id="rId15" Type="http://schemas.openxmlformats.org/officeDocument/2006/relationships/hyperlink" Target="https://slack-files.com/T089JBRTVMM-F097R0NAJ6R-6c03255696" TargetMode="External"/><Relationship Id="rId14" Type="http://schemas.openxmlformats.org/officeDocument/2006/relationships/hyperlink" Target="https://slack-files.com/T089JBRTVMM-F097R8V42R4-0b2c1429c3" TargetMode="External"/><Relationship Id="rId17" Type="http://schemas.openxmlformats.org/officeDocument/2006/relationships/hyperlink" Target="https://slack-files.com/T089JBRTVMM-F0980EV9X0B-a088f9f3c9" TargetMode="External"/><Relationship Id="rId16" Type="http://schemas.openxmlformats.org/officeDocument/2006/relationships/hyperlink" Target="https://slack-files.com/T089JBRTVMM-F097R8T6WNA-3f8f89a3ed" TargetMode="External"/><Relationship Id="rId5" Type="http://schemas.openxmlformats.org/officeDocument/2006/relationships/hyperlink" Target="https://slack-files.com/T089JBRTVMM-F095F4WCB08-4eec636472" TargetMode="External"/><Relationship Id="rId19" Type="http://schemas.openxmlformats.org/officeDocument/2006/relationships/drawing" Target="../drawings/drawing5.xml"/><Relationship Id="rId6" Type="http://schemas.openxmlformats.org/officeDocument/2006/relationships/hyperlink" Target="https://slack-files.com/T089JBRTVMM-F094U35EKQT-559a3c6aca" TargetMode="External"/><Relationship Id="rId18" Type="http://schemas.openxmlformats.org/officeDocument/2006/relationships/hyperlink" Target="https://slack-files.com/T089JBRTVMM-F0986P0EMKL-f55388be31" TargetMode="External"/><Relationship Id="rId7" Type="http://schemas.openxmlformats.org/officeDocument/2006/relationships/hyperlink" Target="https://slack-files.com/T089JBRTVMM-F09565V8VJN-716aa456e1" TargetMode="External"/><Relationship Id="rId8" Type="http://schemas.openxmlformats.org/officeDocument/2006/relationships/hyperlink" Target="https://slack-files.com/T089JBRTVMM-F095Q3DKSRJ-ba4b55697b"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slack-files.com/T089JBRTVMM-F09D31BCR08-6a569007e3" TargetMode="External"/><Relationship Id="rId22" Type="http://schemas.openxmlformats.org/officeDocument/2006/relationships/hyperlink" Target="https://slack-files.com/T08TMAAKCCU-F09C23ELAQ7-595e4071a1" TargetMode="External"/><Relationship Id="rId21" Type="http://schemas.openxmlformats.org/officeDocument/2006/relationships/hyperlink" Target="https://slack-files.com/T08TMAAKCCU-F09D3RQ2WMN-751c37dacd" TargetMode="External"/><Relationship Id="rId24" Type="http://schemas.openxmlformats.org/officeDocument/2006/relationships/hyperlink" Target="https://slack-files.com/T08TMAAKCCU-F09C2SC0ZM5-283af0c01b" TargetMode="External"/><Relationship Id="rId23" Type="http://schemas.openxmlformats.org/officeDocument/2006/relationships/hyperlink" Target="https://slack-files.com/T08TMAAKCCU-F09CHHXF19U-22f450545a" TargetMode="External"/><Relationship Id="rId1" Type="http://schemas.openxmlformats.org/officeDocument/2006/relationships/comments" Target="../comments5.xml"/><Relationship Id="rId2" Type="http://schemas.openxmlformats.org/officeDocument/2006/relationships/hyperlink" Target="https://slack-files.com/T089JBRTVMM-F098DN2HSGP-b0165539e8" TargetMode="External"/><Relationship Id="rId3" Type="http://schemas.openxmlformats.org/officeDocument/2006/relationships/hyperlink" Target="https://slack-files.com/T089JBRTVMM-F0993JCB8G4-0b9f65fdc7" TargetMode="External"/><Relationship Id="rId4" Type="http://schemas.openxmlformats.org/officeDocument/2006/relationships/hyperlink" Target="https://slack-files.com/T089JBRTVMM-F098Y8NCXDZ-6f8ae40844" TargetMode="External"/><Relationship Id="rId9" Type="http://schemas.openxmlformats.org/officeDocument/2006/relationships/hyperlink" Target="https://slack-files.com/T089JBRTVMM-F099UAX0E11-f28f8c81f5" TargetMode="External"/><Relationship Id="rId26" Type="http://schemas.openxmlformats.org/officeDocument/2006/relationships/drawing" Target="../drawings/drawing6.xml"/><Relationship Id="rId25" Type="http://schemas.openxmlformats.org/officeDocument/2006/relationships/hyperlink" Target="https://slack-files.com/T08TMAAKCCU-F09CNS6CGDC-cfc8cef8a8" TargetMode="External"/><Relationship Id="rId27" Type="http://schemas.openxmlformats.org/officeDocument/2006/relationships/vmlDrawing" Target="../drawings/vmlDrawing5.vml"/><Relationship Id="rId5" Type="http://schemas.openxmlformats.org/officeDocument/2006/relationships/hyperlink" Target="https://slack-files.com/T089JBRTVMM-F0991JF7DTQ-bd5e205964" TargetMode="External"/><Relationship Id="rId6" Type="http://schemas.openxmlformats.org/officeDocument/2006/relationships/hyperlink" Target="https://slack-files.com/T089JBRTVMM-F099Q2HRZ36-b50ae346ed" TargetMode="External"/><Relationship Id="rId7" Type="http://schemas.openxmlformats.org/officeDocument/2006/relationships/hyperlink" Target="https://slack-files.com/T089JBRTVMM-F099ADUKLCX-cf9e0ade9f" TargetMode="External"/><Relationship Id="rId8" Type="http://schemas.openxmlformats.org/officeDocument/2006/relationships/hyperlink" Target="https://slack-files.com/T089JBRTVMM-F09ALFYT6PJ-88386d2205" TargetMode="External"/><Relationship Id="rId11" Type="http://schemas.openxmlformats.org/officeDocument/2006/relationships/hyperlink" Target="https://slack-files.com/T089JBRTVMM-F09AFLY1WA2-7e028e4514" TargetMode="External"/><Relationship Id="rId10" Type="http://schemas.openxmlformats.org/officeDocument/2006/relationships/hyperlink" Target="https://slack-files.com/T089JBRTVMM-F09A5REG4P7-98cf85d13a" TargetMode="External"/><Relationship Id="rId13" Type="http://schemas.openxmlformats.org/officeDocument/2006/relationships/hyperlink" Target="https://slack-files.com/T08TMAAKCCU-F09AP90NUCU-eae9d9d3a4" TargetMode="External"/><Relationship Id="rId12" Type="http://schemas.openxmlformats.org/officeDocument/2006/relationships/hyperlink" Target="https://slack-files.com/T08TMAAKCCU-F09AY42GCJD-c17940c484" TargetMode="External"/><Relationship Id="rId15" Type="http://schemas.openxmlformats.org/officeDocument/2006/relationships/hyperlink" Target="https://slack-files.com/T08TMAAKCCU-F09AXS125QV-04c596a81f" TargetMode="External"/><Relationship Id="rId14" Type="http://schemas.openxmlformats.org/officeDocument/2006/relationships/hyperlink" Target="https://slack-files.com/T08TMAAKCCU-F09AM6ERP4N-9cac8d5b5d" TargetMode="External"/><Relationship Id="rId17" Type="http://schemas.openxmlformats.org/officeDocument/2006/relationships/hyperlink" Target="https://slack-files.com/T08TMAAKCCU-F09B71EGSKU-7f825c1317" TargetMode="External"/><Relationship Id="rId16" Type="http://schemas.openxmlformats.org/officeDocument/2006/relationships/hyperlink" Target="https://slack-files.com/T08TMAAKCCU-F09B2HQ42KG-c8e863f986" TargetMode="External"/><Relationship Id="rId19" Type="http://schemas.openxmlformats.org/officeDocument/2006/relationships/hyperlink" Target="https://slack-files.com/T08TMAAKCCU-F09CDAQ0DEU-c959aaeb2d" TargetMode="External"/><Relationship Id="rId18" Type="http://schemas.openxmlformats.org/officeDocument/2006/relationships/hyperlink" Target="https://slack-files.com/T08TMAAKCCU-F09B14V23TR-5a9e4a6525"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slack-files.com/T08TMAAKCCU-F09HRE4RVR7-988b42bb4f" TargetMode="External"/><Relationship Id="rId42" Type="http://schemas.openxmlformats.org/officeDocument/2006/relationships/hyperlink" Target="https://slack-files.com/T08TMAAKCCU-F09JAFBDX5W-2be8f0c389" TargetMode="External"/><Relationship Id="rId41" Type="http://schemas.openxmlformats.org/officeDocument/2006/relationships/hyperlink" Target="https://slack-files.com/T08TMAAKCCU-F09HD7Y4HQV-5f0fa4635a" TargetMode="External"/><Relationship Id="rId44" Type="http://schemas.openxmlformats.org/officeDocument/2006/relationships/hyperlink" Target="https://slack-files.com/T08TMAAKCCU-F09HMCUMNCC-e76f800da1" TargetMode="External"/><Relationship Id="rId43" Type="http://schemas.openxmlformats.org/officeDocument/2006/relationships/hyperlink" Target="https://slack-files.com/T08TMAAKCCU-F09HMCT149J-73c3e9a881" TargetMode="External"/><Relationship Id="rId46" Type="http://schemas.openxmlformats.org/officeDocument/2006/relationships/hyperlink" Target="https://slack-files.com/T08TMAAKCCU-F09HN4HJN2Z-9eb11a897f" TargetMode="External"/><Relationship Id="rId45" Type="http://schemas.openxmlformats.org/officeDocument/2006/relationships/hyperlink" Target="https://slack-files.com/T08TMAAKCCU-F09HGLGA5EE-00468e4d7b" TargetMode="External"/><Relationship Id="rId1" Type="http://schemas.openxmlformats.org/officeDocument/2006/relationships/comments" Target="../comments6.xml"/><Relationship Id="rId2" Type="http://schemas.openxmlformats.org/officeDocument/2006/relationships/hyperlink" Target="https://slack-files.com/T08TMAAKCCU-F09D72BA7GC-6c1b103813" TargetMode="External"/><Relationship Id="rId3" Type="http://schemas.openxmlformats.org/officeDocument/2006/relationships/hyperlink" Target="https://slack-files.com/T08TMAAKCCU-F09CYM6DLSX-5c296e81ff" TargetMode="External"/><Relationship Id="rId4" Type="http://schemas.openxmlformats.org/officeDocument/2006/relationships/hyperlink" Target="https://slack-files.com/T08TMAAKCCU-F09D8MCR6FN-1700994994" TargetMode="External"/><Relationship Id="rId9" Type="http://schemas.openxmlformats.org/officeDocument/2006/relationships/hyperlink" Target="https://slack-files.com/T08TMAAKCCU-F09ENKFAFG8-9e090499a5" TargetMode="External"/><Relationship Id="rId48" Type="http://schemas.openxmlformats.org/officeDocument/2006/relationships/hyperlink" Target="https://slack-files.com/T08TMAAKCCU-F09HPUVC1HU-e692a85d32" TargetMode="External"/><Relationship Id="rId47" Type="http://schemas.openxmlformats.org/officeDocument/2006/relationships/hyperlink" Target="https://slack-files.com/T08TMAAKCCU-F09HN4QMRSR-a402e11b18" TargetMode="External"/><Relationship Id="rId49" Type="http://schemas.openxmlformats.org/officeDocument/2006/relationships/hyperlink" Target="https://slack-files.com/T08TMAAKCCU-F09HW344F6Y-f9830f293b" TargetMode="External"/><Relationship Id="rId5" Type="http://schemas.openxmlformats.org/officeDocument/2006/relationships/hyperlink" Target="https://slack-files.com/T08TMAAKCCU-F09DBFWRNMC-984f069ab0" TargetMode="External"/><Relationship Id="rId6" Type="http://schemas.openxmlformats.org/officeDocument/2006/relationships/hyperlink" Target="https://slack-files.com/T08TMAAKCCU-F09D6KSH4CB-1d60e09bc3" TargetMode="External"/><Relationship Id="rId7" Type="http://schemas.openxmlformats.org/officeDocument/2006/relationships/hyperlink" Target="https://slack-files.com/T08TMAAKCCU-F09DPUFUYRY-5ce1c17bac" TargetMode="External"/><Relationship Id="rId8" Type="http://schemas.openxmlformats.org/officeDocument/2006/relationships/hyperlink" Target="https://slack-files.com/T08TMAAKCCU-F09DUJ11ZRS-9df8b3080a" TargetMode="External"/><Relationship Id="rId31" Type="http://schemas.openxmlformats.org/officeDocument/2006/relationships/hyperlink" Target="https://slack-files.com/T08TMAAKCCU-F09FV01QF9B-2237f9ae57" TargetMode="External"/><Relationship Id="rId30" Type="http://schemas.openxmlformats.org/officeDocument/2006/relationships/hyperlink" Target="https://slack-files.com/T08TMAAKCCU-F09FGJHP0DD-f9873ff3e8" TargetMode="External"/><Relationship Id="rId33" Type="http://schemas.openxmlformats.org/officeDocument/2006/relationships/hyperlink" Target="https://slack-files.com/T08TMAAKCCU-F09GWNHDRFB-99167e4506" TargetMode="External"/><Relationship Id="rId32" Type="http://schemas.openxmlformats.org/officeDocument/2006/relationships/hyperlink" Target="https://slack-files.com/T08TMAAKCCU-F09GQHBFTH6-aa116b4e7a" TargetMode="External"/><Relationship Id="rId35" Type="http://schemas.openxmlformats.org/officeDocument/2006/relationships/hyperlink" Target="https://slack-files.com/T08TMAAKCCU-F09GVFSR3UM-30cd82a97b" TargetMode="External"/><Relationship Id="rId34" Type="http://schemas.openxmlformats.org/officeDocument/2006/relationships/hyperlink" Target="https://slack-files.com/T08TMAAKCCU-F09GHT3JP54-8e6dd8addd" TargetMode="External"/><Relationship Id="rId37" Type="http://schemas.openxmlformats.org/officeDocument/2006/relationships/hyperlink" Target="https://slack-files.com/T08TMAAKCCU-F09HY01U472-142ba01ea0" TargetMode="External"/><Relationship Id="rId36" Type="http://schemas.openxmlformats.org/officeDocument/2006/relationships/hyperlink" Target="https://slack-files.com/T08TMAAKCCU-F09HFPE1FTK-35238c4631" TargetMode="External"/><Relationship Id="rId39" Type="http://schemas.openxmlformats.org/officeDocument/2006/relationships/hyperlink" Target="https://slack-files.com/T08TMAAKCCU-F09HA4XQUKY-5d9a05607f" TargetMode="External"/><Relationship Id="rId38" Type="http://schemas.openxmlformats.org/officeDocument/2006/relationships/hyperlink" Target="https://slack-files.com/T08TMAAKCCU-F09HPLXPBNV-c260fbef83" TargetMode="External"/><Relationship Id="rId20" Type="http://schemas.openxmlformats.org/officeDocument/2006/relationships/hyperlink" Target="https://slack-files.com/T08TMAAKCCU-F09G30UQVHN-e3cdcb48a3" TargetMode="External"/><Relationship Id="rId22" Type="http://schemas.openxmlformats.org/officeDocument/2006/relationships/hyperlink" Target="https://slack-files.com/T08TMAAKCCU-F09FQ797W9X-f99cfb8803" TargetMode="External"/><Relationship Id="rId21" Type="http://schemas.openxmlformats.org/officeDocument/2006/relationships/hyperlink" Target="https://slack-files.com/T08TMAAKCCU-F09FEQ0TWJY-f3c7cf90b3" TargetMode="External"/><Relationship Id="rId24" Type="http://schemas.openxmlformats.org/officeDocument/2006/relationships/hyperlink" Target="https://slack-files.com/T08TMAAKCCU-F09FM9KF39S-e37e4565e5" TargetMode="External"/><Relationship Id="rId23" Type="http://schemas.openxmlformats.org/officeDocument/2006/relationships/hyperlink" Target="https://slack-files.com/T08TMAAKCCU-F09F6F9U259-7b0bc3d1b0" TargetMode="External"/><Relationship Id="rId26" Type="http://schemas.openxmlformats.org/officeDocument/2006/relationships/hyperlink" Target="https://slack-files.com/T08TMAAKCCU-F09FT4G9P5J-40da8faef2" TargetMode="External"/><Relationship Id="rId25" Type="http://schemas.openxmlformats.org/officeDocument/2006/relationships/hyperlink" Target="https://slack-files.com/T08TMAAKCCU-F09FKU35L68-d9196e3997" TargetMode="External"/><Relationship Id="rId28" Type="http://schemas.openxmlformats.org/officeDocument/2006/relationships/hyperlink" Target="https://slack-files.com/T08TMAAKCCU-F09G2T36917-787353a527" TargetMode="External"/><Relationship Id="rId27" Type="http://schemas.openxmlformats.org/officeDocument/2006/relationships/hyperlink" Target="https://slack-files.com/T08TMAAKCCU-F09FL1XKYMT-14eac54cb8" TargetMode="External"/><Relationship Id="rId29" Type="http://schemas.openxmlformats.org/officeDocument/2006/relationships/hyperlink" Target="https://slack-files.com/T08TMAAKCCU-F09FKN03NTD-817f667f76" TargetMode="External"/><Relationship Id="rId51" Type="http://schemas.openxmlformats.org/officeDocument/2006/relationships/vmlDrawing" Target="../drawings/vmlDrawing6.vml"/><Relationship Id="rId50" Type="http://schemas.openxmlformats.org/officeDocument/2006/relationships/drawing" Target="../drawings/drawing7.xml"/><Relationship Id="rId11" Type="http://schemas.openxmlformats.org/officeDocument/2006/relationships/hyperlink" Target="https://slack-files.com/T08TMAAKCCU-F09EAQYHP9C-343185256b" TargetMode="External"/><Relationship Id="rId10" Type="http://schemas.openxmlformats.org/officeDocument/2006/relationships/hyperlink" Target="https://slack-files.com/T08TMAAKCCU-F09EPV1JQ0H-be24db5f72" TargetMode="External"/><Relationship Id="rId13" Type="http://schemas.openxmlformats.org/officeDocument/2006/relationships/hyperlink" Target="https://slack-files.com/T08TMAAKCCU-F09EAP690R0-ef6b438e51" TargetMode="External"/><Relationship Id="rId12" Type="http://schemas.openxmlformats.org/officeDocument/2006/relationships/hyperlink" Target="https://slack-files.com/T08TMAAKCCU-F09EPVCUCJV-0d294b5581" TargetMode="External"/><Relationship Id="rId15" Type="http://schemas.openxmlformats.org/officeDocument/2006/relationships/hyperlink" Target="https://slack-files.com/T08TMAAKCCU-F09E1V5LDGF-c3e7b43242" TargetMode="External"/><Relationship Id="rId14" Type="http://schemas.openxmlformats.org/officeDocument/2006/relationships/hyperlink" Target="https://slack-files.com/T08TMAAKCCU-F09EEP9HWMA-0429f422df" TargetMode="External"/><Relationship Id="rId17" Type="http://schemas.openxmlformats.org/officeDocument/2006/relationships/hyperlink" Target="https://slack-files.com/T08TMAAKCCU-F09EJGRHM1C-46f6386ee3" TargetMode="External"/><Relationship Id="rId16" Type="http://schemas.openxmlformats.org/officeDocument/2006/relationships/hyperlink" Target="https://slack-files.com/T08TMAAKCCU-F09EE833ME1-6c68176dfc" TargetMode="External"/><Relationship Id="rId19" Type="http://schemas.openxmlformats.org/officeDocument/2006/relationships/hyperlink" Target="https://slack-files.com/T08TMAAKCCU-F09ENE2N8TV-90ae986409" TargetMode="External"/><Relationship Id="rId18" Type="http://schemas.openxmlformats.org/officeDocument/2006/relationships/hyperlink" Target="https://slack-files.com/T08TMAAKCCU-F09EPRDR8TU-7d9657e17f"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slack-files.com/T08TMAAKCCU-F09M85BQ0SK-8107dd99eb" TargetMode="External"/><Relationship Id="rId42" Type="http://schemas.openxmlformats.org/officeDocument/2006/relationships/hyperlink" Target="https://slack-files.com/T08TMAAKCCU-F09NZGPKRUG-cc91d6f4e6" TargetMode="External"/><Relationship Id="rId41" Type="http://schemas.openxmlformats.org/officeDocument/2006/relationships/hyperlink" Target="https://slack-files.com/T08TMAAKCCU-F09NJKA14KS-55bb301885" TargetMode="External"/><Relationship Id="rId44" Type="http://schemas.openxmlformats.org/officeDocument/2006/relationships/hyperlink" Target="http://12.kg/" TargetMode="External"/><Relationship Id="rId43" Type="http://schemas.openxmlformats.org/officeDocument/2006/relationships/hyperlink" Target="https://slack-files.com/T08TMAAKCCU-F09NJS38RLZ-81732ab3eb" TargetMode="External"/><Relationship Id="rId46" Type="http://schemas.openxmlformats.org/officeDocument/2006/relationships/hyperlink" Target="https://slack-files.com/T08TMAAKCCU-F09PFQF2CTC-48855ff077" TargetMode="External"/><Relationship Id="rId45" Type="http://schemas.openxmlformats.org/officeDocument/2006/relationships/hyperlink" Target="https://slack-files.com/T08TMAAKCCU-F09NNL491ST-bb1d486133" TargetMode="External"/><Relationship Id="rId1" Type="http://schemas.openxmlformats.org/officeDocument/2006/relationships/comments" Target="../comments7.xml"/><Relationship Id="rId2" Type="http://schemas.openxmlformats.org/officeDocument/2006/relationships/hyperlink" Target="https://slack-files.com/T08TMAAKCCU-F09J1DZNDSR-1f91470871" TargetMode="External"/><Relationship Id="rId3" Type="http://schemas.openxmlformats.org/officeDocument/2006/relationships/hyperlink" Target="https://slack-files.com/T08TMAAKCCU-F09KD4QJNRE-e31f553292" TargetMode="External"/><Relationship Id="rId4" Type="http://schemas.openxmlformats.org/officeDocument/2006/relationships/hyperlink" Target="https://slack-files.com/T08TMAAKCCU-F09JH539V0E-eddcea2fbe" TargetMode="External"/><Relationship Id="rId9" Type="http://schemas.openxmlformats.org/officeDocument/2006/relationships/hyperlink" Target="https://slack-files.com/T08TMAAKCCU-F09K26XURS9-6f6ca047ff" TargetMode="External"/><Relationship Id="rId48" Type="http://schemas.openxmlformats.org/officeDocument/2006/relationships/hyperlink" Target="https://slack-files.com/T08TMAAKCCU-F09QANDUM1P-a26d6d3eb5" TargetMode="External"/><Relationship Id="rId47" Type="http://schemas.openxmlformats.org/officeDocument/2006/relationships/hyperlink" Target="https://slack-files.com/T08TMAAKCCU-F09PVMS2E06-28cc8ea496" TargetMode="External"/><Relationship Id="rId49" Type="http://schemas.openxmlformats.org/officeDocument/2006/relationships/drawing" Target="../drawings/drawing8.xml"/><Relationship Id="rId5" Type="http://schemas.openxmlformats.org/officeDocument/2006/relationships/hyperlink" Target="https://slack-files.com/T08TMAAKCCU-F09KMQC46KS-416946a575" TargetMode="External"/><Relationship Id="rId6" Type="http://schemas.openxmlformats.org/officeDocument/2006/relationships/hyperlink" Target="https://slack-files.com/T08TMAAKCCU-F09K6GSSZMF-631afc54bb" TargetMode="External"/><Relationship Id="rId7" Type="http://schemas.openxmlformats.org/officeDocument/2006/relationships/hyperlink" Target="https://slack-files.com/T08TMAAKCCU-F09JR0DUXBR-7d39fa5d71" TargetMode="External"/><Relationship Id="rId8" Type="http://schemas.openxmlformats.org/officeDocument/2006/relationships/hyperlink" Target="https://slack-files.com/T08TMAAKCCU-F09KDC0PMKL-b57a28166f" TargetMode="External"/><Relationship Id="rId31" Type="http://schemas.openxmlformats.org/officeDocument/2006/relationships/hyperlink" Target="https://slack-files.com/T08TMAAKCCU-F09M818KDUZ-c2db00c587" TargetMode="External"/><Relationship Id="rId30" Type="http://schemas.openxmlformats.org/officeDocument/2006/relationships/hyperlink" Target="https://slack-files.com/T08TMAAKCCU-F09MNPDPUGG-1b5b681c7b" TargetMode="External"/><Relationship Id="rId33" Type="http://schemas.openxmlformats.org/officeDocument/2006/relationships/hyperlink" Target="https://slack-files.com/T08TMAAKCCU-F09LV4UEZE2-07ab114b80" TargetMode="External"/><Relationship Id="rId32" Type="http://schemas.openxmlformats.org/officeDocument/2006/relationships/hyperlink" Target="https://slack-files.com/T08TMAAKCCU-F09M97VDYLR-bebe58d770" TargetMode="External"/><Relationship Id="rId35" Type="http://schemas.openxmlformats.org/officeDocument/2006/relationships/hyperlink" Target="https://slack-files.com/T08TMAAKCCU-F09M5GGT2PM-11efcec537" TargetMode="External"/><Relationship Id="rId34" Type="http://schemas.openxmlformats.org/officeDocument/2006/relationships/hyperlink" Target="https://slack-files.com/T08TMAAKCCU-F09M5MB8NKX-9404b8ab16" TargetMode="External"/><Relationship Id="rId37" Type="http://schemas.openxmlformats.org/officeDocument/2006/relationships/hyperlink" Target="https://slack-files.com/T08TMAAKCCU-F09MDNU2ZQD-22d171cac4" TargetMode="External"/><Relationship Id="rId36" Type="http://schemas.openxmlformats.org/officeDocument/2006/relationships/hyperlink" Target="https://slack-files.com/T08TMAAKCCU-F09MQU5HKAM-5080d7c3df" TargetMode="External"/><Relationship Id="rId39" Type="http://schemas.openxmlformats.org/officeDocument/2006/relationships/hyperlink" Target="https://slack-files.com/T08TMAAKCCU-F09MS7CKNF6-b022227a61" TargetMode="External"/><Relationship Id="rId38" Type="http://schemas.openxmlformats.org/officeDocument/2006/relationships/hyperlink" Target="https://slack-files.com/T08TMAAKCCU-F09N1413F41-7a6ea2d6b2" TargetMode="External"/><Relationship Id="rId20" Type="http://schemas.openxmlformats.org/officeDocument/2006/relationships/hyperlink" Target="https://slack-files.com/T08TMAAKCCU-F09LPS5V8KS-51aece27af" TargetMode="External"/><Relationship Id="rId22" Type="http://schemas.openxmlformats.org/officeDocument/2006/relationships/hyperlink" Target="https://slack-files.com/T08TMAAKCCU-F09KWRH0BS9-2d72c80aca" TargetMode="External"/><Relationship Id="rId21" Type="http://schemas.openxmlformats.org/officeDocument/2006/relationships/hyperlink" Target="https://slack-files.com/T08TMAAKCCU-F09KZRSHTQS-0b2baa7dd6" TargetMode="External"/><Relationship Id="rId24" Type="http://schemas.openxmlformats.org/officeDocument/2006/relationships/hyperlink" Target="https://slack-files.com/T08TMAAKCCU-F09KX7Y2LBH-022a67775f" TargetMode="External"/><Relationship Id="rId23" Type="http://schemas.openxmlformats.org/officeDocument/2006/relationships/hyperlink" Target="https://slack-files.com/T08TMAAKCCU-F09LM27HPND-efb040b2cf" TargetMode="External"/><Relationship Id="rId26" Type="http://schemas.openxmlformats.org/officeDocument/2006/relationships/hyperlink" Target="https://slack-files.com/T08TMAAKCCU-F09LCCSLC3G-8c66df9df9" TargetMode="External"/><Relationship Id="rId25" Type="http://schemas.openxmlformats.org/officeDocument/2006/relationships/hyperlink" Target="https://slack-files.com/T08TMAAKCCU-F09KZ1UJJHM-77c81c4aec" TargetMode="External"/><Relationship Id="rId28" Type="http://schemas.openxmlformats.org/officeDocument/2006/relationships/hyperlink" Target="https://slack-files.com/T08TMAAKCCU-F09M0349UM7-c08203ae8f" TargetMode="External"/><Relationship Id="rId27" Type="http://schemas.openxmlformats.org/officeDocument/2006/relationships/hyperlink" Target="https://slack-files.com/T08TMAAKCCU-F09KZ1CBJNB-7d15c405fd" TargetMode="External"/><Relationship Id="rId29" Type="http://schemas.openxmlformats.org/officeDocument/2006/relationships/hyperlink" Target="https://slack-files.com/T08TMAAKCCU-F09L5N135JB-7bb14e624a" TargetMode="External"/><Relationship Id="rId50" Type="http://schemas.openxmlformats.org/officeDocument/2006/relationships/vmlDrawing" Target="../drawings/vmlDrawing7.vml"/><Relationship Id="rId11" Type="http://schemas.openxmlformats.org/officeDocument/2006/relationships/hyperlink" Target="https://slack-files.com/T08TMAAKCCU-F09K05JK98X-daaa83f20b" TargetMode="External"/><Relationship Id="rId10" Type="http://schemas.openxmlformats.org/officeDocument/2006/relationships/hyperlink" Target="https://slack-files.com/T08TMAAKCCU-F09K3J1HFM4-ec68e9ca99" TargetMode="External"/><Relationship Id="rId13" Type="http://schemas.openxmlformats.org/officeDocument/2006/relationships/hyperlink" Target="https://slack-files.com/T08TMAAKCCU-F09KKR8GNHY-cbd2d3f19c" TargetMode="External"/><Relationship Id="rId12" Type="http://schemas.openxmlformats.org/officeDocument/2006/relationships/hyperlink" Target="https://slack-files.com/T08TMAAKCCU-F09KCLGDKM3-14ccfff864" TargetMode="External"/><Relationship Id="rId15" Type="http://schemas.openxmlformats.org/officeDocument/2006/relationships/hyperlink" Target="https://slack-files.com/T08TMAAKCCU-F09L0AMMSE5-ca732c83b2" TargetMode="External"/><Relationship Id="rId14" Type="http://schemas.openxmlformats.org/officeDocument/2006/relationships/hyperlink" Target="https://slack-files.com/T08TMAAKCCU-F09KZNMTNQZ-31c7019b99" TargetMode="External"/><Relationship Id="rId17" Type="http://schemas.openxmlformats.org/officeDocument/2006/relationships/hyperlink" Target="https://slack-files.com/T08TMAAKCCU-F09L1A0E2KT-d9d92536a6" TargetMode="External"/><Relationship Id="rId16" Type="http://schemas.openxmlformats.org/officeDocument/2006/relationships/hyperlink" Target="https://slack-files.com/T08TMAAKCCU-F09KREHS4H2-ea35b59c07" TargetMode="External"/><Relationship Id="rId19" Type="http://schemas.openxmlformats.org/officeDocument/2006/relationships/hyperlink" Target="https://slack-files.com/T08TMAAKCCU-F09KCN8RL15-3b4f52f91c" TargetMode="External"/><Relationship Id="rId18" Type="http://schemas.openxmlformats.org/officeDocument/2006/relationships/hyperlink" Target="https://slack-files.com/T08TMAAKCCU-F09KQN07CAZ-011c750fc8"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slack-files.com/T08TMAAKCCU-F09QC3DQ03F-39033e0597" TargetMode="External"/><Relationship Id="rId3" Type="http://schemas.openxmlformats.org/officeDocument/2006/relationships/hyperlink" Target="https://slack-files.com/T08TMAAKCCU-F09QA2W2WAF-e051618709" TargetMode="External"/><Relationship Id="rId4" Type="http://schemas.openxmlformats.org/officeDocument/2006/relationships/hyperlink" Target="https://slack-files.com/T08TMAAKCCU-F09QGLXF85R-be6ef25e3f" TargetMode="External"/><Relationship Id="rId9" Type="http://schemas.openxmlformats.org/officeDocument/2006/relationships/hyperlink" Target="https://slack-files.com/T08TMAAKCCU-F09RUJW94F3-f2ffeb83f8" TargetMode="External"/><Relationship Id="rId5" Type="http://schemas.openxmlformats.org/officeDocument/2006/relationships/hyperlink" Target="https://slack-files.com/T08TMAAKCCU-F09QRALMPJ7-32b737542c" TargetMode="External"/><Relationship Id="rId6" Type="http://schemas.openxmlformats.org/officeDocument/2006/relationships/hyperlink" Target="https://slack-files.com/T08TMAAKCCU-F09QT8W6VQB-ae2ade9f0f" TargetMode="External"/><Relationship Id="rId7" Type="http://schemas.openxmlformats.org/officeDocument/2006/relationships/hyperlink" Target="https://slack-files.com/T08TMAAKCCU-F09RM1UEDQR-d45bc850d6" TargetMode="External"/><Relationship Id="rId8" Type="http://schemas.openxmlformats.org/officeDocument/2006/relationships/hyperlink" Target="https://slack-files.com/T08TMAAKCCU-F09RM2FJRS5-6602d5a283" TargetMode="External"/><Relationship Id="rId31" Type="http://schemas.openxmlformats.org/officeDocument/2006/relationships/hyperlink" Target="https://slack-files.com/T08TMAAKCCU-F0A00Q8B6BU-7f6ce7a111" TargetMode="External"/><Relationship Id="rId30" Type="http://schemas.openxmlformats.org/officeDocument/2006/relationships/hyperlink" Target="https://slack-files.com/T08TMAAKCCU-F0A0D7KU9JM-5df7ac9675" TargetMode="External"/><Relationship Id="rId33" Type="http://schemas.openxmlformats.org/officeDocument/2006/relationships/hyperlink" Target="https://slack-files.com/T08TMAAKCCU-F09V6KBB1QX-7e118a8d2c" TargetMode="External"/><Relationship Id="rId32" Type="http://schemas.openxmlformats.org/officeDocument/2006/relationships/hyperlink" Target="https://slack-files.com/T08TMAAKCCU-F0A01M5GU9Z-ca99f8a29c" TargetMode="External"/><Relationship Id="rId35" Type="http://schemas.openxmlformats.org/officeDocument/2006/relationships/vmlDrawing" Target="../drawings/vmlDrawing8.vml"/><Relationship Id="rId34" Type="http://schemas.openxmlformats.org/officeDocument/2006/relationships/drawing" Target="../drawings/drawing9.xml"/><Relationship Id="rId20" Type="http://schemas.openxmlformats.org/officeDocument/2006/relationships/hyperlink" Target="https://slack-files.com/T08TMAAKCCU-F09SZF1BJRG-861d26d04d" TargetMode="External"/><Relationship Id="rId22" Type="http://schemas.openxmlformats.org/officeDocument/2006/relationships/hyperlink" Target="https://slack-files.com/T08TMAAKCCU-F09UTBSV1H6-810f1ed52e" TargetMode="External"/><Relationship Id="rId21" Type="http://schemas.openxmlformats.org/officeDocument/2006/relationships/hyperlink" Target="https://slack-files.com/T08TMAAKCCU-F09TUNQMNHF-04ff94bddb" TargetMode="External"/><Relationship Id="rId24" Type="http://schemas.openxmlformats.org/officeDocument/2006/relationships/hyperlink" Target="https://slack-files.com/T089JBRTVMM-F09UUNC0SQY-5eab6ba462" TargetMode="External"/><Relationship Id="rId23" Type="http://schemas.openxmlformats.org/officeDocument/2006/relationships/hyperlink" Target="https://slack-files.com/T08TMAAKCCU-F09TZ2BHMEW-780fff9b95" TargetMode="External"/><Relationship Id="rId26" Type="http://schemas.openxmlformats.org/officeDocument/2006/relationships/hyperlink" Target="https://slack-files.com/T08TMAAKCCU-F09U8R52E90-91de8ac657" TargetMode="External"/><Relationship Id="rId25" Type="http://schemas.openxmlformats.org/officeDocument/2006/relationships/hyperlink" Target="https://slack-files.com/T08TMAAKCCU-F09UBA83SUC-d16f292d83" TargetMode="External"/><Relationship Id="rId28" Type="http://schemas.openxmlformats.org/officeDocument/2006/relationships/hyperlink" Target="https://slack-files.com/T08TMAAKCCU-F0A0ATFRJ00-1bcce40b99" TargetMode="External"/><Relationship Id="rId27" Type="http://schemas.openxmlformats.org/officeDocument/2006/relationships/hyperlink" Target="https://slack-files.com/T08TMAAKCCU-F09UWEAFQNS-a5b1836038" TargetMode="External"/><Relationship Id="rId29" Type="http://schemas.openxmlformats.org/officeDocument/2006/relationships/hyperlink" Target="https://slack-files.com/T08TMAAKCCU-F0A0UJJB84Q-f4fe10f895" TargetMode="External"/><Relationship Id="rId11" Type="http://schemas.openxmlformats.org/officeDocument/2006/relationships/hyperlink" Target="https://slack-files.com/T08TMAAKCCU-F09RAN537U3-5fe5c87783" TargetMode="External"/><Relationship Id="rId10" Type="http://schemas.openxmlformats.org/officeDocument/2006/relationships/hyperlink" Target="https://slack-files.com/T08TMAAKCCU-F09RD5JENVB-1fe21a97af" TargetMode="External"/><Relationship Id="rId13" Type="http://schemas.openxmlformats.org/officeDocument/2006/relationships/hyperlink" Target="https://slack-files.com/T08TMAAKCCU-F09RSNE41PU-207aa33b64" TargetMode="External"/><Relationship Id="rId12" Type="http://schemas.openxmlformats.org/officeDocument/2006/relationships/hyperlink" Target="https://slack-files.com/T08TMAAKCCU-F09SM1SM00Y-674717e5f7" TargetMode="External"/><Relationship Id="rId15" Type="http://schemas.openxmlformats.org/officeDocument/2006/relationships/hyperlink" Target="https://slack-files.com/T08TMAAKCCU-F09SCAQ455X-38a790eb13" TargetMode="External"/><Relationship Id="rId14" Type="http://schemas.openxmlformats.org/officeDocument/2006/relationships/hyperlink" Target="https://slack-files.com/T08TMAAKCCU-F09RWP9T39Q-9a845adceb" TargetMode="External"/><Relationship Id="rId17" Type="http://schemas.openxmlformats.org/officeDocument/2006/relationships/hyperlink" Target="https://slack-files.com/T08TMAAKCCU-F09T1BH457A-18615508ab" TargetMode="External"/><Relationship Id="rId16" Type="http://schemas.openxmlformats.org/officeDocument/2006/relationships/hyperlink" Target="https://slack-files.com/T08TMAAKCCU-F09SKHSEQQZ-93e001a13c" TargetMode="External"/><Relationship Id="rId19" Type="http://schemas.openxmlformats.org/officeDocument/2006/relationships/hyperlink" Target="https://slack-files.com/T08TMAAKCCU-F09T2LBTCKE-f44ef96286" TargetMode="External"/><Relationship Id="rId18" Type="http://schemas.openxmlformats.org/officeDocument/2006/relationships/hyperlink" Target="https://slack-files.com/T08TMAAKCCU-F09T2L5ALG6-4668f89162"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slack-files.com/T08TMAAKCCU-F0A0Y71MUJY-6be6bcc874" TargetMode="External"/><Relationship Id="rId3" Type="http://schemas.openxmlformats.org/officeDocument/2006/relationships/hyperlink" Target="https://slack-files.com/T08TMAAKCCU-F0A10RRG0BF-daf50a8f91" TargetMode="External"/><Relationship Id="rId4" Type="http://schemas.openxmlformats.org/officeDocument/2006/relationships/hyperlink" Target="https://slack-files.com/T08TMAAKCCU-F0A1LTMSTTM-24317f94bc" TargetMode="External"/><Relationship Id="rId9" Type="http://schemas.openxmlformats.org/officeDocument/2006/relationships/hyperlink" Target="https://slack-files.com/T08TMAAKCCU-F0A56BQLBG9-168b6c4e0f" TargetMode="External"/><Relationship Id="rId5" Type="http://schemas.openxmlformats.org/officeDocument/2006/relationships/hyperlink" Target="https://slack-files.com/T08TMAAKCCU-F0A1W8EQ2CB-9eac1c3651" TargetMode="External"/><Relationship Id="rId6" Type="http://schemas.openxmlformats.org/officeDocument/2006/relationships/hyperlink" Target="https://slack-files.com/T08TMAAKCCU-F0A2QFJV0GJ-e02692e78e" TargetMode="External"/><Relationship Id="rId7" Type="http://schemas.openxmlformats.org/officeDocument/2006/relationships/hyperlink" Target="https://slack-files.com/T08TMAAKCCU-F0A36QUQPEW-6b6e35e0be" TargetMode="External"/><Relationship Id="rId8" Type="http://schemas.openxmlformats.org/officeDocument/2006/relationships/hyperlink" Target="https://slack-files.com/T08TMAAKCCU-F0A30DR9MM1-b1b0b1e403" TargetMode="External"/><Relationship Id="rId11" Type="http://schemas.openxmlformats.org/officeDocument/2006/relationships/drawing" Target="../drawings/drawing10.xml"/><Relationship Id="rId10" Type="http://schemas.openxmlformats.org/officeDocument/2006/relationships/hyperlink" Target="https://slack-files.com/T08TMAAKCCU-F0A620X04EQ-c50488b634" TargetMode="External"/><Relationship Id="rId1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slack-files.com/T08TMAAKCCU-F0A6XGU5344-e1f9aa24f0" TargetMode="External"/><Relationship Id="rId3" Type="http://schemas.openxmlformats.org/officeDocument/2006/relationships/hyperlink" Target="https://slack-files.com/T08TMAAKCCU-F0A7H47UZGE-43b67f3ceb" TargetMode="External"/><Relationship Id="rId4" Type="http://schemas.openxmlformats.org/officeDocument/2006/relationships/hyperlink" Target="https://slack-files.com/T08TMAAKCCU-F0A6V92NVLK-62f7f5a331" TargetMode="External"/><Relationship Id="rId9" Type="http://schemas.openxmlformats.org/officeDocument/2006/relationships/hyperlink" Target="https://slack-files.com/T08TMAAKCCU-F0A7YKLGZ29-2c78c7272a" TargetMode="External"/><Relationship Id="rId5" Type="http://schemas.openxmlformats.org/officeDocument/2006/relationships/hyperlink" Target="https://slack-files.com/T08TMAAKCCU-F0A7470ADJP-611abfe5f9" TargetMode="External"/><Relationship Id="rId6" Type="http://schemas.openxmlformats.org/officeDocument/2006/relationships/hyperlink" Target="https://slack-files.com/T08TMAAKCCU-F0A7DEU2T0T-febea237ac" TargetMode="External"/><Relationship Id="rId7" Type="http://schemas.openxmlformats.org/officeDocument/2006/relationships/hyperlink" Target="https://slack-files.com/T08TMAAKCCU-F0A7MKC9SRK-2a6f5302be" TargetMode="External"/><Relationship Id="rId8" Type="http://schemas.openxmlformats.org/officeDocument/2006/relationships/hyperlink" Target="https://slack-files.com/T08TMAAKCCU-F0A8MEFNLGY-b480511123" TargetMode="External"/><Relationship Id="rId20" Type="http://schemas.openxmlformats.org/officeDocument/2006/relationships/hyperlink" Target="https://slack-files.com/T08TMAAKCCU-F0AB176U7U2-23d943ce9f" TargetMode="External"/><Relationship Id="rId22" Type="http://schemas.openxmlformats.org/officeDocument/2006/relationships/hyperlink" Target="https://slack-files.com/T08TMAAKCCU-F0ABJPRL998-2571187fba" TargetMode="External"/><Relationship Id="rId21" Type="http://schemas.openxmlformats.org/officeDocument/2006/relationships/hyperlink" Target="https://slack-files.com/T08TMAAKCCU-F0ABGN01M3Q-1e1fa32ecc" TargetMode="External"/><Relationship Id="rId24" Type="http://schemas.openxmlformats.org/officeDocument/2006/relationships/hyperlink" Target="https://slack-files.com/T08TMAAKCCU-F0AC0RES6RG-fb7cb6f2c4" TargetMode="External"/><Relationship Id="rId23" Type="http://schemas.openxmlformats.org/officeDocument/2006/relationships/hyperlink" Target="https://slack-files.com/T08TMAAKCCU-F0ABKF0SBD0-f8d8fea137" TargetMode="External"/><Relationship Id="rId26" Type="http://schemas.openxmlformats.org/officeDocument/2006/relationships/vmlDrawing" Target="../drawings/vmlDrawing10.vml"/><Relationship Id="rId25" Type="http://schemas.openxmlformats.org/officeDocument/2006/relationships/drawing" Target="../drawings/drawing11.xml"/><Relationship Id="rId11" Type="http://schemas.openxmlformats.org/officeDocument/2006/relationships/hyperlink" Target="https://slack-files.com/T08TMAAKCCU-F0A8HLG0PPW-50902ae04d" TargetMode="External"/><Relationship Id="rId10" Type="http://schemas.openxmlformats.org/officeDocument/2006/relationships/hyperlink" Target="https://slack-files.com/T08TMAAKCCU-F0A7TFC4KFH-5f68d748ba" TargetMode="External"/><Relationship Id="rId13" Type="http://schemas.openxmlformats.org/officeDocument/2006/relationships/hyperlink" Target="https://slack-files.com/T08TMAAKCCU-F0A8T520GDA-a0a14b34f6" TargetMode="External"/><Relationship Id="rId12" Type="http://schemas.openxmlformats.org/officeDocument/2006/relationships/hyperlink" Target="https://slack-files.com/T08TMAAKCCU-F0A87M9B43D-5eb4c40eca" TargetMode="External"/><Relationship Id="rId15" Type="http://schemas.openxmlformats.org/officeDocument/2006/relationships/hyperlink" Target="https://slack-files.com/T08TMAAKCCU-F0A9DM8G32S-537fdf5b62" TargetMode="External"/><Relationship Id="rId14" Type="http://schemas.openxmlformats.org/officeDocument/2006/relationships/hyperlink" Target="https://slack-files.com/T08TMAAKCCU-F0A8UJHDG1L-f0fe0c6118" TargetMode="External"/><Relationship Id="rId17" Type="http://schemas.openxmlformats.org/officeDocument/2006/relationships/hyperlink" Target="https://slack-files.com/T08TMAAKCCU-F0AA07AMGKY-f4b5e0c6a3" TargetMode="External"/><Relationship Id="rId16" Type="http://schemas.openxmlformats.org/officeDocument/2006/relationships/hyperlink" Target="https://slack-files.com/T08TMAAKCCU-F0AAGJ1GAUQ-a62a8a749c" TargetMode="External"/><Relationship Id="rId19" Type="http://schemas.openxmlformats.org/officeDocument/2006/relationships/hyperlink" Target="https://slack-files.com/T08TMAAKCCU-F0A9U1M45BR-ee0c1dc169" TargetMode="External"/><Relationship Id="rId18" Type="http://schemas.openxmlformats.org/officeDocument/2006/relationships/hyperlink" Target="https://slack-files.com/T08TMAAKCCU-F0AA1H9TDV3-9a8c63bb29" TargetMode="Externa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slack-files.com/T08TMAAKCCU-F0ACGH4S64A-0df37defab" TargetMode="External"/><Relationship Id="rId3" Type="http://schemas.openxmlformats.org/officeDocument/2006/relationships/hyperlink" Target="https://slack-files.com/T08TMAAKCCU-F0ACA54BE9H-db04338cbc" TargetMode="External"/><Relationship Id="rId4" Type="http://schemas.openxmlformats.org/officeDocument/2006/relationships/hyperlink" Target="https://slack-files.com/T089JBRTVMM-F0ADL05C31S-57ce9db281" TargetMode="External"/><Relationship Id="rId9" Type="http://schemas.openxmlformats.org/officeDocument/2006/relationships/hyperlink" Target="https://slack-files.com/T089JBRTVMM-F0AGQRUGE4V-2a182513b4" TargetMode="External"/><Relationship Id="rId5" Type="http://schemas.openxmlformats.org/officeDocument/2006/relationships/hyperlink" Target="https://slack-files.com/T089JBRTVMM-F0ADV9PNV6V-0513685593" TargetMode="External"/><Relationship Id="rId6" Type="http://schemas.openxmlformats.org/officeDocument/2006/relationships/hyperlink" Target="https://slack-files.com/T089JBRTVMM-F0ADGCX9GJ3-7c13f2a4c2" TargetMode="External"/><Relationship Id="rId7" Type="http://schemas.openxmlformats.org/officeDocument/2006/relationships/hyperlink" Target="https://slack-files.com/T089JBRTVMM-F0AE4GCSER4-e405a3363f" TargetMode="External"/><Relationship Id="rId8" Type="http://schemas.openxmlformats.org/officeDocument/2006/relationships/hyperlink" Target="https://slack-files.com/T089JBRTVMM-F0AGBF01205-8a1ec16521" TargetMode="External"/><Relationship Id="rId11" Type="http://schemas.openxmlformats.org/officeDocument/2006/relationships/hyperlink" Target="https://slack-files.com/T089JBRTVMM-F0AHDMAQSCR-e0c48328d0" TargetMode="External"/><Relationship Id="rId10" Type="http://schemas.openxmlformats.org/officeDocument/2006/relationships/hyperlink" Target="https://slack-files.com/T089JBRTVMM-F0AGS6TDFT8-8b04684f94" TargetMode="External"/><Relationship Id="rId13" Type="http://schemas.openxmlformats.org/officeDocument/2006/relationships/hyperlink" Target="https://slack-files.com/T089JBRTVMM-F0AHB0PGTBQ-aaf01817ee" TargetMode="External"/><Relationship Id="rId12" Type="http://schemas.openxmlformats.org/officeDocument/2006/relationships/hyperlink" Target="https://slack-files.com/T089JBRTVMM-F0AH06VM78W-a990ed880c" TargetMode="External"/><Relationship Id="rId15" Type="http://schemas.openxmlformats.org/officeDocument/2006/relationships/vmlDrawing" Target="../drawings/vmlDrawing11.vml"/><Relationship Id="rId1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s://slack-files.com/T089JBRTVMM-F0AHUSQ16Q2-72c4a7d789" TargetMode="External"/><Relationship Id="rId3" Type="http://schemas.openxmlformats.org/officeDocument/2006/relationships/hyperlink" Target="https://slack-files.com/T089JBRTVMM-F0AJ76Q6KCJ-a3fd5cad83" TargetMode="External"/><Relationship Id="rId4" Type="http://schemas.openxmlformats.org/officeDocument/2006/relationships/hyperlink" Target="https://slack-files.com/T089JBRTVMM-F0AHRP0R3HV-a4ab098766" TargetMode="External"/><Relationship Id="rId9" Type="http://schemas.openxmlformats.org/officeDocument/2006/relationships/vmlDrawing" Target="../drawings/vmlDrawing12.vml"/><Relationship Id="rId5" Type="http://schemas.openxmlformats.org/officeDocument/2006/relationships/hyperlink" Target="https://slack-files.com/T089JBRTVMM-F0AJAQJ628L-0afbd5479c" TargetMode="External"/><Relationship Id="rId6" Type="http://schemas.openxmlformats.org/officeDocument/2006/relationships/hyperlink" Target="https://slack-files.com/T089JBRTVMM-F0AJKMC67L4-a79fe40fb3" TargetMode="External"/><Relationship Id="rId7" Type="http://schemas.openxmlformats.org/officeDocument/2006/relationships/hyperlink" Target="https://slack-files.com/T089JBRTVMM-F0AJ0KX8KGX-2f262d8c5f" TargetMode="External"/><Relationship Id="rId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t="str">
        <f>iferror(B12/B10,"")</f>
        <v/>
      </c>
      <c r="C3" s="10" t="str">
        <f t="shared" ref="C3:C5" si="1">Jan!I2</f>
        <v>#REF!</v>
      </c>
      <c r="D3" s="10" t="str">
        <f t="shared" ref="D3:D5" si="2">IFERROR(Feb!I2,"")</f>
        <v/>
      </c>
      <c r="E3" s="11" t="str">
        <f>Mar!I2</f>
        <v>#REF!</v>
      </c>
      <c r="F3" s="11">
        <f>IFERROR(Apr!I2,"")</f>
        <v>0.1333333333</v>
      </c>
      <c r="G3" s="11">
        <f>IFERROR(May!I2,"")</f>
        <v>0.5714285714</v>
      </c>
      <c r="H3" s="11">
        <f>IFERROR(Jun!I2,"")</f>
        <v>0.6428571429</v>
      </c>
      <c r="I3" s="11">
        <f>IFERROR(Jul!I2,"")</f>
        <v>0.6111111111</v>
      </c>
      <c r="J3" s="11">
        <f>IFERROR(Aug!I2,"")</f>
        <v>0.5454545455</v>
      </c>
      <c r="K3" s="11">
        <f>IFERROR(Sep!L2,"")</f>
        <v>0.3617021277</v>
      </c>
      <c r="L3" s="11">
        <f>IFERROR(Oct!L2,"")</f>
        <v>0.6595744681</v>
      </c>
      <c r="M3" s="11" t="str">
        <f t="shared" ref="M3:M5" si="3">IFERROR(Nov!I2,"")</f>
        <v/>
      </c>
      <c r="N3" s="12" t="str">
        <f t="shared" ref="N3:N5" si="4">IFERROR(Dec!I2,"")</f>
        <v/>
      </c>
      <c r="O3" s="13" t="str">
        <f>IFERROR(__xludf.DUMMYFUNCTION("IFERROR(SPARKLINE(C3:N3, {""chartype"", ""line""; ""color"", ""blue""}))
"),"")</f>
        <v/>
      </c>
    </row>
    <row r="4" ht="15.75" customHeight="1">
      <c r="A4" s="14" t="s">
        <v>17</v>
      </c>
      <c r="B4" s="9" t="str">
        <f>iferror(B12/B11,"")</f>
        <v/>
      </c>
      <c r="C4" s="10" t="str">
        <f t="shared" si="1"/>
        <v>#REF!</v>
      </c>
      <c r="D4" s="10" t="str">
        <f t="shared" si="2"/>
        <v/>
      </c>
      <c r="E4" s="11" t="str">
        <f t="shared" ref="E4:E5" si="5">IFERROR(Mar!I3,"")</f>
        <v/>
      </c>
      <c r="F4" s="11">
        <f>IFERROR(Apr!I3,"")</f>
        <v>0.1333333333</v>
      </c>
      <c r="G4" s="11">
        <f>IFERROR(May!I3,"")</f>
        <v>0.5714285714</v>
      </c>
      <c r="H4" s="11">
        <f>IFERROR(Jun!I3,"")</f>
        <v>0.6428571429</v>
      </c>
      <c r="I4" s="11">
        <f>IFERROR(Jul!I3,"")</f>
        <v>0.6111111111</v>
      </c>
      <c r="J4" s="11">
        <f>IFERROR(Aug!I3,"")</f>
        <v>0.5454545455</v>
      </c>
      <c r="K4" s="11">
        <f>IFERROR(Sep!L3,"")</f>
        <v>0.3617021277</v>
      </c>
      <c r="L4" s="11">
        <f>IFERROR(Oct!L3,"")</f>
        <v>0.6595744681</v>
      </c>
      <c r="M4" s="11" t="str">
        <f t="shared" si="3"/>
        <v/>
      </c>
      <c r="N4" s="12" t="str">
        <f t="shared" si="4"/>
        <v/>
      </c>
      <c r="O4" s="13" t="str">
        <f>IFERROR(__xludf.DUMMYFUNCTION("IFERROR(SPARKLINE(C4:N4, {""chartype"", ""line""; ""color"", ""blue""}))
"),"")</f>
        <v/>
      </c>
    </row>
    <row r="5" ht="15.75" customHeight="1">
      <c r="A5" s="14" t="s">
        <v>18</v>
      </c>
      <c r="B5" s="15" t="str">
        <f>IFERROR(B11/B10,"")</f>
        <v/>
      </c>
      <c r="C5" s="10" t="str">
        <f t="shared" si="1"/>
        <v>#REF!</v>
      </c>
      <c r="D5" s="10" t="str">
        <f t="shared" si="2"/>
        <v/>
      </c>
      <c r="E5" s="11" t="str">
        <f t="shared" si="5"/>
        <v/>
      </c>
      <c r="F5" s="11">
        <f>IFERROR(Apr!I4,"")</f>
        <v>1</v>
      </c>
      <c r="G5" s="11">
        <f>IFERROR(May!I4,"")</f>
        <v>1</v>
      </c>
      <c r="H5" s="11">
        <f>IFERROR(Jun!I4,"")</f>
        <v>1</v>
      </c>
      <c r="I5" s="11">
        <f>IFERROR(Jul!I4,"")</f>
        <v>1</v>
      </c>
      <c r="J5" s="11">
        <f>IFERROR(Aug!I4,"")</f>
        <v>1</v>
      </c>
      <c r="K5" s="11">
        <f>IFERROR(Sep!L4,"")</f>
        <v>1</v>
      </c>
      <c r="L5" s="11">
        <f>IFERROR(Oct!L4,"")</f>
        <v>1</v>
      </c>
      <c r="M5" s="11" t="str">
        <f t="shared" si="3"/>
        <v/>
      </c>
      <c r="N5" s="12" t="str">
        <f t="shared" si="4"/>
        <v/>
      </c>
      <c r="O5" s="13" t="str">
        <f>IFERROR(__xludf.DUMMYFUNCTION("IFERROR(SPARKLINE(C5:N5, {""chartype"", ""line""; ""color"", ""blue""}))
"),"")</f>
        <v/>
      </c>
    </row>
    <row r="6" ht="15.75" customHeight="1">
      <c r="A6" s="14" t="s">
        <v>19</v>
      </c>
      <c r="B6" s="16" t="str">
        <f t="shared" ref="B6:B8" si="6">IFERROR(SUM(C6:N6),"")</f>
        <v/>
      </c>
      <c r="C6" s="17" t="str">
        <f t="shared" ref="C6:C7" si="7">Jan!C3</f>
        <v>#REF!</v>
      </c>
      <c r="D6" s="17" t="str">
        <f t="shared" ref="D6:D7" si="8">IFERROR(Feb!C3,"")</f>
        <v/>
      </c>
      <c r="E6" s="18" t="str">
        <f t="shared" ref="E6:E7" si="9">IFERROR(Mar!$C3,"")</f>
        <v/>
      </c>
      <c r="F6" s="18">
        <f>IFERROR(Apr!$C3,"")</f>
        <v>9000</v>
      </c>
      <c r="G6" s="18">
        <f>IFERROR(May!$C3,"")</f>
        <v>38994</v>
      </c>
      <c r="H6" s="18">
        <f>IFERROR(Jun!$C3,"")</f>
        <v>60000</v>
      </c>
      <c r="I6" s="18">
        <f>IFERROR(Jul!$C3,"")</f>
        <v>79500</v>
      </c>
      <c r="J6" s="18">
        <f>IFERROR(Aug!$C3,"")</f>
        <v>103500</v>
      </c>
      <c r="K6" s="18">
        <f>IFERROR(Sep!$C3,"")</f>
        <v>151500</v>
      </c>
      <c r="L6" s="18">
        <f>IFERROR(Oct!$C3,"")</f>
        <v>276000</v>
      </c>
      <c r="M6" s="18">
        <f>IFERROR(Nov!$C3,"")</f>
        <v>160500</v>
      </c>
      <c r="N6" s="19">
        <f>IFERROR(Dec!$C3,"")</f>
        <v>60000</v>
      </c>
      <c r="O6" s="13" t="str">
        <f>IFERROR(__xludf.DUMMYFUNCTION("IFERROR(SPARKLINE(C6:N6, {""chartype"", ""line""; ""color"", ""blue""}))
"),"")</f>
        <v/>
      </c>
    </row>
    <row r="7" ht="15.75" customHeight="1">
      <c r="A7" s="14" t="s">
        <v>20</v>
      </c>
      <c r="B7" s="16" t="str">
        <f t="shared" si="6"/>
        <v/>
      </c>
      <c r="C7" s="17" t="str">
        <f t="shared" si="7"/>
        <v>#REF!</v>
      </c>
      <c r="D7" s="18" t="str">
        <f t="shared" si="8"/>
        <v/>
      </c>
      <c r="E7" s="18" t="str">
        <f t="shared" si="9"/>
        <v/>
      </c>
      <c r="F7" s="18">
        <f>IFERROR(Apr!$C4,"")</f>
        <v>3000</v>
      </c>
      <c r="G7" s="18">
        <f>IFERROR(May!$C4,"")</f>
        <v>31498</v>
      </c>
      <c r="H7" s="18">
        <f>IFERROR(Jun!$C4,"")</f>
        <v>34500</v>
      </c>
      <c r="I7" s="18">
        <f>IFERROR(Jul!$C4,"")</f>
        <v>47000</v>
      </c>
      <c r="J7" s="18">
        <f>IFERROR(Aug!$C4,"")</f>
        <v>49500</v>
      </c>
      <c r="K7" s="18">
        <f>IFERROR(Sep!$C4,"")</f>
        <v>52500</v>
      </c>
      <c r="L7" s="18">
        <f>IFERROR(Oct!$C4,"")</f>
        <v>88500</v>
      </c>
      <c r="M7" s="18">
        <f>IFERROR(Nov!$C4,"")</f>
        <v>67500</v>
      </c>
      <c r="N7" s="19">
        <f>IFERROR(Dec!$C4,"")</f>
        <v>25500</v>
      </c>
      <c r="O7" s="13" t="str">
        <f>IFERROR(__xludf.DUMMYFUNCTION("IFERROR(SPARKLINE(C7:N7, {""chartype"", ""line""; ""color"", ""blue""}))
"),"")</f>
        <v/>
      </c>
    </row>
    <row r="8" ht="15.75" customHeight="1">
      <c r="A8" s="14" t="s">
        <v>21</v>
      </c>
      <c r="B8" s="20" t="str">
        <f t="shared" si="6"/>
        <v/>
      </c>
      <c r="C8" s="21" t="str">
        <f t="shared" ref="C8:C9" si="10">Jan!I6</f>
        <v>#REF!</v>
      </c>
      <c r="D8" s="22" t="str">
        <f>IFERROR(Feb!I6,"")</f>
        <v/>
      </c>
      <c r="E8" s="22" t="str">
        <f>IFERROR(Mar!$I6,"")</f>
        <v/>
      </c>
      <c r="F8" s="22">
        <f>IFERROR(Apr!$I6,"")</f>
        <v>15</v>
      </c>
      <c r="G8" s="22">
        <f>IFERROR(May!$I6,"")</f>
        <v>14</v>
      </c>
      <c r="H8" s="22">
        <f>IFERROR(Jun!$I6,"")</f>
        <v>14</v>
      </c>
      <c r="I8" s="22">
        <f>IFERROR(Jul!$I6,"")</f>
        <v>18</v>
      </c>
      <c r="J8" s="22">
        <f>IFERROR(Aug!$I6,"")</f>
        <v>23</v>
      </c>
      <c r="K8" s="22">
        <f>IFERROR(Sep!$L6,"")</f>
        <v>80</v>
      </c>
      <c r="L8" s="22">
        <f>IFERROR(Oct!$L6,"")</f>
        <v>71</v>
      </c>
      <c r="M8" s="22">
        <f>IFERROR(Nov!$I6,"")</f>
        <v>41</v>
      </c>
      <c r="N8" s="23">
        <f>IFERROR(Dec!$I6,"")</f>
        <v>17</v>
      </c>
      <c r="O8" s="13" t="str">
        <f>IFERROR(__xludf.DUMMYFUNCTION("IFERROR(SPARKLINE(C8:N8, {""chartype"", ""line""; ""color"", ""blue""}))
"),"")</f>
        <v/>
      </c>
    </row>
    <row r="9" ht="15.75" customHeight="1">
      <c r="A9" s="14" t="s">
        <v>22</v>
      </c>
      <c r="B9" s="24" t="str">
        <f>sum(C9:N9)</f>
        <v>#REF!</v>
      </c>
      <c r="C9" s="21" t="str">
        <f t="shared" si="10"/>
        <v>#REF!</v>
      </c>
      <c r="D9" s="22" t="str">
        <f>IFERROR(Feb!$I$7,"")</f>
        <v/>
      </c>
      <c r="E9" s="22" t="str">
        <f>IFERROR(Mar!$I$7,"")</f>
        <v/>
      </c>
      <c r="F9" s="22">
        <f>IFERROR(Apr!$I$7,"")</f>
        <v>15</v>
      </c>
      <c r="G9" s="22">
        <f>IFERROR(May!$I$7,"")</f>
        <v>14</v>
      </c>
      <c r="H9" s="22">
        <f>IFERROR(Jun!$I$7,"")</f>
        <v>14</v>
      </c>
      <c r="I9" s="22">
        <f>IFERROR(Jul!$I$7,"")</f>
        <v>18</v>
      </c>
      <c r="J9" s="22">
        <f>IFERROR(Aug!$I$7,"")</f>
        <v>22</v>
      </c>
      <c r="K9" s="22">
        <f>IFERROR(Sep!$L$7,"")</f>
        <v>47</v>
      </c>
      <c r="L9" s="22">
        <f>IFERROR(Oct!$L$7,"")</f>
        <v>47</v>
      </c>
      <c r="M9" s="22">
        <f>IFERROR(Nov!$I$7,"")</f>
        <v>33</v>
      </c>
      <c r="N9" s="23">
        <f>IFERROR(Dec!$I$7,"")</f>
        <v>11</v>
      </c>
      <c r="O9" s="13" t="str">
        <f>IFERROR(__xludf.DUMMYFUNCTION("IFERROR(SPARKLINE(C9:N9, {""chartype"", ""line""; ""color"", ""blue""}))
"),"")</f>
        <v/>
      </c>
    </row>
    <row r="10" ht="15.75" customHeight="1">
      <c r="A10" s="14" t="s">
        <v>23</v>
      </c>
      <c r="B10" s="20" t="str">
        <f t="shared" ref="B10:B15" si="11">IFERROR(SUM(C10:N10),"")</f>
        <v/>
      </c>
      <c r="C10" s="21" t="str">
        <f>Jan!I7</f>
        <v>#REF!</v>
      </c>
      <c r="D10" s="22" t="str">
        <f t="shared" ref="D10:D12" si="12">IFERROR(Feb!I8,"")</f>
        <v/>
      </c>
      <c r="E10" s="22" t="str">
        <f t="shared" ref="E10:E12" si="13">IFERROR(Mar!$I8,"")</f>
        <v/>
      </c>
      <c r="F10" s="22">
        <f>IFERROR(Apr!$I8,"")</f>
        <v>15</v>
      </c>
      <c r="G10" s="22">
        <f>IFERROR(May!$I8,"")</f>
        <v>14</v>
      </c>
      <c r="H10" s="22">
        <f>IFERROR(Jun!$I8,"")</f>
        <v>14</v>
      </c>
      <c r="I10" s="22">
        <f>IFERROR(Jul!$I8,"")</f>
        <v>18</v>
      </c>
      <c r="J10" s="22">
        <f>IFERROR(Aug!$I8,"")</f>
        <v>22</v>
      </c>
      <c r="K10" s="22">
        <f>IFERROR(Sep!$L8,"")</f>
        <v>47</v>
      </c>
      <c r="L10" s="22">
        <f>IFERROR(Oct!$L8,"")</f>
        <v>47</v>
      </c>
      <c r="M10" s="22">
        <f>IFERROR(Nov!$I8,"")</f>
        <v>33</v>
      </c>
      <c r="N10" s="23">
        <f>IFERROR(Dec!$I8,"")</f>
        <v>11</v>
      </c>
      <c r="O10" s="13" t="str">
        <f>IFERROR(__xludf.DUMMYFUNCTION("IFERROR(SPARKLINE(C10:N10, {""chartype"", ""line""; ""color"", ""blue""}))
"),"")</f>
        <v/>
      </c>
    </row>
    <row r="11" ht="15.75" customHeight="1">
      <c r="A11" s="14" t="s">
        <v>24</v>
      </c>
      <c r="B11" s="20" t="str">
        <f t="shared" si="11"/>
        <v/>
      </c>
      <c r="C11" s="21" t="str">
        <f t="shared" ref="C11:C12" si="14">Jan!I9</f>
        <v>#REF!</v>
      </c>
      <c r="D11" s="22" t="str">
        <f t="shared" si="12"/>
        <v/>
      </c>
      <c r="E11" s="22" t="str">
        <f t="shared" si="13"/>
        <v/>
      </c>
      <c r="F11" s="22">
        <f>IFERROR(Apr!$I9,"")</f>
        <v>15</v>
      </c>
      <c r="G11" s="22">
        <f>IFERROR(May!$I9,"")</f>
        <v>14</v>
      </c>
      <c r="H11" s="22">
        <f>IFERROR(Jun!$I9,"")</f>
        <v>14</v>
      </c>
      <c r="I11" s="22">
        <f>IFERROR(Jul!$I9,"")</f>
        <v>18</v>
      </c>
      <c r="J11" s="22">
        <f>IFERROR(Aug!$I9,"")</f>
        <v>22</v>
      </c>
      <c r="K11" s="22">
        <f>IFERROR(Sep!$L9,"")</f>
        <v>47</v>
      </c>
      <c r="L11" s="22">
        <f>IFERROR(Oct!$L9,"")</f>
        <v>47</v>
      </c>
      <c r="M11" s="22">
        <f>IFERROR(Nov!$I9,"")</f>
        <v>33</v>
      </c>
      <c r="N11" s="23">
        <f>IFERROR(Dec!$I9,"")</f>
        <v>11</v>
      </c>
      <c r="O11" s="13" t="str">
        <f>IFERROR(__xludf.DUMMYFUNCTION("IFERROR(SPARKLINE(C11:N11, {""chartype"", ""line""; ""color"", ""blue""}))
"),"")</f>
        <v/>
      </c>
    </row>
    <row r="12" ht="15.75" customHeight="1">
      <c r="A12" s="14" t="s">
        <v>25</v>
      </c>
      <c r="B12" s="20" t="str">
        <f t="shared" si="11"/>
        <v/>
      </c>
      <c r="C12" s="21" t="str">
        <f t="shared" si="14"/>
        <v>#REF!</v>
      </c>
      <c r="D12" s="22" t="str">
        <f t="shared" si="12"/>
        <v/>
      </c>
      <c r="E12" s="22" t="str">
        <f t="shared" si="13"/>
        <v/>
      </c>
      <c r="F12" s="22">
        <f>IFERROR(Apr!$I10,"")</f>
        <v>2</v>
      </c>
      <c r="G12" s="22">
        <f>IFERROR(May!$I10,"")</f>
        <v>8</v>
      </c>
      <c r="H12" s="22">
        <f>IFERROR(Jun!$I10,"")</f>
        <v>9</v>
      </c>
      <c r="I12" s="22">
        <f>IFERROR(Jul!$I10,"")</f>
        <v>11</v>
      </c>
      <c r="J12" s="22">
        <f>IFERROR(Aug!$I10,"")</f>
        <v>12</v>
      </c>
      <c r="K12" s="22">
        <f>IFERROR(Sep!$L10,"")</f>
        <v>17</v>
      </c>
      <c r="L12" s="22">
        <f>IFERROR(Oct!$L10,"")</f>
        <v>31</v>
      </c>
      <c r="M12" s="22">
        <f>IFERROR(Nov!$I10,"")</f>
        <v>17</v>
      </c>
      <c r="N12" s="23">
        <f>IFERROR(Dec!$I10,"")</f>
        <v>6</v>
      </c>
      <c r="O12" s="13" t="str">
        <f>IFERROR(__xludf.DUMMYFUNCTION("IFERROR(SPARKLINE(C12:N12, {""chartype"", ""line""; ""color"", ""blue""}))
"),"")</f>
        <v/>
      </c>
    </row>
    <row r="13" ht="15.75" customHeight="1">
      <c r="A13" s="25" t="s">
        <v>26</v>
      </c>
      <c r="B13" s="20" t="str">
        <f t="shared" si="11"/>
        <v/>
      </c>
      <c r="C13" s="21" t="str">
        <f t="shared" ref="C13:C15" si="15">Jan!F2</f>
        <v>#REF!</v>
      </c>
      <c r="D13" s="22" t="str">
        <f t="shared" ref="D13:D15" si="16">IFERROR(Feb!F2,"")</f>
        <v/>
      </c>
      <c r="E13" s="22" t="str">
        <f t="shared" ref="E13:E15" si="17">IFERROR(Mar!$F2,"")</f>
        <v/>
      </c>
      <c r="F13" s="22">
        <f>IFERROR(Apr!$F2,"")</f>
        <v>2</v>
      </c>
      <c r="G13" s="22">
        <f>IFERROR(May!$F2,"")</f>
        <v>7</v>
      </c>
      <c r="H13" s="22">
        <f>IFERROR(Jun!$F2,"")</f>
        <v>3</v>
      </c>
      <c r="I13" s="22">
        <f>IFERROR(Jul!$F2,"")</f>
        <v>4</v>
      </c>
      <c r="J13" s="22">
        <f>IFERROR(Aug!$F2,"")</f>
        <v>3</v>
      </c>
      <c r="K13" s="22">
        <f>IFERROR(Sep!$I2,"")</f>
        <v>2</v>
      </c>
      <c r="L13" s="22">
        <f>IFERROR(Oct!$I2,"")</f>
        <v>1</v>
      </c>
      <c r="M13" s="22">
        <f>IFERROR(Nov!$F2,"")</f>
        <v>4</v>
      </c>
      <c r="N13" s="23">
        <f>IFERROR(Dec!$F2,"")</f>
        <v>2</v>
      </c>
      <c r="O13" s="13" t="str">
        <f>IFERROR(__xludf.DUMMYFUNCTION("IFERROR(SPARKLINE(C13:N13, {""chartype"", ""line""; ""color"", ""blue""}))
"),"")</f>
        <v/>
      </c>
    </row>
    <row r="14" ht="15.75" customHeight="1">
      <c r="A14" s="25" t="s">
        <v>27</v>
      </c>
      <c r="B14" s="20" t="str">
        <f t="shared" si="11"/>
        <v/>
      </c>
      <c r="C14" s="21" t="str">
        <f t="shared" si="15"/>
        <v>#REF!</v>
      </c>
      <c r="D14" s="21" t="str">
        <f t="shared" si="16"/>
        <v/>
      </c>
      <c r="E14" s="22" t="str">
        <f t="shared" si="17"/>
        <v/>
      </c>
      <c r="F14" s="22">
        <f>IFERROR(Apr!$F3,"")</f>
        <v>0</v>
      </c>
      <c r="G14" s="22">
        <f>IFERROR(May!$F3,"")</f>
        <v>1</v>
      </c>
      <c r="H14" s="22">
        <f>IFERROR(Jun!$F3,"")</f>
        <v>6</v>
      </c>
      <c r="I14" s="22">
        <f>IFERROR(Jul!$F3,"")</f>
        <v>7</v>
      </c>
      <c r="J14" s="22">
        <f>IFERROR(Aug!$F3,"")</f>
        <v>9</v>
      </c>
      <c r="K14" s="22">
        <f>IFERROR(Sep!$I3,"")</f>
        <v>15</v>
      </c>
      <c r="L14" s="22">
        <f>IFERROR(Oct!$I3,"")</f>
        <v>30</v>
      </c>
      <c r="M14" s="22">
        <f>IFERROR(Nov!$F3,"")</f>
        <v>13</v>
      </c>
      <c r="N14" s="23">
        <f>IFERROR(Dec!$F3,"")</f>
        <v>4</v>
      </c>
      <c r="O14" s="13" t="str">
        <f>IFERROR(__xludf.DUMMYFUNCTION("IFERROR(SPARKLINE(C14:N14, {""chartype"", ""line""; ""color"", ""blue""}))
"),"")</f>
        <v/>
      </c>
    </row>
    <row r="15" ht="15.75" customHeight="1">
      <c r="A15" s="25" t="s">
        <v>28</v>
      </c>
      <c r="B15" s="20" t="str">
        <f t="shared" si="11"/>
        <v/>
      </c>
      <c r="C15" s="26" t="str">
        <f t="shared" si="15"/>
        <v>#REF!</v>
      </c>
      <c r="D15" s="21" t="str">
        <f t="shared" si="16"/>
        <v/>
      </c>
      <c r="E15" s="22" t="str">
        <f t="shared" si="17"/>
        <v/>
      </c>
      <c r="F15" s="22">
        <f>IFERROR(Apr!$F4,"")</f>
        <v>0</v>
      </c>
      <c r="G15" s="22">
        <f>IFERROR(May!$F4,"")</f>
        <v>0</v>
      </c>
      <c r="H15" s="22">
        <f>IFERROR(Jun!$F4,"")</f>
        <v>0</v>
      </c>
      <c r="I15" s="22">
        <f>IFERROR(Jul!$F4,"")</f>
        <v>0</v>
      </c>
      <c r="J15" s="22">
        <f>IFERROR(Aug!$F4,"")</f>
        <v>0</v>
      </c>
      <c r="K15" s="22">
        <f>IFERROR(Sep!$I4,"")</f>
        <v>4</v>
      </c>
      <c r="L15" s="22">
        <f>IFERROR(Oct!$I4,"")</f>
        <v>0</v>
      </c>
      <c r="M15" s="22">
        <f>IFERROR(Nov!$F4,"")</f>
        <v>3</v>
      </c>
      <c r="N15" s="23">
        <f>IFERROR(Dec!$F4,"")</f>
        <v>0</v>
      </c>
      <c r="O15" s="13" t="str">
        <f>IFERROR(__xludf.DUMMYFUNCTION("IFERROR(SPARKLINE(C15:N15, {""chartype"", ""line""; ""color"", ""blue""}))
"),"")</f>
        <v/>
      </c>
    </row>
    <row r="16" ht="15.75" customHeight="1">
      <c r="A16" s="25" t="s">
        <v>29</v>
      </c>
      <c r="B16" s="27" t="str">
        <f t="shared" ref="B16:N16" si="18">B9/B8</f>
        <v>#REF!</v>
      </c>
      <c r="C16" s="10" t="str">
        <f t="shared" si="18"/>
        <v>#REF!</v>
      </c>
      <c r="D16" s="10" t="str">
        <f t="shared" si="18"/>
        <v>#DIV/0!</v>
      </c>
      <c r="E16" s="10" t="str">
        <f t="shared" si="18"/>
        <v>#DIV/0!</v>
      </c>
      <c r="F16" s="10">
        <f t="shared" si="18"/>
        <v>1</v>
      </c>
      <c r="G16" s="10">
        <f t="shared" si="18"/>
        <v>1</v>
      </c>
      <c r="H16" s="10">
        <f t="shared" si="18"/>
        <v>1</v>
      </c>
      <c r="I16" s="10">
        <f t="shared" si="18"/>
        <v>1</v>
      </c>
      <c r="J16" s="10">
        <f t="shared" si="18"/>
        <v>0.9565217391</v>
      </c>
      <c r="K16" s="10">
        <f t="shared" si="18"/>
        <v>0.5875</v>
      </c>
      <c r="L16" s="10">
        <f t="shared" si="18"/>
        <v>0.661971831</v>
      </c>
      <c r="M16" s="10">
        <f t="shared" si="18"/>
        <v>0.8048780488</v>
      </c>
      <c r="N16" s="10">
        <f t="shared" si="18"/>
        <v>0.6470588235</v>
      </c>
      <c r="O16" s="13" t="str">
        <f>IFERROR(__xludf.DUMMYFUNCTION("IFERROR(SPARKLINE(C16:N16, {""chartype"", ""line""; ""color"", ""blue""}))
"),"")</f>
        <v/>
      </c>
    </row>
    <row r="17" ht="15.75" customHeight="1">
      <c r="A17" s="28" t="s">
        <v>30</v>
      </c>
      <c r="B17" s="29" t="str">
        <f t="shared" ref="B17:N17" si="19">B10/B8</f>
        <v>#DIV/0!</v>
      </c>
      <c r="C17" s="30" t="str">
        <f t="shared" si="19"/>
        <v>#REF!</v>
      </c>
      <c r="D17" s="30" t="str">
        <f t="shared" si="19"/>
        <v>#DIV/0!</v>
      </c>
      <c r="E17" s="30" t="str">
        <f t="shared" si="19"/>
        <v>#DIV/0!</v>
      </c>
      <c r="F17" s="30">
        <f t="shared" si="19"/>
        <v>1</v>
      </c>
      <c r="G17" s="30">
        <f t="shared" si="19"/>
        <v>1</v>
      </c>
      <c r="H17" s="30">
        <f t="shared" si="19"/>
        <v>1</v>
      </c>
      <c r="I17" s="30">
        <f t="shared" si="19"/>
        <v>1</v>
      </c>
      <c r="J17" s="30">
        <f t="shared" si="19"/>
        <v>0.9565217391</v>
      </c>
      <c r="K17" s="30">
        <f t="shared" si="19"/>
        <v>0.5875</v>
      </c>
      <c r="L17" s="30">
        <f t="shared" si="19"/>
        <v>0.661971831</v>
      </c>
      <c r="M17" s="30">
        <f t="shared" si="19"/>
        <v>0.8048780488</v>
      </c>
      <c r="N17" s="30">
        <f t="shared" si="19"/>
        <v>0.6470588235</v>
      </c>
      <c r="O17" s="31" t="str">
        <f>IFERROR(__xludf.DUMMYFUNCTION("IFERROR(SPARKLINE(C17:N17, {""chartype"", ""line""; ""color"", ""blue""}))
"),"")</f>
        <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5.38"/>
    <col customWidth="1" min="4" max="4" width="0.38"/>
    <col customWidth="1" min="5" max="5" width="15.13"/>
    <col customWidth="1" min="6" max="6" width="21.0"/>
    <col customWidth="1" min="7" max="7" width="0.38"/>
    <col customWidth="1" min="8" max="8" width="15.63"/>
    <col customWidth="1" min="9" max="9" width="13.88"/>
    <col customWidth="1" min="10" max="10" width="0.38"/>
    <col customWidth="1" min="11" max="11" width="16.25"/>
    <col customWidth="1" min="13" max="13" width="0.38"/>
    <col customWidth="1" min="15" max="15" width="16.5"/>
    <col customWidth="1" min="16" max="16" width="0.38"/>
    <col customWidth="1" min="17" max="17" width="13.13"/>
    <col customWidth="1" min="18" max="18" width="13.88"/>
    <col customWidth="1" min="19" max="19" width="19.13"/>
    <col customWidth="1" min="21" max="21" width="23.75"/>
    <col customWidth="1" min="22" max="22" width="0.38"/>
  </cols>
  <sheetData>
    <row r="1">
      <c r="A1" s="32"/>
      <c r="B1" s="33" t="s">
        <v>31</v>
      </c>
      <c r="C1" s="34" t="s">
        <v>32</v>
      </c>
      <c r="D1" s="35"/>
      <c r="E1" s="36" t="s">
        <v>33</v>
      </c>
      <c r="F1" s="37"/>
      <c r="G1" s="35"/>
      <c r="H1" s="38" t="s">
        <v>34</v>
      </c>
      <c r="I1" s="39"/>
      <c r="J1" s="13"/>
      <c r="K1" s="40" t="s">
        <v>35</v>
      </c>
      <c r="L1" s="41"/>
      <c r="M1" s="13"/>
      <c r="N1" s="38" t="s">
        <v>36</v>
      </c>
      <c r="O1" s="42"/>
      <c r="P1" s="35"/>
      <c r="Q1" s="38" t="s">
        <v>37</v>
      </c>
      <c r="R1" s="43"/>
      <c r="S1" s="39"/>
      <c r="T1" s="39"/>
      <c r="U1" s="35" t="s">
        <v>38</v>
      </c>
      <c r="V1" s="35"/>
    </row>
    <row r="2">
      <c r="A2" s="35"/>
      <c r="B2" s="37"/>
      <c r="C2" s="39"/>
      <c r="D2" s="13"/>
      <c r="E2" s="44" t="s">
        <v>26</v>
      </c>
      <c r="F2" s="45">
        <f>IFERROR(COUNTIFS(I13:I287, "Full-Pay"),"")</f>
        <v>2</v>
      </c>
      <c r="G2" s="13"/>
      <c r="H2" s="46" t="s">
        <v>16</v>
      </c>
      <c r="I2" s="47">
        <f>iferror(I10/I8,"")</f>
        <v>0.1333333333</v>
      </c>
      <c r="J2" s="12"/>
      <c r="K2" s="48" t="s">
        <v>39</v>
      </c>
      <c r="L2" s="49">
        <f>iferror(F8/I6,"")</f>
        <v>0</v>
      </c>
      <c r="M2" s="12"/>
      <c r="N2" s="50" t="s">
        <v>40</v>
      </c>
      <c r="O2" s="51">
        <f>IFERROR(COUNTIFS(N13:N286, "think about it"),"")</f>
        <v>7</v>
      </c>
      <c r="P2" s="13"/>
      <c r="Q2" s="52" t="s">
        <v>41</v>
      </c>
      <c r="R2" s="53">
        <f>IFERROR(COUNTIF(H13:H286,Q2),"")</f>
        <v>0</v>
      </c>
      <c r="S2" s="52" t="s">
        <v>42</v>
      </c>
      <c r="T2" s="54">
        <f>IFERROR(COUNTIF(H13:H286,S2),"")</f>
        <v>0</v>
      </c>
      <c r="U2" s="35"/>
      <c r="V2" s="55"/>
    </row>
    <row r="3">
      <c r="A3" s="13"/>
      <c r="B3" s="56" t="s">
        <v>43</v>
      </c>
      <c r="C3" s="57">
        <f>IFERROR(SUM(K13:K284),"")</f>
        <v>9000</v>
      </c>
      <c r="D3" s="58"/>
      <c r="E3" s="44" t="s">
        <v>27</v>
      </c>
      <c r="F3" s="45">
        <f>IFERROR(COUNTIFS(I13:I287, "Split-Pay"),"")</f>
        <v>0</v>
      </c>
      <c r="G3" s="13"/>
      <c r="H3" s="46" t="s">
        <v>17</v>
      </c>
      <c r="I3" s="47">
        <f>IFERROR(I10/I9,"")</f>
        <v>0.1333333333</v>
      </c>
      <c r="J3" s="12"/>
      <c r="K3" s="48" t="s">
        <v>44</v>
      </c>
      <c r="L3" s="49">
        <f>iferror(F9/I6,"")</f>
        <v>0</v>
      </c>
      <c r="M3" s="12"/>
      <c r="N3" s="50" t="s">
        <v>45</v>
      </c>
      <c r="O3" s="59">
        <f>IFERROR(COUNTIFS(N13:N286, "money"),"")</f>
        <v>4</v>
      </c>
      <c r="P3" s="13"/>
      <c r="Q3" s="52" t="s">
        <v>46</v>
      </c>
      <c r="R3" s="53">
        <f>IFERROR(COUNTIF(H13:H286,Q3),"")</f>
        <v>0</v>
      </c>
      <c r="S3" s="52" t="s">
        <v>47</v>
      </c>
      <c r="T3" s="54">
        <f>IFERROR(COUNTIF(H13:H286,S3),"")</f>
        <v>0</v>
      </c>
      <c r="U3" s="35"/>
      <c r="V3" s="55"/>
    </row>
    <row r="4">
      <c r="A4" s="13"/>
      <c r="B4" s="60" t="s">
        <v>48</v>
      </c>
      <c r="C4" s="61">
        <f>IFERROR(SUM(L13:L284),"")</f>
        <v>3000</v>
      </c>
      <c r="D4" s="58"/>
      <c r="E4" s="44" t="s">
        <v>28</v>
      </c>
      <c r="F4" s="45">
        <f>IFERROR(COUNTIFS(I13:I287, "Deposit"),"")</f>
        <v>0</v>
      </c>
      <c r="G4" s="13"/>
      <c r="H4" s="46" t="s">
        <v>18</v>
      </c>
      <c r="I4" s="47">
        <f>IFERROR(I9/I8,"")</f>
        <v>1</v>
      </c>
      <c r="J4" s="12"/>
      <c r="K4" s="48" t="s">
        <v>49</v>
      </c>
      <c r="L4" s="49">
        <f>iferror(F10/I6,"")</f>
        <v>0</v>
      </c>
      <c r="M4" s="12"/>
      <c r="N4" s="50" t="s">
        <v>50</v>
      </c>
      <c r="O4" s="51">
        <f>IFERROR(COUNTIFS(N13:N286, "time"),"")</f>
        <v>2</v>
      </c>
      <c r="P4" s="13"/>
      <c r="Q4" s="52" t="s">
        <v>51</v>
      </c>
      <c r="R4" s="53">
        <f>IFERROR(COUNTIF(H13:H286,Q4),"")</f>
        <v>0</v>
      </c>
      <c r="S4" s="52" t="s">
        <v>52</v>
      </c>
      <c r="T4" s="54">
        <f>IFERROR(COUNTIF(H13:H286,S4),"")</f>
        <v>0</v>
      </c>
      <c r="U4" s="35"/>
      <c r="V4" s="35"/>
    </row>
    <row r="5">
      <c r="A5" s="35"/>
      <c r="B5" s="37"/>
      <c r="C5" s="39"/>
      <c r="D5" s="13"/>
      <c r="E5" s="44" t="s">
        <v>53</v>
      </c>
      <c r="F5" s="45">
        <f>IFERROR(COUNTIFS(I13:I287, "Offer &amp; Didn't Buy"),"")</f>
        <v>13</v>
      </c>
      <c r="G5" s="13"/>
      <c r="H5" s="46" t="s">
        <v>54</v>
      </c>
      <c r="I5" s="47">
        <f>IFERROR(F7/(C6+F7+F8),"")</f>
        <v>0</v>
      </c>
      <c r="J5" s="13"/>
      <c r="K5" s="48" t="s">
        <v>54</v>
      </c>
      <c r="L5" s="49">
        <f>iferror(F7/I6,"")</f>
        <v>0</v>
      </c>
      <c r="M5" s="12"/>
      <c r="N5" s="50" t="s">
        <v>55</v>
      </c>
      <c r="O5" s="51">
        <f>IFERROR(COUNTIFS(N13:N286, "partner"),"")</f>
        <v>1</v>
      </c>
      <c r="P5" s="13"/>
      <c r="Q5" s="52" t="s">
        <v>56</v>
      </c>
      <c r="R5" s="53">
        <f>IFERROR(COUNTIF(H13:H286,Q5),"")</f>
        <v>0</v>
      </c>
      <c r="S5" s="52" t="s">
        <v>57</v>
      </c>
      <c r="T5" s="54">
        <f>IFERROR(COUNTIF(H13:H286,S5),"")</f>
        <v>0</v>
      </c>
      <c r="U5" s="35"/>
      <c r="V5" s="55"/>
    </row>
    <row r="6">
      <c r="A6" s="13"/>
      <c r="B6" s="62" t="s">
        <v>58</v>
      </c>
      <c r="C6" s="63">
        <f>IFERROR(SUM(F2:F6),"")</f>
        <v>15</v>
      </c>
      <c r="D6" s="13"/>
      <c r="E6" s="44" t="s">
        <v>59</v>
      </c>
      <c r="F6" s="45">
        <f>IFERROR(COUNTIFS(I13:I287, "Bad Fit &amp; No Offer"),"")</f>
        <v>0</v>
      </c>
      <c r="G6" s="13"/>
      <c r="H6" s="46" t="s">
        <v>21</v>
      </c>
      <c r="I6" s="64">
        <f>IFERROR(SUM(F2:F10),"")</f>
        <v>15</v>
      </c>
      <c r="J6" s="13"/>
      <c r="K6" s="65" t="s">
        <v>29</v>
      </c>
      <c r="L6" s="49">
        <f>iferror(I7/I6,"")</f>
        <v>1</v>
      </c>
      <c r="M6" s="12"/>
      <c r="N6" s="50" t="s">
        <v>60</v>
      </c>
      <c r="O6" s="51">
        <f>IFERROR(COUNTIFS(N13:N286, "fear"),"")</f>
        <v>0</v>
      </c>
      <c r="P6" s="13"/>
      <c r="Q6" s="52" t="s">
        <v>61</v>
      </c>
      <c r="R6" s="53">
        <f>IFERROR(COUNTIF(H13:H286,Q6),"")</f>
        <v>0</v>
      </c>
      <c r="S6" s="52" t="s">
        <v>62</v>
      </c>
      <c r="T6" s="54">
        <f>IFERROR(COUNTIF(H13:H286,S6),"")</f>
        <v>0</v>
      </c>
      <c r="U6" s="35"/>
      <c r="V6" s="55"/>
    </row>
    <row r="7">
      <c r="A7" s="13"/>
      <c r="B7" s="62" t="s">
        <v>63</v>
      </c>
      <c r="C7" s="66">
        <f>IFERROR(F2+F3,"")</f>
        <v>2</v>
      </c>
      <c r="D7" s="13"/>
      <c r="E7" s="44" t="s">
        <v>64</v>
      </c>
      <c r="F7" s="45">
        <f>IFERROR(COUNTIFS(I13:I287, "Drag Over &amp; Show"),"")</f>
        <v>0</v>
      </c>
      <c r="G7" s="13"/>
      <c r="H7" s="46" t="s">
        <v>22</v>
      </c>
      <c r="I7" s="64">
        <f>IFERROR(SUM(F2:F7),"")</f>
        <v>15</v>
      </c>
      <c r="J7" s="13"/>
      <c r="K7" s="67" t="s">
        <v>30</v>
      </c>
      <c r="L7" s="68">
        <f>IFERROR(I8/I6,"")</f>
        <v>1</v>
      </c>
      <c r="M7" s="12"/>
      <c r="N7" s="69" t="s">
        <v>65</v>
      </c>
      <c r="O7" s="70">
        <f>IFERROR(COUNTIFS(N14:N287, "value"),"")</f>
        <v>0</v>
      </c>
      <c r="P7" s="13"/>
      <c r="Q7" s="52" t="s">
        <v>66</v>
      </c>
      <c r="R7" s="53">
        <f>IFERROR(COUNTIF(H13:H286,Q7),"")</f>
        <v>0</v>
      </c>
      <c r="S7" s="52" t="s">
        <v>67</v>
      </c>
      <c r="T7" s="54">
        <f>IFERROR(COUNTIF(H13:H286,S7),"")</f>
        <v>0</v>
      </c>
      <c r="U7" s="35"/>
      <c r="V7" s="35"/>
    </row>
    <row r="8">
      <c r="A8" s="13"/>
      <c r="B8" s="62" t="s">
        <v>68</v>
      </c>
      <c r="C8" s="71">
        <f>COUNTIF(I13:I286,"offer &amp; didn't buy")+countif(I13:I286,"deposit")+countif(I13:I286,"bad fit &amp; no offer")</f>
        <v>13</v>
      </c>
      <c r="D8" s="72"/>
      <c r="E8" s="44" t="s">
        <v>69</v>
      </c>
      <c r="F8" s="45">
        <f>IFERROR(COUNTIFS(I13:I287, "Rescheduled"),"")</f>
        <v>0</v>
      </c>
      <c r="G8" s="13"/>
      <c r="H8" s="46" t="s">
        <v>23</v>
      </c>
      <c r="I8" s="64">
        <f>IFERROR(SUM(F2:F6),"")</f>
        <v>15</v>
      </c>
      <c r="J8" s="35"/>
      <c r="K8" s="73"/>
      <c r="L8" s="35"/>
      <c r="M8" s="35"/>
      <c r="N8" s="35"/>
      <c r="O8" s="74"/>
      <c r="P8" s="13"/>
      <c r="Q8" s="75" t="s">
        <v>70</v>
      </c>
      <c r="R8" s="76">
        <f>IFERROR(COUNTIF(H13:H286,Q8),"")</f>
        <v>0</v>
      </c>
      <c r="S8" s="75" t="s">
        <v>71</v>
      </c>
      <c r="T8" s="77">
        <f>IFERROR(COUNTIF(H13:H286,S8),"")</f>
        <v>0</v>
      </c>
      <c r="U8" s="35"/>
      <c r="V8" s="35"/>
    </row>
    <row r="9">
      <c r="A9" s="13"/>
      <c r="B9" s="62" t="s">
        <v>72</v>
      </c>
      <c r="C9" s="78">
        <f>iferror(SUM(C7/C6),"")</f>
        <v>0.1333333333</v>
      </c>
      <c r="D9" s="12"/>
      <c r="E9" s="44" t="s">
        <v>73</v>
      </c>
      <c r="F9" s="45">
        <f>IFERROR(COUNTIFS(I13:I287, "Cancelled"),"")</f>
        <v>0</v>
      </c>
      <c r="G9" s="13"/>
      <c r="H9" s="46" t="s">
        <v>24</v>
      </c>
      <c r="I9" s="64">
        <f>IFERROR(sum(F2:F5),"")</f>
        <v>15</v>
      </c>
      <c r="J9" s="35"/>
      <c r="K9" s="73"/>
      <c r="L9" s="35"/>
      <c r="M9" s="35"/>
      <c r="N9" s="35"/>
      <c r="O9" s="74"/>
      <c r="P9" s="35"/>
      <c r="Q9" s="35"/>
      <c r="R9" s="35"/>
      <c r="S9" s="35"/>
      <c r="T9" s="35"/>
      <c r="V9" s="35"/>
    </row>
    <row r="10">
      <c r="A10" s="35"/>
      <c r="B10" s="73"/>
      <c r="C10" s="35"/>
      <c r="D10" s="13"/>
      <c r="E10" s="79" t="s">
        <v>74</v>
      </c>
      <c r="F10" s="80">
        <f>IFERROR(COUNTIFS(I13:I287, "No-Show"),"")</f>
        <v>0</v>
      </c>
      <c r="G10" s="13"/>
      <c r="H10" s="81" t="s">
        <v>75</v>
      </c>
      <c r="I10" s="82">
        <f>F2+F3</f>
        <v>2</v>
      </c>
      <c r="J10" s="35"/>
      <c r="K10" s="73"/>
      <c r="L10" s="35"/>
      <c r="M10" s="35"/>
      <c r="N10" s="35"/>
      <c r="O10" s="74"/>
      <c r="P10" s="35"/>
      <c r="Q10" s="35"/>
      <c r="R10" s="35"/>
      <c r="S10" s="35"/>
      <c r="T10" s="35"/>
      <c r="V10" s="35"/>
    </row>
    <row r="11" ht="6.0" customHeight="1">
      <c r="A11" s="35"/>
      <c r="B11" s="73"/>
      <c r="C11" s="35"/>
      <c r="D11" s="35"/>
      <c r="E11" s="83"/>
      <c r="F11" s="73"/>
      <c r="G11" s="35"/>
      <c r="H11" s="35"/>
      <c r="I11" s="35"/>
      <c r="J11" s="35"/>
      <c r="K11" s="73"/>
      <c r="L11" s="35"/>
      <c r="M11" s="35"/>
      <c r="N11" s="35"/>
      <c r="O11" s="74"/>
      <c r="P11" s="35"/>
      <c r="Q11" s="35"/>
      <c r="R11" s="35"/>
      <c r="S11" s="35"/>
      <c r="T11" s="35"/>
      <c r="V11" s="35"/>
    </row>
    <row r="12">
      <c r="A12" s="35"/>
      <c r="B12" s="84" t="s">
        <v>76</v>
      </c>
      <c r="C12" s="85" t="s">
        <v>77</v>
      </c>
      <c r="D12" s="35"/>
      <c r="E12" s="86" t="s">
        <v>78</v>
      </c>
      <c r="F12" s="33" t="s">
        <v>56</v>
      </c>
      <c r="G12" s="35"/>
      <c r="H12" s="87" t="s">
        <v>37</v>
      </c>
      <c r="I12" s="87" t="s">
        <v>33</v>
      </c>
      <c r="J12" s="35"/>
      <c r="K12" s="33" t="s">
        <v>79</v>
      </c>
      <c r="L12" s="87" t="s">
        <v>48</v>
      </c>
      <c r="M12" s="35"/>
      <c r="N12" s="87" t="s">
        <v>80</v>
      </c>
      <c r="O12" s="88" t="s">
        <v>81</v>
      </c>
      <c r="P12" s="35"/>
      <c r="Q12" s="87" t="s">
        <v>82</v>
      </c>
      <c r="R12" s="87" t="s">
        <v>83</v>
      </c>
      <c r="S12" s="87" t="s">
        <v>84</v>
      </c>
      <c r="T12" s="87" t="s">
        <v>85</v>
      </c>
      <c r="V12" s="55"/>
    </row>
    <row r="13" ht="15.75" customHeight="1">
      <c r="A13" s="89"/>
      <c r="B13" s="90" t="s">
        <v>86</v>
      </c>
      <c r="C13" s="91" t="s">
        <v>87</v>
      </c>
      <c r="D13" s="92"/>
      <c r="E13" s="93">
        <v>2.9852397E7</v>
      </c>
      <c r="F13" s="94" t="s">
        <v>88</v>
      </c>
      <c r="G13" s="95"/>
      <c r="H13" s="96" t="s">
        <v>89</v>
      </c>
      <c r="I13" s="97" t="s">
        <v>90</v>
      </c>
      <c r="J13" s="95"/>
      <c r="K13" s="98"/>
      <c r="L13" s="99"/>
      <c r="M13" s="100"/>
      <c r="N13" s="101" t="s">
        <v>91</v>
      </c>
      <c r="O13" s="102" t="s">
        <v>92</v>
      </c>
      <c r="P13" s="95"/>
      <c r="Q13" s="103"/>
      <c r="R13" s="104" t="s">
        <v>93</v>
      </c>
      <c r="S13" s="103" t="s">
        <v>94</v>
      </c>
      <c r="T13" s="105" t="s">
        <v>95</v>
      </c>
      <c r="U13" s="106"/>
      <c r="V13" s="107"/>
    </row>
    <row r="14" ht="15.75" customHeight="1">
      <c r="A14" s="95"/>
      <c r="B14" s="90" t="s">
        <v>96</v>
      </c>
      <c r="C14" s="108" t="s">
        <v>97</v>
      </c>
      <c r="D14" s="95"/>
      <c r="E14" s="93">
        <v>3.1329041E7</v>
      </c>
      <c r="F14" s="109" t="s">
        <v>98</v>
      </c>
      <c r="G14" s="95"/>
      <c r="H14" s="96" t="s">
        <v>89</v>
      </c>
      <c r="I14" s="97" t="s">
        <v>90</v>
      </c>
      <c r="J14" s="95"/>
      <c r="K14" s="98"/>
      <c r="L14" s="99"/>
      <c r="M14" s="100"/>
      <c r="N14" s="101" t="s">
        <v>91</v>
      </c>
      <c r="O14" s="102" t="s">
        <v>99</v>
      </c>
      <c r="P14" s="95"/>
      <c r="Q14" s="103"/>
      <c r="R14" s="104" t="s">
        <v>100</v>
      </c>
      <c r="S14" s="103" t="s">
        <v>94</v>
      </c>
      <c r="T14" s="110" t="s">
        <v>101</v>
      </c>
      <c r="U14" s="103"/>
      <c r="V14" s="107"/>
    </row>
    <row r="15" ht="15.75" customHeight="1">
      <c r="A15" s="95"/>
      <c r="B15" s="90" t="s">
        <v>96</v>
      </c>
      <c r="C15" s="108" t="s">
        <v>102</v>
      </c>
      <c r="D15" s="103"/>
      <c r="E15" s="111" t="s">
        <v>103</v>
      </c>
      <c r="F15" s="109" t="s">
        <v>104</v>
      </c>
      <c r="G15" s="95"/>
      <c r="H15" s="96" t="s">
        <v>89</v>
      </c>
      <c r="I15" s="97" t="s">
        <v>90</v>
      </c>
      <c r="J15" s="95"/>
      <c r="K15" s="112"/>
      <c r="L15" s="113"/>
      <c r="M15" s="100"/>
      <c r="N15" s="101" t="s">
        <v>91</v>
      </c>
      <c r="O15" s="102" t="s">
        <v>105</v>
      </c>
      <c r="P15" s="95"/>
      <c r="Q15" s="114"/>
      <c r="R15" s="115" t="s">
        <v>106</v>
      </c>
      <c r="S15" s="103" t="s">
        <v>94</v>
      </c>
      <c r="T15" s="116" t="s">
        <v>107</v>
      </c>
      <c r="U15" s="103"/>
      <c r="V15" s="107"/>
    </row>
    <row r="16" ht="15.75" customHeight="1">
      <c r="A16" s="95"/>
      <c r="B16" s="90" t="s">
        <v>96</v>
      </c>
      <c r="C16" s="117" t="s">
        <v>108</v>
      </c>
      <c r="D16" s="95"/>
      <c r="E16" s="93">
        <v>4.2317156E7</v>
      </c>
      <c r="F16" s="109" t="s">
        <v>109</v>
      </c>
      <c r="G16" s="95"/>
      <c r="H16" s="96" t="s">
        <v>89</v>
      </c>
      <c r="I16" s="97" t="s">
        <v>110</v>
      </c>
      <c r="J16" s="95"/>
      <c r="K16" s="98">
        <v>9000.0</v>
      </c>
      <c r="L16" s="99">
        <v>3000.0</v>
      </c>
      <c r="M16" s="100"/>
      <c r="N16" s="101"/>
      <c r="O16" s="102"/>
      <c r="P16" s="95"/>
      <c r="Q16" s="103" t="s">
        <v>111</v>
      </c>
      <c r="R16" s="104" t="s">
        <v>112</v>
      </c>
      <c r="S16" s="103" t="s">
        <v>113</v>
      </c>
      <c r="T16" s="103" t="s">
        <v>114</v>
      </c>
      <c r="V16" s="107"/>
    </row>
    <row r="17" ht="15.75" customHeight="1">
      <c r="A17" s="95"/>
      <c r="B17" s="90" t="s">
        <v>115</v>
      </c>
      <c r="C17" s="118" t="s">
        <v>116</v>
      </c>
      <c r="D17" s="95"/>
      <c r="E17" s="111" t="s">
        <v>117</v>
      </c>
      <c r="F17" s="109" t="s">
        <v>118</v>
      </c>
      <c r="G17" s="95"/>
      <c r="H17" s="96" t="s">
        <v>89</v>
      </c>
      <c r="I17" s="97" t="s">
        <v>90</v>
      </c>
      <c r="J17" s="95"/>
      <c r="K17" s="112"/>
      <c r="L17" s="113"/>
      <c r="M17" s="100"/>
      <c r="N17" s="101" t="s">
        <v>91</v>
      </c>
      <c r="O17" s="102" t="s">
        <v>119</v>
      </c>
      <c r="P17" s="95"/>
      <c r="Q17" s="95"/>
      <c r="R17" s="104" t="s">
        <v>120</v>
      </c>
      <c r="S17" s="103" t="s">
        <v>94</v>
      </c>
      <c r="T17" s="119" t="s">
        <v>121</v>
      </c>
      <c r="U17" s="95"/>
      <c r="V17" s="107"/>
    </row>
    <row r="18" ht="15.75" customHeight="1">
      <c r="A18" s="95"/>
      <c r="B18" s="90" t="s">
        <v>115</v>
      </c>
      <c r="C18" s="120" t="s">
        <v>122</v>
      </c>
      <c r="D18" s="95"/>
      <c r="E18" s="111" t="s">
        <v>123</v>
      </c>
      <c r="F18" s="109" t="s">
        <v>124</v>
      </c>
      <c r="G18" s="95"/>
      <c r="H18" s="96" t="s">
        <v>89</v>
      </c>
      <c r="I18" s="97" t="s">
        <v>90</v>
      </c>
      <c r="J18" s="95"/>
      <c r="K18" s="98"/>
      <c r="L18" s="99"/>
      <c r="M18" s="100"/>
      <c r="N18" s="101" t="s">
        <v>45</v>
      </c>
      <c r="O18" s="102" t="s">
        <v>125</v>
      </c>
      <c r="P18" s="95"/>
      <c r="Q18" s="95"/>
      <c r="R18" s="104" t="s">
        <v>126</v>
      </c>
      <c r="S18" s="103" t="s">
        <v>94</v>
      </c>
      <c r="T18" s="119" t="s">
        <v>127</v>
      </c>
      <c r="U18" s="95"/>
      <c r="V18" s="107"/>
    </row>
    <row r="19" ht="15.75" customHeight="1">
      <c r="A19" s="95"/>
      <c r="B19" s="121" t="s">
        <v>128</v>
      </c>
      <c r="C19" s="120" t="s">
        <v>129</v>
      </c>
      <c r="D19" s="95"/>
      <c r="E19" s="111" t="s">
        <v>130</v>
      </c>
      <c r="F19" s="109" t="s">
        <v>131</v>
      </c>
      <c r="G19" s="95"/>
      <c r="H19" s="96" t="s">
        <v>89</v>
      </c>
      <c r="I19" s="97" t="s">
        <v>110</v>
      </c>
      <c r="J19" s="95"/>
      <c r="K19" s="103" t="s">
        <v>132</v>
      </c>
      <c r="L19" s="99" t="s">
        <v>133</v>
      </c>
      <c r="M19" s="100"/>
      <c r="N19" s="101" t="s">
        <v>50</v>
      </c>
      <c r="O19" s="102" t="s">
        <v>134</v>
      </c>
      <c r="P19" s="95"/>
      <c r="Q19" s="103" t="s">
        <v>111</v>
      </c>
      <c r="R19" s="104" t="s">
        <v>135</v>
      </c>
      <c r="S19" s="103" t="s">
        <v>113</v>
      </c>
      <c r="T19" s="119" t="s">
        <v>136</v>
      </c>
      <c r="U19" s="95"/>
      <c r="V19" s="107"/>
    </row>
    <row r="20" ht="15.75" customHeight="1">
      <c r="A20" s="89"/>
      <c r="B20" s="90" t="s">
        <v>137</v>
      </c>
      <c r="C20" s="122" t="s">
        <v>138</v>
      </c>
      <c r="D20" s="95"/>
      <c r="E20" s="111" t="s">
        <v>139</v>
      </c>
      <c r="F20" s="109" t="s">
        <v>140</v>
      </c>
      <c r="G20" s="95"/>
      <c r="H20" s="96" t="s">
        <v>89</v>
      </c>
      <c r="I20" s="97" t="s">
        <v>90</v>
      </c>
      <c r="J20" s="95"/>
      <c r="K20" s="112"/>
      <c r="L20" s="113"/>
      <c r="M20" s="100"/>
      <c r="N20" s="101" t="s">
        <v>45</v>
      </c>
      <c r="O20" s="102" t="s">
        <v>141</v>
      </c>
      <c r="P20" s="95"/>
      <c r="Q20" s="103"/>
      <c r="R20" s="104" t="s">
        <v>142</v>
      </c>
      <c r="S20" s="103" t="s">
        <v>94</v>
      </c>
      <c r="T20" s="103" t="s">
        <v>143</v>
      </c>
      <c r="V20" s="107"/>
    </row>
    <row r="21" ht="15.75" customHeight="1">
      <c r="A21" s="89"/>
      <c r="B21" s="90" t="s">
        <v>144</v>
      </c>
      <c r="C21" s="108" t="s">
        <v>145</v>
      </c>
      <c r="D21" s="95"/>
      <c r="E21" s="111" t="s">
        <v>146</v>
      </c>
      <c r="F21" s="109" t="s">
        <v>147</v>
      </c>
      <c r="G21" s="95"/>
      <c r="H21" s="96" t="s">
        <v>89</v>
      </c>
      <c r="I21" s="97" t="s">
        <v>90</v>
      </c>
      <c r="J21" s="95"/>
      <c r="K21" s="98"/>
      <c r="L21" s="99"/>
      <c r="M21" s="100"/>
      <c r="N21" s="101" t="s">
        <v>91</v>
      </c>
      <c r="O21" s="102" t="s">
        <v>148</v>
      </c>
      <c r="P21" s="95"/>
      <c r="Q21" s="114"/>
      <c r="R21" s="104" t="s">
        <v>149</v>
      </c>
      <c r="S21" s="103" t="s">
        <v>94</v>
      </c>
      <c r="T21" s="103" t="s">
        <v>150</v>
      </c>
      <c r="V21" s="107"/>
    </row>
    <row r="22" ht="15.75" customHeight="1">
      <c r="A22" s="89"/>
      <c r="B22" s="90" t="s">
        <v>151</v>
      </c>
      <c r="C22" s="122" t="s">
        <v>152</v>
      </c>
      <c r="D22" s="95"/>
      <c r="E22" s="111" t="s">
        <v>153</v>
      </c>
      <c r="F22" s="123" t="s">
        <v>154</v>
      </c>
      <c r="G22" s="95"/>
      <c r="H22" s="96" t="s">
        <v>89</v>
      </c>
      <c r="I22" s="103" t="s">
        <v>90</v>
      </c>
      <c r="J22" s="95"/>
      <c r="K22" s="98"/>
      <c r="L22" s="99"/>
      <c r="M22" s="100"/>
      <c r="N22" s="101" t="s">
        <v>45</v>
      </c>
      <c r="O22" s="102" t="s">
        <v>155</v>
      </c>
      <c r="P22" s="95"/>
      <c r="Q22" s="114"/>
      <c r="R22" s="104" t="s">
        <v>156</v>
      </c>
      <c r="S22" s="103" t="s">
        <v>157</v>
      </c>
      <c r="T22" s="103" t="s">
        <v>158</v>
      </c>
      <c r="V22" s="107"/>
    </row>
    <row r="23" ht="15.75" customHeight="1">
      <c r="A23" s="89"/>
      <c r="B23" s="90" t="s">
        <v>159</v>
      </c>
      <c r="C23" s="122" t="s">
        <v>160</v>
      </c>
      <c r="D23" s="95"/>
      <c r="E23" s="111" t="s">
        <v>161</v>
      </c>
      <c r="F23" s="109" t="s">
        <v>162</v>
      </c>
      <c r="G23" s="95"/>
      <c r="H23" s="96" t="s">
        <v>89</v>
      </c>
      <c r="I23" s="103" t="s">
        <v>90</v>
      </c>
      <c r="J23" s="95"/>
      <c r="K23" s="112"/>
      <c r="L23" s="113"/>
      <c r="M23" s="100"/>
      <c r="N23" s="101" t="s">
        <v>91</v>
      </c>
      <c r="O23" s="102" t="s">
        <v>163</v>
      </c>
      <c r="P23" s="95"/>
      <c r="Q23" s="95"/>
      <c r="R23" s="104" t="s">
        <v>164</v>
      </c>
      <c r="S23" s="103" t="s">
        <v>157</v>
      </c>
      <c r="T23" s="103" t="s">
        <v>165</v>
      </c>
      <c r="V23" s="107"/>
    </row>
    <row r="24" ht="15.0" customHeight="1">
      <c r="A24" s="89"/>
      <c r="B24" s="90" t="s">
        <v>159</v>
      </c>
      <c r="C24" s="91" t="s">
        <v>166</v>
      </c>
      <c r="D24" s="92"/>
      <c r="E24" s="111" t="s">
        <v>167</v>
      </c>
      <c r="F24" s="109" t="s">
        <v>168</v>
      </c>
      <c r="G24" s="95"/>
      <c r="H24" s="96" t="s">
        <v>89</v>
      </c>
      <c r="I24" s="97" t="s">
        <v>90</v>
      </c>
      <c r="J24" s="95"/>
      <c r="K24" s="98"/>
      <c r="L24" s="99"/>
      <c r="M24" s="100"/>
      <c r="N24" s="101" t="s">
        <v>55</v>
      </c>
      <c r="O24" s="102" t="s">
        <v>169</v>
      </c>
      <c r="P24" s="95"/>
      <c r="Q24" s="103"/>
      <c r="R24" s="104" t="s">
        <v>170</v>
      </c>
      <c r="S24" s="103" t="s">
        <v>157</v>
      </c>
      <c r="T24" s="105" t="s">
        <v>171</v>
      </c>
      <c r="U24" s="106"/>
      <c r="V24" s="107"/>
    </row>
    <row r="25" ht="15.75" customHeight="1">
      <c r="A25" s="89"/>
      <c r="B25" s="90" t="s">
        <v>159</v>
      </c>
      <c r="C25" s="122" t="s">
        <v>172</v>
      </c>
      <c r="D25" s="95"/>
      <c r="E25" s="111" t="s">
        <v>173</v>
      </c>
      <c r="F25" s="109" t="s">
        <v>174</v>
      </c>
      <c r="G25" s="95"/>
      <c r="H25" s="96" t="s">
        <v>89</v>
      </c>
      <c r="I25" s="103" t="s">
        <v>90</v>
      </c>
      <c r="J25" s="95"/>
      <c r="K25" s="98"/>
      <c r="L25" s="99"/>
      <c r="M25" s="100"/>
      <c r="N25" s="101" t="s">
        <v>50</v>
      </c>
      <c r="O25" s="102" t="s">
        <v>175</v>
      </c>
      <c r="P25" s="95"/>
      <c r="Q25" s="114"/>
      <c r="R25" s="104" t="s">
        <v>176</v>
      </c>
      <c r="S25" s="103" t="s">
        <v>157</v>
      </c>
      <c r="T25" s="103" t="s">
        <v>177</v>
      </c>
      <c r="V25" s="107"/>
    </row>
    <row r="26" ht="15.75" customHeight="1">
      <c r="A26" s="89"/>
      <c r="B26" s="90" t="s">
        <v>178</v>
      </c>
      <c r="C26" s="122" t="s">
        <v>179</v>
      </c>
      <c r="D26" s="95"/>
      <c r="E26" s="111" t="s">
        <v>180</v>
      </c>
      <c r="F26" s="124" t="s">
        <v>181</v>
      </c>
      <c r="G26" s="95"/>
      <c r="H26" s="96" t="s">
        <v>89</v>
      </c>
      <c r="I26" s="103" t="s">
        <v>90</v>
      </c>
      <c r="J26" s="95"/>
      <c r="K26" s="112"/>
      <c r="L26" s="113"/>
      <c r="M26" s="100"/>
      <c r="N26" s="101" t="s">
        <v>91</v>
      </c>
      <c r="O26" s="102" t="s">
        <v>182</v>
      </c>
      <c r="P26" s="95"/>
      <c r="Q26" s="114"/>
      <c r="R26" s="104" t="s">
        <v>183</v>
      </c>
      <c r="S26" s="103" t="s">
        <v>94</v>
      </c>
      <c r="T26" s="103" t="s">
        <v>184</v>
      </c>
      <c r="V26" s="107"/>
    </row>
    <row r="27" ht="15.75" customHeight="1">
      <c r="A27" s="89"/>
      <c r="B27" s="90" t="s">
        <v>185</v>
      </c>
      <c r="C27" s="122" t="s">
        <v>186</v>
      </c>
      <c r="D27" s="95"/>
      <c r="E27" s="111" t="s">
        <v>187</v>
      </c>
      <c r="F27" s="111" t="s">
        <v>188</v>
      </c>
      <c r="G27" s="95"/>
      <c r="H27" s="96" t="s">
        <v>89</v>
      </c>
      <c r="I27" s="103" t="s">
        <v>90</v>
      </c>
      <c r="J27" s="95"/>
      <c r="K27" s="98"/>
      <c r="L27" s="99"/>
      <c r="M27" s="100"/>
      <c r="N27" s="101" t="s">
        <v>45</v>
      </c>
      <c r="O27" s="102" t="s">
        <v>189</v>
      </c>
      <c r="P27" s="95"/>
      <c r="Q27" s="95"/>
      <c r="R27" s="104" t="s">
        <v>190</v>
      </c>
      <c r="S27" s="103" t="s">
        <v>157</v>
      </c>
      <c r="T27" s="103" t="s">
        <v>191</v>
      </c>
      <c r="V27" s="107"/>
    </row>
    <row r="28" ht="15.75" customHeight="1">
      <c r="A28" s="89"/>
      <c r="B28" s="90"/>
      <c r="C28" s="103"/>
      <c r="D28" s="95"/>
      <c r="E28" s="125"/>
      <c r="F28" s="126"/>
      <c r="G28" s="95"/>
      <c r="H28" s="96"/>
      <c r="I28" s="103"/>
      <c r="J28" s="95"/>
      <c r="K28" s="98"/>
      <c r="L28" s="99"/>
      <c r="M28" s="100"/>
      <c r="N28" s="127"/>
      <c r="O28" s="128"/>
      <c r="P28" s="95"/>
      <c r="Q28" s="95"/>
      <c r="R28" s="129"/>
      <c r="S28" s="95"/>
      <c r="T28" s="95"/>
      <c r="V28" s="107"/>
    </row>
    <row r="29" ht="15.75" customHeight="1">
      <c r="A29" s="89"/>
      <c r="B29" s="90"/>
      <c r="C29" s="97"/>
      <c r="D29" s="95"/>
      <c r="E29" s="130"/>
      <c r="F29" s="109"/>
      <c r="G29" s="95"/>
      <c r="H29" s="96"/>
      <c r="I29" s="103"/>
      <c r="J29" s="95"/>
      <c r="K29" s="112"/>
      <c r="L29" s="113"/>
      <c r="M29" s="100"/>
      <c r="N29" s="101"/>
      <c r="O29" s="102"/>
      <c r="P29" s="95"/>
      <c r="Q29" s="114"/>
      <c r="R29" s="115"/>
      <c r="S29" s="103" t="s">
        <v>157</v>
      </c>
      <c r="T29" s="103" t="s">
        <v>192</v>
      </c>
      <c r="V29" s="107"/>
    </row>
    <row r="30" ht="15.75" customHeight="1">
      <c r="A30" s="89"/>
      <c r="B30" s="90"/>
      <c r="C30" s="97"/>
      <c r="D30" s="95"/>
      <c r="E30" s="130"/>
      <c r="F30" s="109"/>
      <c r="G30" s="95"/>
      <c r="H30" s="96"/>
      <c r="I30" s="103"/>
      <c r="J30" s="95"/>
      <c r="K30" s="98"/>
      <c r="L30" s="99"/>
      <c r="M30" s="100"/>
      <c r="N30" s="127"/>
      <c r="O30" s="128"/>
      <c r="P30" s="95"/>
      <c r="Q30" s="103"/>
      <c r="R30" s="106"/>
      <c r="S30" s="103" t="s">
        <v>113</v>
      </c>
      <c r="T30" s="103" t="s">
        <v>193</v>
      </c>
      <c r="V30" s="107"/>
    </row>
    <row r="31" ht="15.75" customHeight="1">
      <c r="A31" s="89"/>
      <c r="B31" s="90"/>
      <c r="C31" s="130"/>
      <c r="D31" s="95"/>
      <c r="E31" s="130"/>
      <c r="F31" s="109"/>
      <c r="G31" s="95"/>
      <c r="H31" s="96"/>
      <c r="I31" s="103"/>
      <c r="J31" s="95"/>
      <c r="K31" s="98"/>
      <c r="L31" s="99"/>
      <c r="M31" s="100"/>
      <c r="N31" s="101"/>
      <c r="O31" s="102"/>
      <c r="P31" s="95"/>
      <c r="Q31" s="114"/>
      <c r="R31" s="106"/>
      <c r="S31" s="103" t="s">
        <v>157</v>
      </c>
      <c r="T31" s="103" t="s">
        <v>194</v>
      </c>
      <c r="V31" s="107"/>
    </row>
    <row r="32" ht="15.75" customHeight="1">
      <c r="A32" s="89"/>
      <c r="B32" s="90"/>
      <c r="C32" s="97"/>
      <c r="D32" s="95"/>
      <c r="E32" s="130"/>
      <c r="F32" s="109"/>
      <c r="G32" s="95"/>
      <c r="H32" s="96"/>
      <c r="I32" s="103"/>
      <c r="J32" s="95"/>
      <c r="K32" s="112"/>
      <c r="L32" s="113"/>
      <c r="M32" s="100"/>
      <c r="N32" s="101"/>
      <c r="O32" s="102"/>
      <c r="P32" s="95"/>
      <c r="Q32" s="95"/>
      <c r="R32" s="106"/>
      <c r="S32" s="103" t="s">
        <v>157</v>
      </c>
      <c r="T32" s="103" t="s">
        <v>195</v>
      </c>
      <c r="V32" s="107"/>
    </row>
    <row r="33" ht="15.75" customHeight="1">
      <c r="A33" s="89"/>
      <c r="B33" s="90"/>
      <c r="C33" s="131"/>
      <c r="D33" s="95"/>
      <c r="E33" s="130"/>
      <c r="F33" s="109"/>
      <c r="G33" s="95"/>
      <c r="H33" s="96"/>
      <c r="I33" s="103"/>
      <c r="J33" s="95"/>
      <c r="K33" s="98"/>
      <c r="L33" s="99"/>
      <c r="M33" s="100"/>
      <c r="N33" s="101"/>
      <c r="O33" s="102"/>
      <c r="P33" s="95"/>
      <c r="Q33" s="103"/>
      <c r="R33" s="106"/>
      <c r="S33" s="103" t="s">
        <v>113</v>
      </c>
      <c r="T33" s="103" t="s">
        <v>196</v>
      </c>
      <c r="V33" s="107"/>
    </row>
    <row r="34" ht="15.75" customHeight="1">
      <c r="A34" s="89"/>
      <c r="B34" s="90"/>
      <c r="C34" s="97"/>
      <c r="D34" s="95"/>
      <c r="E34" s="130"/>
      <c r="F34" s="109"/>
      <c r="G34" s="95"/>
      <c r="H34" s="96"/>
      <c r="I34" s="103"/>
      <c r="J34" s="95"/>
      <c r="K34" s="112"/>
      <c r="L34" s="113"/>
      <c r="M34" s="100"/>
      <c r="N34" s="127"/>
      <c r="O34" s="128"/>
      <c r="P34" s="95"/>
      <c r="Q34" s="95"/>
      <c r="R34" s="106"/>
      <c r="S34" s="95"/>
      <c r="T34" s="103" t="s">
        <v>197</v>
      </c>
      <c r="V34" s="107"/>
    </row>
    <row r="35" ht="15.75" customHeight="1">
      <c r="A35" s="89"/>
      <c r="B35" s="90"/>
      <c r="C35" s="97"/>
      <c r="D35" s="95"/>
      <c r="E35" s="130"/>
      <c r="F35" s="109"/>
      <c r="G35" s="95"/>
      <c r="H35" s="96"/>
      <c r="I35" s="103"/>
      <c r="J35" s="95"/>
      <c r="K35" s="98"/>
      <c r="L35" s="99"/>
      <c r="M35" s="100"/>
      <c r="N35" s="101"/>
      <c r="O35" s="128"/>
      <c r="P35" s="95"/>
      <c r="Q35" s="103"/>
      <c r="R35" s="106"/>
      <c r="S35" s="103" t="s">
        <v>113</v>
      </c>
      <c r="T35" s="103" t="s">
        <v>198</v>
      </c>
      <c r="V35" s="107"/>
    </row>
    <row r="36" ht="15.75" customHeight="1">
      <c r="A36" s="89"/>
      <c r="B36" s="132"/>
      <c r="C36" s="103"/>
      <c r="D36" s="95"/>
      <c r="E36" s="125"/>
      <c r="F36" s="126"/>
      <c r="G36" s="95"/>
      <c r="H36" s="96"/>
      <c r="I36" s="103"/>
      <c r="J36" s="95"/>
      <c r="K36" s="112"/>
      <c r="L36" s="113"/>
      <c r="M36" s="100"/>
      <c r="N36" s="127"/>
      <c r="O36" s="128"/>
      <c r="P36" s="95"/>
      <c r="Q36" s="95"/>
      <c r="R36" s="129"/>
      <c r="S36" s="95"/>
      <c r="T36" s="103"/>
      <c r="V36" s="107"/>
    </row>
    <row r="37" ht="15.75" customHeight="1">
      <c r="A37" s="89"/>
      <c r="B37" s="133"/>
      <c r="C37" s="97" t="s">
        <v>199</v>
      </c>
      <c r="D37" s="95"/>
      <c r="E37" s="125"/>
      <c r="F37" s="123"/>
      <c r="G37" s="95"/>
      <c r="H37" s="96"/>
      <c r="I37" s="103"/>
      <c r="J37" s="95"/>
      <c r="K37" s="98"/>
      <c r="L37" s="99"/>
      <c r="M37" s="100"/>
      <c r="N37" s="101"/>
      <c r="O37" s="102"/>
      <c r="P37" s="95"/>
      <c r="Q37" s="114"/>
      <c r="R37" s="106"/>
      <c r="S37" s="103"/>
      <c r="T37" s="103"/>
      <c r="V37" s="107"/>
    </row>
    <row r="38" ht="15.75" customHeight="1">
      <c r="A38" s="89"/>
      <c r="B38" s="134"/>
      <c r="C38" s="97" t="s">
        <v>200</v>
      </c>
      <c r="D38" s="95"/>
      <c r="E38" s="125"/>
      <c r="F38" s="123"/>
      <c r="G38" s="95"/>
      <c r="H38" s="96"/>
      <c r="I38" s="103"/>
      <c r="J38" s="95"/>
      <c r="K38" s="112"/>
      <c r="L38" s="113"/>
      <c r="M38" s="100"/>
      <c r="N38" s="127"/>
      <c r="O38" s="128"/>
      <c r="P38" s="95"/>
      <c r="Q38" s="135"/>
      <c r="R38" s="106"/>
      <c r="S38" s="95"/>
      <c r="V38" s="107"/>
    </row>
    <row r="39" ht="15.75" customHeight="1">
      <c r="A39" s="89"/>
      <c r="B39" s="136"/>
      <c r="C39" s="97" t="s">
        <v>201</v>
      </c>
      <c r="D39" s="95"/>
      <c r="E39" s="125"/>
      <c r="F39" s="125"/>
      <c r="G39" s="95"/>
      <c r="H39" s="96"/>
      <c r="I39" s="103"/>
      <c r="J39" s="95"/>
      <c r="K39" s="98"/>
      <c r="L39" s="99"/>
      <c r="M39" s="100"/>
      <c r="N39" s="127"/>
      <c r="O39" s="128"/>
      <c r="P39" s="95"/>
      <c r="Q39" s="114"/>
      <c r="R39" s="106"/>
      <c r="S39" s="95"/>
      <c r="T39" s="103"/>
      <c r="V39" s="107"/>
    </row>
    <row r="40" ht="15.75" customHeight="1">
      <c r="A40" s="89"/>
      <c r="B40" s="132"/>
      <c r="C40" s="97"/>
      <c r="D40" s="95"/>
      <c r="E40" s="125"/>
      <c r="F40" s="123"/>
      <c r="G40" s="95"/>
      <c r="H40" s="96"/>
      <c r="I40" s="103"/>
      <c r="J40" s="95"/>
      <c r="K40" s="112"/>
      <c r="L40" s="113"/>
      <c r="M40" s="100"/>
      <c r="N40" s="101"/>
      <c r="O40" s="102"/>
      <c r="P40" s="95"/>
      <c r="Q40" s="114"/>
      <c r="R40" s="106"/>
      <c r="S40" s="103"/>
      <c r="T40" s="103"/>
      <c r="V40" s="107"/>
    </row>
    <row r="41" ht="15.75" customHeight="1">
      <c r="A41" s="89"/>
      <c r="B41" s="132"/>
      <c r="C41" s="97"/>
      <c r="D41" s="95"/>
      <c r="E41" s="90"/>
      <c r="F41" s="126"/>
      <c r="G41" s="95"/>
      <c r="H41" s="96"/>
      <c r="I41" s="103"/>
      <c r="J41" s="95"/>
      <c r="K41" s="98"/>
      <c r="L41" s="99"/>
      <c r="M41" s="100"/>
      <c r="N41" s="127"/>
      <c r="O41" s="128"/>
      <c r="P41" s="95"/>
      <c r="Q41" s="95"/>
      <c r="R41" s="129"/>
      <c r="S41" s="95"/>
      <c r="T41" s="95"/>
      <c r="V41" s="107"/>
    </row>
    <row r="42" ht="15.75" customHeight="1">
      <c r="A42" s="89"/>
      <c r="B42" s="132"/>
      <c r="C42" s="103"/>
      <c r="D42" s="95"/>
      <c r="E42" s="125"/>
      <c r="F42" s="90"/>
      <c r="G42" s="95"/>
      <c r="H42" s="96"/>
      <c r="I42" s="103"/>
      <c r="J42" s="95"/>
      <c r="K42" s="112"/>
      <c r="L42" s="113"/>
      <c r="M42" s="100"/>
      <c r="N42" s="101"/>
      <c r="O42" s="102"/>
      <c r="P42" s="95"/>
      <c r="Q42" s="114"/>
      <c r="R42" s="106"/>
      <c r="S42" s="103"/>
      <c r="T42" s="103"/>
      <c r="V42" s="107"/>
    </row>
    <row r="43" ht="15.75" customHeight="1">
      <c r="A43" s="89"/>
      <c r="B43" s="132"/>
      <c r="C43" s="103"/>
      <c r="D43" s="95"/>
      <c r="E43" s="125"/>
      <c r="F43" s="123"/>
      <c r="G43" s="95"/>
      <c r="H43" s="96"/>
      <c r="I43" s="103"/>
      <c r="J43" s="95"/>
      <c r="K43" s="98"/>
      <c r="L43" s="99"/>
      <c r="M43" s="100"/>
      <c r="N43" s="127"/>
      <c r="O43" s="128"/>
      <c r="P43" s="95"/>
      <c r="Q43" s="137"/>
      <c r="R43" s="129"/>
      <c r="S43" s="95"/>
      <c r="T43" s="95"/>
      <c r="V43" s="107"/>
    </row>
    <row r="44" ht="15.75" customHeight="1">
      <c r="A44" s="89"/>
      <c r="B44" s="132"/>
      <c r="C44" s="103"/>
      <c r="D44" s="95"/>
      <c r="E44" s="125"/>
      <c r="F44" s="123"/>
      <c r="G44" s="95"/>
      <c r="H44" s="96"/>
      <c r="I44" s="103"/>
      <c r="J44" s="95"/>
      <c r="K44" s="112"/>
      <c r="L44" s="113"/>
      <c r="M44" s="100"/>
      <c r="N44" s="127"/>
      <c r="O44" s="128"/>
      <c r="P44" s="95"/>
      <c r="Q44" s="95"/>
      <c r="R44" s="129"/>
      <c r="S44" s="95"/>
      <c r="T44" s="95"/>
      <c r="V44" s="107"/>
    </row>
    <row r="45" ht="15.75" customHeight="1">
      <c r="A45" s="89"/>
      <c r="B45" s="132"/>
      <c r="C45" s="97"/>
      <c r="D45" s="95"/>
      <c r="E45" s="125"/>
      <c r="F45" s="123"/>
      <c r="G45" s="95"/>
      <c r="H45" s="96"/>
      <c r="I45" s="103"/>
      <c r="J45" s="95"/>
      <c r="K45" s="98"/>
      <c r="L45" s="99"/>
      <c r="M45" s="100"/>
      <c r="N45" s="127"/>
      <c r="O45" s="128"/>
      <c r="P45" s="95"/>
      <c r="Q45" s="95"/>
      <c r="R45" s="129"/>
      <c r="S45" s="95"/>
      <c r="T45" s="95"/>
      <c r="V45" s="107"/>
    </row>
    <row r="46" ht="15.75" customHeight="1">
      <c r="A46" s="89"/>
      <c r="B46" s="132"/>
      <c r="C46" s="97"/>
      <c r="D46" s="95"/>
      <c r="E46" s="125"/>
      <c r="F46" s="123"/>
      <c r="G46" s="95"/>
      <c r="H46" s="96"/>
      <c r="I46" s="103"/>
      <c r="J46" s="95"/>
      <c r="K46" s="112"/>
      <c r="L46" s="113"/>
      <c r="M46" s="100"/>
      <c r="N46" s="127"/>
      <c r="O46" s="128"/>
      <c r="P46" s="95"/>
      <c r="Q46" s="95"/>
      <c r="R46" s="129"/>
      <c r="S46" s="95"/>
      <c r="T46" s="95"/>
      <c r="V46" s="107"/>
    </row>
    <row r="47" ht="15.75" customHeight="1">
      <c r="A47" s="89"/>
      <c r="B47" s="132"/>
      <c r="C47" s="97"/>
      <c r="D47" s="95"/>
      <c r="E47" s="125"/>
      <c r="F47" s="123"/>
      <c r="G47" s="95"/>
      <c r="H47" s="96"/>
      <c r="I47" s="103"/>
      <c r="J47" s="95"/>
      <c r="K47" s="98"/>
      <c r="L47" s="99"/>
      <c r="M47" s="100"/>
      <c r="N47" s="101"/>
      <c r="O47" s="102"/>
      <c r="P47" s="95"/>
      <c r="Q47" s="114"/>
      <c r="R47" s="115"/>
      <c r="S47" s="103"/>
      <c r="T47" s="103"/>
      <c r="V47" s="107"/>
    </row>
    <row r="48" ht="15.75" customHeight="1">
      <c r="A48" s="89"/>
      <c r="B48" s="132"/>
      <c r="C48" s="97"/>
      <c r="D48" s="95"/>
      <c r="E48" s="125"/>
      <c r="F48" s="123"/>
      <c r="G48" s="95"/>
      <c r="H48" s="96"/>
      <c r="I48" s="103"/>
      <c r="J48" s="95"/>
      <c r="K48" s="112"/>
      <c r="L48" s="113"/>
      <c r="M48" s="100"/>
      <c r="N48" s="101"/>
      <c r="O48" s="102"/>
      <c r="P48" s="95"/>
      <c r="Q48" s="135"/>
      <c r="R48" s="106"/>
      <c r="S48" s="103"/>
      <c r="T48" s="103"/>
      <c r="V48" s="107"/>
    </row>
    <row r="49" ht="15.75" customHeight="1">
      <c r="A49" s="89"/>
      <c r="B49" s="132"/>
      <c r="C49" s="97"/>
      <c r="D49" s="95"/>
      <c r="E49" s="125"/>
      <c r="F49" s="123"/>
      <c r="G49" s="95"/>
      <c r="H49" s="96"/>
      <c r="I49" s="103"/>
      <c r="J49" s="95"/>
      <c r="K49" s="98"/>
      <c r="L49" s="99"/>
      <c r="M49" s="100"/>
      <c r="N49" s="101"/>
      <c r="O49" s="102"/>
      <c r="P49" s="95"/>
      <c r="Q49" s="135"/>
      <c r="R49" s="106"/>
      <c r="S49" s="103"/>
      <c r="T49" s="103"/>
      <c r="V49" s="107"/>
    </row>
    <row r="50" ht="15.75" customHeight="1">
      <c r="A50" s="89"/>
      <c r="B50" s="132"/>
      <c r="C50" s="103"/>
      <c r="D50" s="95"/>
      <c r="E50" s="125"/>
      <c r="F50" s="126"/>
      <c r="G50" s="95"/>
      <c r="H50" s="96"/>
      <c r="I50" s="103"/>
      <c r="J50" s="95"/>
      <c r="K50" s="112"/>
      <c r="L50" s="113"/>
      <c r="M50" s="100"/>
      <c r="N50" s="127"/>
      <c r="O50" s="128"/>
      <c r="P50" s="95"/>
      <c r="Q50" s="95"/>
      <c r="R50" s="129"/>
      <c r="S50" s="95"/>
      <c r="T50" s="103"/>
      <c r="V50" s="107"/>
    </row>
    <row r="51" ht="15.75" customHeight="1">
      <c r="A51" s="89"/>
      <c r="B51" s="132"/>
      <c r="C51" s="103"/>
      <c r="D51" s="95"/>
      <c r="E51" s="125"/>
      <c r="F51" s="138"/>
      <c r="G51" s="95"/>
      <c r="H51" s="96"/>
      <c r="I51" s="103"/>
      <c r="J51" s="95"/>
      <c r="K51" s="98"/>
      <c r="L51" s="99"/>
      <c r="M51" s="100"/>
      <c r="N51" s="101"/>
      <c r="O51" s="102"/>
      <c r="P51" s="95"/>
      <c r="Q51" s="137"/>
      <c r="R51" s="129"/>
      <c r="S51" s="103"/>
      <c r="T51" s="103"/>
      <c r="V51" s="107"/>
    </row>
    <row r="52" ht="15.75" customHeight="1">
      <c r="A52" s="89"/>
      <c r="B52" s="132"/>
      <c r="C52" s="103"/>
      <c r="D52" s="95"/>
      <c r="E52" s="125"/>
      <c r="F52" s="123"/>
      <c r="G52" s="95"/>
      <c r="H52" s="96"/>
      <c r="I52" s="103"/>
      <c r="J52" s="95"/>
      <c r="K52" s="112"/>
      <c r="L52" s="113"/>
      <c r="M52" s="100"/>
      <c r="N52" s="127"/>
      <c r="O52" s="128"/>
      <c r="P52" s="95"/>
      <c r="Q52" s="137"/>
      <c r="R52" s="129"/>
      <c r="S52" s="95"/>
      <c r="T52" s="95"/>
      <c r="V52" s="107"/>
    </row>
    <row r="53" ht="15.75" customHeight="1">
      <c r="A53" s="89"/>
      <c r="B53" s="132"/>
      <c r="C53" s="97"/>
      <c r="D53" s="95"/>
      <c r="E53" s="125"/>
      <c r="F53" s="123"/>
      <c r="G53" s="95"/>
      <c r="H53" s="96"/>
      <c r="I53" s="103"/>
      <c r="J53" s="95"/>
      <c r="K53" s="98"/>
      <c r="L53" s="99"/>
      <c r="M53" s="100"/>
      <c r="N53" s="127"/>
      <c r="O53" s="128"/>
      <c r="P53" s="95"/>
      <c r="Q53" s="135"/>
      <c r="R53" s="106"/>
      <c r="S53" s="95"/>
      <c r="T53" s="103"/>
      <c r="V53" s="107"/>
    </row>
    <row r="54" ht="15.75" customHeight="1">
      <c r="A54" s="89"/>
      <c r="B54" s="132"/>
      <c r="C54" s="96"/>
      <c r="D54" s="95"/>
      <c r="E54" s="125"/>
      <c r="F54" s="123"/>
      <c r="G54" s="95"/>
      <c r="H54" s="96"/>
      <c r="I54" s="103"/>
      <c r="J54" s="95"/>
      <c r="K54" s="112"/>
      <c r="L54" s="113"/>
      <c r="M54" s="100"/>
      <c r="N54" s="101"/>
      <c r="O54" s="102"/>
      <c r="P54" s="95"/>
      <c r="Q54" s="135"/>
      <c r="R54" s="139"/>
      <c r="S54" s="103"/>
      <c r="T54" s="103"/>
      <c r="V54" s="107"/>
    </row>
    <row r="55" ht="15.75" customHeight="1">
      <c r="A55" s="89"/>
      <c r="B55" s="132"/>
      <c r="C55" s="96"/>
      <c r="D55" s="95"/>
      <c r="E55" s="125"/>
      <c r="F55" s="126"/>
      <c r="G55" s="95"/>
      <c r="H55" s="96"/>
      <c r="I55" s="103"/>
      <c r="J55" s="95"/>
      <c r="K55" s="98"/>
      <c r="L55" s="99"/>
      <c r="M55" s="100"/>
      <c r="N55" s="101"/>
      <c r="O55" s="102"/>
      <c r="P55" s="95"/>
      <c r="Q55" s="135"/>
      <c r="R55" s="106"/>
      <c r="S55" s="103"/>
      <c r="T55" s="103"/>
      <c r="V55" s="107"/>
    </row>
    <row r="56" ht="15.75" customHeight="1">
      <c r="A56" s="89"/>
      <c r="B56" s="132"/>
      <c r="C56" s="96"/>
      <c r="D56" s="95"/>
      <c r="E56" s="125"/>
      <c r="F56" s="123"/>
      <c r="G56" s="95"/>
      <c r="H56" s="96"/>
      <c r="I56" s="103"/>
      <c r="J56" s="95"/>
      <c r="K56" s="112"/>
      <c r="L56" s="113"/>
      <c r="M56" s="100"/>
      <c r="N56" s="127"/>
      <c r="O56" s="128"/>
      <c r="P56" s="95"/>
      <c r="Q56" s="114"/>
      <c r="R56" s="106"/>
      <c r="S56" s="95"/>
      <c r="T56" s="103"/>
      <c r="V56" s="107"/>
    </row>
    <row r="57" ht="15.75" customHeight="1">
      <c r="A57" s="89"/>
      <c r="B57" s="132"/>
      <c r="C57" s="96"/>
      <c r="D57" s="95"/>
      <c r="E57" s="125"/>
      <c r="F57" s="123"/>
      <c r="G57" s="95"/>
      <c r="H57" s="96"/>
      <c r="I57" s="103"/>
      <c r="J57" s="95"/>
      <c r="K57" s="98"/>
      <c r="L57" s="99"/>
      <c r="M57" s="100"/>
      <c r="N57" s="127"/>
      <c r="O57" s="128"/>
      <c r="P57" s="95"/>
      <c r="Q57" s="137"/>
      <c r="R57" s="129"/>
      <c r="S57" s="95"/>
      <c r="T57" s="103"/>
      <c r="V57" s="107"/>
    </row>
    <row r="58" ht="15.75" customHeight="1">
      <c r="A58" s="89"/>
      <c r="B58" s="132"/>
      <c r="C58" s="106"/>
      <c r="D58" s="95"/>
      <c r="E58" s="125"/>
      <c r="F58" s="123"/>
      <c r="G58" s="95"/>
      <c r="H58" s="96"/>
      <c r="I58" s="103"/>
      <c r="J58" s="95"/>
      <c r="K58" s="112"/>
      <c r="L58" s="113"/>
      <c r="M58" s="100"/>
      <c r="N58" s="101"/>
      <c r="O58" s="102"/>
      <c r="P58" s="95"/>
      <c r="Q58" s="114"/>
      <c r="R58" s="106"/>
      <c r="S58" s="103"/>
      <c r="T58" s="103"/>
      <c r="V58" s="107"/>
    </row>
    <row r="59" ht="15.75" customHeight="1">
      <c r="A59" s="89"/>
      <c r="B59" s="132"/>
      <c r="C59" s="106"/>
      <c r="D59" s="95"/>
      <c r="E59" s="125"/>
      <c r="F59" s="123"/>
      <c r="G59" s="95"/>
      <c r="H59" s="96"/>
      <c r="I59" s="103"/>
      <c r="J59" s="95"/>
      <c r="K59" s="98"/>
      <c r="L59" s="99"/>
      <c r="M59" s="100"/>
      <c r="N59" s="127"/>
      <c r="O59" s="128"/>
      <c r="P59" s="95"/>
      <c r="Q59" s="95"/>
      <c r="R59" s="129"/>
      <c r="S59" s="95"/>
      <c r="T59" s="95"/>
      <c r="V59" s="107"/>
    </row>
    <row r="60" ht="15.75" customHeight="1">
      <c r="A60" s="89"/>
      <c r="B60" s="132"/>
      <c r="C60" s="106"/>
      <c r="D60" s="95"/>
      <c r="E60" s="90"/>
      <c r="F60" s="123"/>
      <c r="G60" s="95"/>
      <c r="H60" s="96"/>
      <c r="I60" s="103"/>
      <c r="J60" s="95"/>
      <c r="K60" s="112"/>
      <c r="L60" s="113"/>
      <c r="M60" s="100"/>
      <c r="N60" s="127"/>
      <c r="O60" s="128"/>
      <c r="P60" s="95"/>
      <c r="Q60" s="114"/>
      <c r="R60" s="106"/>
      <c r="S60" s="95"/>
      <c r="T60" s="103"/>
      <c r="V60" s="107"/>
    </row>
    <row r="61" ht="15.75" customHeight="1">
      <c r="A61" s="89"/>
      <c r="B61" s="132"/>
      <c r="C61" s="96"/>
      <c r="D61" s="95"/>
      <c r="E61" s="125"/>
      <c r="F61" s="126"/>
      <c r="G61" s="95"/>
      <c r="H61" s="96"/>
      <c r="I61" s="103"/>
      <c r="J61" s="95"/>
      <c r="K61" s="98"/>
      <c r="L61" s="99"/>
      <c r="M61" s="100"/>
      <c r="N61" s="127"/>
      <c r="O61" s="128"/>
      <c r="P61" s="95"/>
      <c r="Q61" s="95"/>
      <c r="R61" s="129"/>
      <c r="S61" s="95"/>
      <c r="T61" s="95"/>
      <c r="V61" s="107"/>
    </row>
    <row r="62" ht="15.75" customHeight="1">
      <c r="A62" s="89"/>
      <c r="B62" s="132"/>
      <c r="C62" s="96"/>
      <c r="D62" s="95"/>
      <c r="E62" s="125"/>
      <c r="F62" s="123"/>
      <c r="G62" s="95"/>
      <c r="H62" s="96"/>
      <c r="I62" s="103"/>
      <c r="J62" s="95"/>
      <c r="K62" s="112"/>
      <c r="L62" s="113"/>
      <c r="M62" s="100"/>
      <c r="N62" s="127"/>
      <c r="O62" s="128"/>
      <c r="P62" s="95"/>
      <c r="Q62" s="95"/>
      <c r="R62" s="129"/>
      <c r="S62" s="95"/>
      <c r="T62" s="95"/>
      <c r="V62" s="107"/>
    </row>
    <row r="63" ht="15.75" customHeight="1">
      <c r="A63" s="89"/>
      <c r="B63" s="132"/>
      <c r="C63" s="140"/>
      <c r="D63" s="95"/>
      <c r="E63" s="125"/>
      <c r="F63" s="126"/>
      <c r="G63" s="95"/>
      <c r="H63" s="96"/>
      <c r="I63" s="103"/>
      <c r="J63" s="95"/>
      <c r="K63" s="98"/>
      <c r="L63" s="99"/>
      <c r="M63" s="100"/>
      <c r="N63" s="127"/>
      <c r="O63" s="128"/>
      <c r="P63" s="95"/>
      <c r="Q63" s="95"/>
      <c r="R63" s="129"/>
      <c r="S63" s="95"/>
      <c r="T63" s="95"/>
      <c r="V63" s="107"/>
    </row>
    <row r="64" ht="15.75" customHeight="1">
      <c r="A64" s="89"/>
      <c r="B64" s="132"/>
      <c r="C64" s="141"/>
      <c r="D64" s="95"/>
      <c r="E64" s="125"/>
      <c r="F64" s="123"/>
      <c r="G64" s="95"/>
      <c r="H64" s="96"/>
      <c r="I64" s="103"/>
      <c r="J64" s="95"/>
      <c r="K64" s="112"/>
      <c r="L64" s="113"/>
      <c r="M64" s="100"/>
      <c r="N64" s="101"/>
      <c r="O64" s="102"/>
      <c r="P64" s="95"/>
      <c r="Q64" s="114"/>
      <c r="R64" s="115"/>
      <c r="S64" s="103"/>
      <c r="T64" s="103"/>
      <c r="V64" s="107"/>
    </row>
    <row r="65" ht="15.75" customHeight="1">
      <c r="A65" s="89"/>
      <c r="B65" s="132"/>
      <c r="C65" s="97"/>
      <c r="D65" s="95"/>
      <c r="E65" s="125"/>
      <c r="F65" s="123"/>
      <c r="G65" s="95"/>
      <c r="H65" s="96"/>
      <c r="I65" s="103"/>
      <c r="J65" s="95"/>
      <c r="K65" s="98"/>
      <c r="L65" s="99"/>
      <c r="M65" s="100"/>
      <c r="N65" s="101"/>
      <c r="O65" s="102"/>
      <c r="P65" s="95"/>
      <c r="Q65" s="135"/>
      <c r="R65" s="115"/>
      <c r="S65" s="103"/>
      <c r="T65" s="103"/>
      <c r="V65" s="107"/>
    </row>
    <row r="66" ht="15.75" customHeight="1">
      <c r="A66" s="89"/>
      <c r="B66" s="132"/>
      <c r="C66" s="106"/>
      <c r="D66" s="95"/>
      <c r="E66" s="125"/>
      <c r="F66" s="123"/>
      <c r="G66" s="95"/>
      <c r="H66" s="96"/>
      <c r="I66" s="103"/>
      <c r="J66" s="95"/>
      <c r="K66" s="112"/>
      <c r="L66" s="113"/>
      <c r="M66" s="100"/>
      <c r="N66" s="127"/>
      <c r="O66" s="128"/>
      <c r="P66" s="95"/>
      <c r="Q66" s="95"/>
      <c r="R66" s="129"/>
      <c r="S66" s="95"/>
      <c r="T66" s="95"/>
      <c r="V66" s="107"/>
    </row>
    <row r="67" ht="15.75" customHeight="1">
      <c r="A67" s="89"/>
      <c r="B67" s="132"/>
      <c r="C67" s="106"/>
      <c r="D67" s="95"/>
      <c r="E67" s="90"/>
      <c r="F67" s="123"/>
      <c r="G67" s="95"/>
      <c r="H67" s="96"/>
      <c r="I67" s="103"/>
      <c r="J67" s="95"/>
      <c r="K67" s="98"/>
      <c r="L67" s="99"/>
      <c r="M67" s="100"/>
      <c r="N67" s="127"/>
      <c r="O67" s="128"/>
      <c r="P67" s="95"/>
      <c r="Q67" s="135"/>
      <c r="R67" s="106"/>
      <c r="S67" s="103"/>
      <c r="T67" s="103"/>
      <c r="V67" s="107"/>
    </row>
    <row r="68" ht="15.75" customHeight="1">
      <c r="A68" s="89"/>
      <c r="B68" s="132"/>
      <c r="C68" s="106"/>
      <c r="D68" s="95"/>
      <c r="E68" s="90"/>
      <c r="F68" s="123"/>
      <c r="G68" s="95"/>
      <c r="H68" s="96"/>
      <c r="I68" s="103"/>
      <c r="J68" s="95"/>
      <c r="K68" s="112"/>
      <c r="L68" s="113"/>
      <c r="M68" s="100"/>
      <c r="N68" s="127"/>
      <c r="O68" s="128"/>
      <c r="P68" s="95"/>
      <c r="Q68" s="135"/>
      <c r="R68" s="129"/>
      <c r="S68" s="95"/>
      <c r="T68" s="103"/>
      <c r="V68" s="107"/>
    </row>
    <row r="69" ht="15.75" customHeight="1">
      <c r="A69" s="89"/>
      <c r="B69" s="132"/>
      <c r="C69" s="96"/>
      <c r="D69" s="95"/>
      <c r="E69" s="90"/>
      <c r="F69" s="126"/>
      <c r="G69" s="95"/>
      <c r="H69" s="96"/>
      <c r="I69" s="103"/>
      <c r="J69" s="95"/>
      <c r="K69" s="98"/>
      <c r="L69" s="99"/>
      <c r="M69" s="100"/>
      <c r="N69" s="127"/>
      <c r="O69" s="128"/>
      <c r="P69" s="95"/>
      <c r="Q69" s="114"/>
      <c r="R69" s="106"/>
      <c r="S69" s="103"/>
      <c r="T69" s="103"/>
      <c r="V69" s="107"/>
    </row>
    <row r="70" ht="15.75" customHeight="1">
      <c r="A70" s="89"/>
      <c r="B70" s="132"/>
      <c r="C70" s="96"/>
      <c r="D70" s="95"/>
      <c r="E70" s="90"/>
      <c r="F70" s="123"/>
      <c r="G70" s="95"/>
      <c r="H70" s="96"/>
      <c r="I70" s="103"/>
      <c r="J70" s="95"/>
      <c r="K70" s="112"/>
      <c r="L70" s="113"/>
      <c r="M70" s="100"/>
      <c r="N70" s="127"/>
      <c r="O70" s="128"/>
      <c r="P70" s="95"/>
      <c r="Q70" s="137"/>
      <c r="R70" s="129"/>
      <c r="S70" s="95"/>
      <c r="T70" s="95"/>
      <c r="V70" s="107"/>
    </row>
    <row r="71" ht="15.75" customHeight="1">
      <c r="A71" s="89"/>
      <c r="B71" s="132"/>
      <c r="C71" s="96"/>
      <c r="D71" s="95"/>
      <c r="E71" s="90"/>
      <c r="F71" s="123"/>
      <c r="G71" s="95"/>
      <c r="H71" s="96"/>
      <c r="I71" s="103"/>
      <c r="J71" s="95"/>
      <c r="K71" s="98"/>
      <c r="L71" s="99"/>
      <c r="M71" s="100"/>
      <c r="N71" s="127"/>
      <c r="O71" s="128"/>
      <c r="P71" s="95"/>
      <c r="Q71" s="135"/>
      <c r="R71" s="106"/>
      <c r="S71" s="103"/>
      <c r="T71" s="103"/>
      <c r="V71" s="107"/>
    </row>
    <row r="72" ht="15.75" customHeight="1">
      <c r="A72" s="89"/>
      <c r="B72" s="132"/>
      <c r="C72" s="96"/>
      <c r="D72" s="95"/>
      <c r="E72" s="125"/>
      <c r="F72" s="123"/>
      <c r="G72" s="95"/>
      <c r="H72" s="96"/>
      <c r="I72" s="103"/>
      <c r="J72" s="95"/>
      <c r="K72" s="112"/>
      <c r="L72" s="113"/>
      <c r="M72" s="100"/>
      <c r="N72" s="101"/>
      <c r="O72" s="128"/>
      <c r="P72" s="95"/>
      <c r="Q72" s="135"/>
      <c r="R72" s="106"/>
      <c r="S72" s="103"/>
      <c r="T72" s="103"/>
      <c r="V72" s="107"/>
    </row>
    <row r="73" ht="15.75" customHeight="1">
      <c r="A73" s="89"/>
      <c r="B73" s="132"/>
      <c r="C73" s="96"/>
      <c r="D73" s="95"/>
      <c r="E73" s="125"/>
      <c r="F73" s="126"/>
      <c r="G73" s="95"/>
      <c r="H73" s="96"/>
      <c r="I73" s="103"/>
      <c r="J73" s="95"/>
      <c r="K73" s="98"/>
      <c r="L73" s="99"/>
      <c r="M73" s="100"/>
      <c r="N73" s="101"/>
      <c r="O73" s="128"/>
      <c r="P73" s="95"/>
      <c r="Q73" s="114"/>
      <c r="R73" s="106"/>
      <c r="S73" s="103"/>
      <c r="T73" s="103"/>
      <c r="V73" s="107"/>
    </row>
    <row r="74" ht="15.75" customHeight="1">
      <c r="A74" s="89"/>
      <c r="B74" s="132"/>
      <c r="C74" s="106"/>
      <c r="D74" s="95"/>
      <c r="E74" s="125"/>
      <c r="F74" s="123"/>
      <c r="G74" s="95"/>
      <c r="H74" s="96"/>
      <c r="I74" s="103"/>
      <c r="J74" s="95"/>
      <c r="K74" s="112"/>
      <c r="L74" s="113"/>
      <c r="M74" s="100"/>
      <c r="N74" s="101"/>
      <c r="O74" s="128"/>
      <c r="P74" s="95"/>
      <c r="Q74" s="114"/>
      <c r="R74" s="106"/>
      <c r="S74" s="103"/>
      <c r="T74" s="103"/>
      <c r="V74" s="107"/>
    </row>
    <row r="75" ht="15.75" customHeight="1">
      <c r="A75" s="89"/>
      <c r="B75" s="132"/>
      <c r="C75" s="106"/>
      <c r="D75" s="95"/>
      <c r="E75" s="125"/>
      <c r="F75" s="123"/>
      <c r="G75" s="95"/>
      <c r="H75" s="96"/>
      <c r="I75" s="103"/>
      <c r="J75" s="95"/>
      <c r="K75" s="98"/>
      <c r="L75" s="99"/>
      <c r="M75" s="100"/>
      <c r="N75" s="127"/>
      <c r="O75" s="128"/>
      <c r="P75" s="95"/>
      <c r="Q75" s="137"/>
      <c r="R75" s="129"/>
      <c r="S75" s="95"/>
      <c r="T75" s="95"/>
      <c r="V75" s="107"/>
    </row>
    <row r="76" ht="15.75" customHeight="1">
      <c r="A76" s="89"/>
      <c r="B76" s="132"/>
      <c r="C76" s="96"/>
      <c r="D76" s="95"/>
      <c r="E76" s="125"/>
      <c r="F76" s="123"/>
      <c r="G76" s="95"/>
      <c r="H76" s="96"/>
      <c r="I76" s="103"/>
      <c r="J76" s="95"/>
      <c r="K76" s="112"/>
      <c r="L76" s="113"/>
      <c r="M76" s="100"/>
      <c r="N76" s="101"/>
      <c r="O76" s="128"/>
      <c r="P76" s="95"/>
      <c r="Q76" s="114"/>
      <c r="R76" s="106"/>
      <c r="S76" s="103"/>
      <c r="T76" s="103"/>
      <c r="V76" s="107"/>
    </row>
    <row r="77" ht="15.75" customHeight="1">
      <c r="A77" s="89"/>
      <c r="B77" s="132"/>
      <c r="C77" s="96"/>
      <c r="D77" s="95"/>
      <c r="E77" s="90"/>
      <c r="F77" s="123"/>
      <c r="G77" s="95"/>
      <c r="H77" s="96"/>
      <c r="I77" s="103"/>
      <c r="J77" s="95"/>
      <c r="K77" s="98"/>
      <c r="L77" s="99"/>
      <c r="M77" s="100"/>
      <c r="N77" s="127"/>
      <c r="O77" s="128"/>
      <c r="P77" s="95"/>
      <c r="Q77" s="137"/>
      <c r="R77" s="129"/>
      <c r="S77" s="95"/>
      <c r="T77" s="95"/>
      <c r="V77" s="107"/>
    </row>
    <row r="78" ht="15.75" customHeight="1">
      <c r="A78" s="89"/>
      <c r="B78" s="132"/>
      <c r="C78" s="96"/>
      <c r="D78" s="95"/>
      <c r="E78" s="125"/>
      <c r="F78" s="123"/>
      <c r="G78" s="95"/>
      <c r="H78" s="96"/>
      <c r="I78" s="103"/>
      <c r="J78" s="95"/>
      <c r="K78" s="112"/>
      <c r="L78" s="113"/>
      <c r="M78" s="100"/>
      <c r="N78" s="101"/>
      <c r="O78" s="128"/>
      <c r="P78" s="95"/>
      <c r="Q78" s="114"/>
      <c r="R78" s="106"/>
      <c r="S78" s="103"/>
      <c r="T78" s="103"/>
      <c r="V78" s="107"/>
    </row>
    <row r="79" ht="15.75" customHeight="1">
      <c r="A79" s="89"/>
      <c r="B79" s="132"/>
      <c r="C79" s="96"/>
      <c r="D79" s="95"/>
      <c r="E79" s="125"/>
      <c r="F79" s="123"/>
      <c r="G79" s="95"/>
      <c r="H79" s="96"/>
      <c r="I79" s="103"/>
      <c r="J79" s="95"/>
      <c r="K79" s="98"/>
      <c r="L79" s="99"/>
      <c r="M79" s="100"/>
      <c r="N79" s="127"/>
      <c r="O79" s="128"/>
      <c r="P79" s="95"/>
      <c r="Q79" s="137"/>
      <c r="R79" s="129"/>
      <c r="S79" s="95"/>
      <c r="T79" s="95"/>
      <c r="V79" s="107"/>
    </row>
    <row r="80" ht="15.75" customHeight="1">
      <c r="A80" s="89"/>
      <c r="B80" s="132"/>
      <c r="C80" s="96"/>
      <c r="D80" s="95"/>
      <c r="E80" s="125"/>
      <c r="F80" s="123"/>
      <c r="G80" s="95"/>
      <c r="H80" s="96"/>
      <c r="I80" s="103"/>
      <c r="J80" s="95"/>
      <c r="K80" s="112"/>
      <c r="L80" s="113"/>
      <c r="M80" s="100"/>
      <c r="N80" s="101"/>
      <c r="O80" s="102"/>
      <c r="P80" s="95"/>
      <c r="Q80" s="135"/>
      <c r="R80" s="106"/>
      <c r="S80" s="103"/>
      <c r="T80" s="103"/>
      <c r="V80" s="107"/>
    </row>
    <row r="81" ht="15.75" customHeight="1">
      <c r="A81" s="89"/>
      <c r="B81" s="132"/>
      <c r="C81" s="106"/>
      <c r="D81" s="95"/>
      <c r="E81" s="125"/>
      <c r="F81" s="123"/>
      <c r="G81" s="95"/>
      <c r="H81" s="96"/>
      <c r="I81" s="103"/>
      <c r="J81" s="95"/>
      <c r="K81" s="98"/>
      <c r="L81" s="99"/>
      <c r="M81" s="100"/>
      <c r="N81" s="101"/>
      <c r="O81" s="102"/>
      <c r="P81" s="95"/>
      <c r="Q81" s="114"/>
      <c r="R81" s="142"/>
      <c r="S81" s="103"/>
      <c r="T81" s="103"/>
      <c r="V81" s="107"/>
    </row>
    <row r="82" ht="15.75" customHeight="1">
      <c r="A82" s="89"/>
      <c r="B82" s="132"/>
      <c r="C82" s="106"/>
      <c r="D82" s="95"/>
      <c r="E82" s="125"/>
      <c r="F82" s="123"/>
      <c r="G82" s="95"/>
      <c r="H82" s="96"/>
      <c r="I82" s="103"/>
      <c r="J82" s="95"/>
      <c r="K82" s="112"/>
      <c r="L82" s="113"/>
      <c r="M82" s="100"/>
      <c r="N82" s="101"/>
      <c r="O82" s="102"/>
      <c r="P82" s="95"/>
      <c r="Q82" s="114"/>
      <c r="R82" s="106"/>
      <c r="S82" s="103"/>
      <c r="T82" s="103"/>
      <c r="V82" s="107"/>
    </row>
    <row r="83" ht="15.75" customHeight="1">
      <c r="A83" s="89"/>
      <c r="B83" s="132"/>
      <c r="C83" s="96"/>
      <c r="D83" s="95"/>
      <c r="E83" s="125"/>
      <c r="F83" s="123"/>
      <c r="G83" s="95"/>
      <c r="H83" s="96"/>
      <c r="I83" s="103"/>
      <c r="J83" s="95"/>
      <c r="K83" s="98"/>
      <c r="L83" s="99"/>
      <c r="M83" s="100"/>
      <c r="N83" s="127"/>
      <c r="O83" s="128"/>
      <c r="P83" s="95"/>
      <c r="Q83" s="137"/>
      <c r="R83" s="129"/>
      <c r="S83" s="95"/>
      <c r="T83" s="95"/>
      <c r="V83" s="107"/>
    </row>
    <row r="84" ht="15.75" customHeight="1">
      <c r="A84" s="89"/>
      <c r="B84" s="132"/>
      <c r="C84" s="96"/>
      <c r="D84" s="95"/>
      <c r="E84" s="125"/>
      <c r="F84" s="123"/>
      <c r="G84" s="95"/>
      <c r="H84" s="96"/>
      <c r="I84" s="103"/>
      <c r="J84" s="95"/>
      <c r="K84" s="112"/>
      <c r="L84" s="113"/>
      <c r="M84" s="100"/>
      <c r="N84" s="127"/>
      <c r="O84" s="128"/>
      <c r="P84" s="95"/>
      <c r="Q84" s="95"/>
      <c r="R84" s="129"/>
      <c r="S84" s="95"/>
      <c r="T84" s="95"/>
      <c r="V84" s="107"/>
    </row>
    <row r="85" ht="15.75" customHeight="1">
      <c r="A85" s="89"/>
      <c r="B85" s="132"/>
      <c r="C85" s="143"/>
      <c r="D85" s="95"/>
      <c r="E85" s="125"/>
      <c r="F85" s="123"/>
      <c r="G85" s="95"/>
      <c r="H85" s="96"/>
      <c r="I85" s="103"/>
      <c r="J85" s="95"/>
      <c r="K85" s="98"/>
      <c r="L85" s="99"/>
      <c r="M85" s="100"/>
      <c r="N85" s="127"/>
      <c r="O85" s="128"/>
      <c r="P85" s="95"/>
      <c r="Q85" s="137"/>
      <c r="R85" s="129"/>
      <c r="S85" s="95"/>
      <c r="T85" s="95"/>
      <c r="V85" s="107"/>
    </row>
    <row r="86" ht="15.75" customHeight="1">
      <c r="A86" s="89"/>
      <c r="B86" s="132"/>
      <c r="C86" s="97"/>
      <c r="D86" s="95"/>
      <c r="E86" s="125"/>
      <c r="F86" s="123"/>
      <c r="G86" s="95"/>
      <c r="H86" s="96"/>
      <c r="I86" s="103"/>
      <c r="J86" s="95"/>
      <c r="K86" s="112"/>
      <c r="L86" s="113"/>
      <c r="M86" s="100"/>
      <c r="N86" s="101"/>
      <c r="O86" s="102"/>
      <c r="P86" s="95"/>
      <c r="Q86" s="135"/>
      <c r="R86" s="115"/>
      <c r="S86" s="103"/>
      <c r="T86" s="103"/>
      <c r="V86" s="107"/>
    </row>
    <row r="87" ht="15.75" customHeight="1">
      <c r="A87" s="89"/>
      <c r="B87" s="132"/>
      <c r="C87" s="96"/>
      <c r="D87" s="95"/>
      <c r="E87" s="125"/>
      <c r="F87" s="123"/>
      <c r="G87" s="95"/>
      <c r="H87" s="96"/>
      <c r="I87" s="103"/>
      <c r="J87" s="95"/>
      <c r="K87" s="98"/>
      <c r="L87" s="99"/>
      <c r="M87" s="100"/>
      <c r="N87" s="127"/>
      <c r="O87" s="102"/>
      <c r="P87" s="95"/>
      <c r="Q87" s="137"/>
      <c r="R87" s="106"/>
      <c r="S87" s="103"/>
      <c r="T87" s="103"/>
      <c r="V87" s="107"/>
    </row>
    <row r="88" ht="15.75" customHeight="1">
      <c r="A88" s="89"/>
      <c r="B88" s="132"/>
      <c r="C88" s="96"/>
      <c r="D88" s="95"/>
      <c r="E88" s="125"/>
      <c r="F88" s="123"/>
      <c r="G88" s="95"/>
      <c r="H88" s="96"/>
      <c r="I88" s="103"/>
      <c r="J88" s="95"/>
      <c r="K88" s="112"/>
      <c r="L88" s="113"/>
      <c r="M88" s="100"/>
      <c r="N88" s="101"/>
      <c r="O88" s="102"/>
      <c r="P88" s="95"/>
      <c r="Q88" s="114"/>
      <c r="R88" s="106"/>
      <c r="S88" s="103"/>
      <c r="T88" s="103"/>
      <c r="V88" s="107"/>
    </row>
    <row r="89" ht="15.75" customHeight="1">
      <c r="A89" s="89"/>
      <c r="B89" s="132"/>
      <c r="C89" s="96"/>
      <c r="D89" s="95"/>
      <c r="E89" s="125"/>
      <c r="F89" s="123"/>
      <c r="G89" s="95"/>
      <c r="H89" s="96"/>
      <c r="I89" s="103"/>
      <c r="J89" s="95"/>
      <c r="K89" s="98"/>
      <c r="L89" s="99"/>
      <c r="M89" s="100"/>
      <c r="N89" s="127"/>
      <c r="O89" s="128"/>
      <c r="P89" s="95"/>
      <c r="Q89" s="95"/>
      <c r="R89" s="129"/>
      <c r="S89" s="95"/>
      <c r="T89" s="95"/>
      <c r="V89" s="107"/>
    </row>
    <row r="90" ht="15.75" customHeight="1">
      <c r="A90" s="89"/>
      <c r="B90" s="132"/>
      <c r="C90" s="144"/>
      <c r="D90" s="95"/>
      <c r="E90" s="125"/>
      <c r="F90" s="145"/>
      <c r="G90" s="95"/>
      <c r="H90" s="96"/>
      <c r="I90" s="103"/>
      <c r="J90" s="95"/>
      <c r="K90" s="112"/>
      <c r="L90" s="113"/>
      <c r="M90" s="100"/>
      <c r="N90" s="101"/>
      <c r="O90" s="102"/>
      <c r="P90" s="95"/>
      <c r="Q90" s="103"/>
      <c r="R90" s="106"/>
      <c r="S90" s="103"/>
      <c r="T90" s="103"/>
      <c r="V90" s="107"/>
    </row>
    <row r="91" ht="15.75" customHeight="1">
      <c r="A91" s="89"/>
      <c r="B91" s="132"/>
      <c r="C91" s="146"/>
      <c r="D91" s="95"/>
      <c r="E91" s="125"/>
      <c r="F91" s="123"/>
      <c r="G91" s="95"/>
      <c r="H91" s="96"/>
      <c r="I91" s="103"/>
      <c r="J91" s="95"/>
      <c r="K91" s="98"/>
      <c r="L91" s="99"/>
      <c r="M91" s="100"/>
      <c r="N91" s="127"/>
      <c r="O91" s="128"/>
      <c r="P91" s="95"/>
      <c r="Q91" s="95"/>
      <c r="R91" s="129"/>
      <c r="S91" s="95"/>
      <c r="T91" s="95"/>
      <c r="V91" s="107"/>
    </row>
    <row r="92" ht="15.75" customHeight="1">
      <c r="A92" s="89"/>
      <c r="B92" s="132"/>
      <c r="C92" s="144"/>
      <c r="D92" s="95"/>
      <c r="E92" s="125"/>
      <c r="F92" s="123"/>
      <c r="G92" s="95"/>
      <c r="H92" s="96"/>
      <c r="I92" s="103"/>
      <c r="J92" s="95"/>
      <c r="K92" s="112"/>
      <c r="L92" s="113"/>
      <c r="M92" s="100"/>
      <c r="N92" s="101"/>
      <c r="O92" s="102"/>
      <c r="P92" s="95"/>
      <c r="Q92" s="135"/>
      <c r="R92" s="106"/>
      <c r="S92" s="103"/>
      <c r="T92" s="103"/>
      <c r="V92" s="107"/>
    </row>
    <row r="93" ht="15.75" customHeight="1">
      <c r="A93" s="89"/>
      <c r="B93" s="132"/>
      <c r="C93" s="146"/>
      <c r="D93" s="95"/>
      <c r="E93" s="123"/>
      <c r="F93" s="123"/>
      <c r="G93" s="95"/>
      <c r="H93" s="96"/>
      <c r="I93" s="103"/>
      <c r="J93" s="95"/>
      <c r="K93" s="98"/>
      <c r="L93" s="99"/>
      <c r="M93" s="100"/>
      <c r="N93" s="127"/>
      <c r="O93" s="128"/>
      <c r="P93" s="95"/>
      <c r="Q93" s="137"/>
      <c r="R93" s="129"/>
      <c r="S93" s="95"/>
      <c r="T93" s="95"/>
      <c r="V93" s="107"/>
    </row>
    <row r="94" ht="15.75" customHeight="1">
      <c r="A94" s="89"/>
      <c r="B94" s="132"/>
      <c r="C94" s="96"/>
      <c r="D94" s="95"/>
      <c r="E94" s="125"/>
      <c r="F94" s="123"/>
      <c r="G94" s="95"/>
      <c r="H94" s="96"/>
      <c r="I94" s="103"/>
      <c r="J94" s="95"/>
      <c r="K94" s="112"/>
      <c r="L94" s="113"/>
      <c r="M94" s="100"/>
      <c r="N94" s="127"/>
      <c r="O94" s="128"/>
      <c r="P94" s="95"/>
      <c r="Q94" s="95"/>
      <c r="R94" s="129"/>
      <c r="S94" s="95"/>
      <c r="T94" s="95"/>
      <c r="V94" s="107"/>
    </row>
    <row r="95" ht="15.75" customHeight="1">
      <c r="A95" s="89"/>
      <c r="B95" s="132"/>
      <c r="C95" s="96"/>
      <c r="D95" s="95"/>
      <c r="E95" s="125"/>
      <c r="F95" s="123"/>
      <c r="G95" s="95"/>
      <c r="H95" s="96"/>
      <c r="I95" s="103"/>
      <c r="J95" s="95"/>
      <c r="K95" s="98"/>
      <c r="L95" s="99"/>
      <c r="M95" s="100"/>
      <c r="N95" s="101"/>
      <c r="O95" s="102"/>
      <c r="P95" s="95"/>
      <c r="Q95" s="114"/>
      <c r="R95" s="106"/>
      <c r="S95" s="103"/>
      <c r="T95" s="103"/>
      <c r="V95" s="107"/>
    </row>
    <row r="96" ht="15.75" customHeight="1">
      <c r="A96" s="89"/>
      <c r="B96" s="132"/>
      <c r="C96" s="96"/>
      <c r="D96" s="95"/>
      <c r="E96" s="125"/>
      <c r="F96" s="123"/>
      <c r="G96" s="95"/>
      <c r="H96" s="96"/>
      <c r="I96" s="103"/>
      <c r="J96" s="95"/>
      <c r="K96" s="112"/>
      <c r="L96" s="113"/>
      <c r="M96" s="100"/>
      <c r="N96" s="127"/>
      <c r="O96" s="128"/>
      <c r="P96" s="95"/>
      <c r="Q96" s="95"/>
      <c r="R96" s="129"/>
      <c r="S96" s="95"/>
      <c r="T96" s="95"/>
      <c r="V96" s="107"/>
    </row>
    <row r="97" ht="15.75" customHeight="1">
      <c r="A97" s="89"/>
      <c r="B97" s="132"/>
      <c r="C97" s="96"/>
      <c r="D97" s="95"/>
      <c r="E97" s="147"/>
      <c r="F97" s="123"/>
      <c r="G97" s="95"/>
      <c r="H97" s="96"/>
      <c r="I97" s="103"/>
      <c r="J97" s="95"/>
      <c r="K97" s="98"/>
      <c r="L97" s="99"/>
      <c r="M97" s="100"/>
      <c r="N97" s="127"/>
      <c r="O97" s="128"/>
      <c r="P97" s="95"/>
      <c r="Q97" s="137"/>
      <c r="R97" s="129"/>
      <c r="S97" s="95"/>
      <c r="T97" s="95"/>
      <c r="V97" s="107"/>
    </row>
    <row r="98" ht="15.75" customHeight="1">
      <c r="A98" s="89"/>
      <c r="B98" s="132"/>
      <c r="C98" s="106"/>
      <c r="D98" s="95"/>
      <c r="E98" s="125"/>
      <c r="F98" s="123"/>
      <c r="G98" s="95"/>
      <c r="H98" s="96"/>
      <c r="I98" s="103"/>
      <c r="J98" s="95"/>
      <c r="K98" s="112"/>
      <c r="L98" s="113"/>
      <c r="M98" s="100"/>
      <c r="N98" s="127"/>
      <c r="O98" s="128"/>
      <c r="P98" s="95"/>
      <c r="Q98" s="135"/>
      <c r="R98" s="106"/>
      <c r="S98" s="95"/>
      <c r="T98" s="103"/>
      <c r="V98" s="107"/>
    </row>
    <row r="99" ht="15.75" customHeight="1">
      <c r="A99" s="89"/>
      <c r="B99" s="132"/>
      <c r="C99" s="106"/>
      <c r="D99" s="95"/>
      <c r="E99" s="125"/>
      <c r="F99" s="123"/>
      <c r="G99" s="95"/>
      <c r="H99" s="96"/>
      <c r="I99" s="103"/>
      <c r="J99" s="95"/>
      <c r="K99" s="98"/>
      <c r="L99" s="99"/>
      <c r="M99" s="100"/>
      <c r="N99" s="127"/>
      <c r="O99" s="128"/>
      <c r="P99" s="95"/>
      <c r="Q99" s="135"/>
      <c r="R99" s="106"/>
      <c r="S99" s="95"/>
      <c r="T99" s="103"/>
      <c r="V99" s="107"/>
    </row>
    <row r="100" ht="15.75" customHeight="1">
      <c r="A100" s="89"/>
      <c r="B100" s="132"/>
      <c r="C100" s="96"/>
      <c r="D100" s="95"/>
      <c r="E100" s="90"/>
      <c r="F100" s="126"/>
      <c r="G100" s="95"/>
      <c r="H100" s="96"/>
      <c r="I100" s="103"/>
      <c r="J100" s="95"/>
      <c r="K100" s="112"/>
      <c r="L100" s="113"/>
      <c r="M100" s="100"/>
      <c r="N100" s="127"/>
      <c r="O100" s="128"/>
      <c r="P100" s="95"/>
      <c r="Q100" s="137"/>
      <c r="R100" s="129"/>
      <c r="S100" s="95"/>
      <c r="T100" s="95"/>
      <c r="V100" s="107"/>
    </row>
    <row r="101" ht="15.75" customHeight="1">
      <c r="A101" s="89"/>
      <c r="B101" s="132"/>
      <c r="C101" s="96"/>
      <c r="D101" s="95"/>
      <c r="E101" s="125"/>
      <c r="F101" s="123"/>
      <c r="G101" s="95"/>
      <c r="H101" s="96"/>
      <c r="I101" s="103"/>
      <c r="J101" s="95"/>
      <c r="K101" s="98"/>
      <c r="L101" s="99"/>
      <c r="M101" s="100"/>
      <c r="N101" s="127"/>
      <c r="O101" s="128"/>
      <c r="P101" s="95"/>
      <c r="Q101" s="95"/>
      <c r="R101" s="129"/>
      <c r="S101" s="95"/>
      <c r="T101" s="95"/>
      <c r="V101" s="107"/>
    </row>
    <row r="102" ht="15.75" customHeight="1">
      <c r="A102" s="89"/>
      <c r="B102" s="132"/>
      <c r="C102" s="96"/>
      <c r="D102" s="95"/>
      <c r="E102" s="125"/>
      <c r="F102" s="123"/>
      <c r="G102" s="95"/>
      <c r="H102" s="96"/>
      <c r="I102" s="103"/>
      <c r="J102" s="95"/>
      <c r="K102" s="112"/>
      <c r="L102" s="113"/>
      <c r="M102" s="100"/>
      <c r="N102" s="101"/>
      <c r="O102" s="102"/>
      <c r="P102" s="95"/>
      <c r="Q102" s="114"/>
      <c r="R102" s="115"/>
      <c r="S102" s="103"/>
      <c r="T102" s="103"/>
      <c r="V102" s="107"/>
    </row>
    <row r="103" ht="15.75" customHeight="1">
      <c r="A103" s="89"/>
      <c r="B103" s="148"/>
      <c r="C103" s="149"/>
      <c r="D103" s="95"/>
      <c r="E103" s="150"/>
      <c r="F103" s="145"/>
      <c r="G103" s="95"/>
      <c r="H103" s="96"/>
      <c r="I103" s="103"/>
      <c r="J103" s="95"/>
      <c r="K103" s="98"/>
      <c r="L103" s="99"/>
      <c r="M103" s="100"/>
      <c r="N103" s="101"/>
      <c r="O103" s="128"/>
      <c r="P103" s="95"/>
      <c r="Q103" s="137"/>
      <c r="R103" s="129"/>
      <c r="S103" s="103"/>
      <c r="T103" s="95"/>
      <c r="V103" s="107"/>
    </row>
    <row r="104" ht="15.75" customHeight="1">
      <c r="A104" s="89"/>
      <c r="B104" s="148"/>
      <c r="C104" s="149"/>
      <c r="D104" s="95"/>
      <c r="E104" s="150"/>
      <c r="F104" s="150"/>
      <c r="G104" s="95"/>
      <c r="H104" s="96"/>
      <c r="I104" s="103"/>
      <c r="J104" s="95"/>
      <c r="K104" s="112"/>
      <c r="L104" s="113"/>
      <c r="M104" s="100"/>
      <c r="N104" s="101"/>
      <c r="O104" s="128"/>
      <c r="P104" s="95"/>
      <c r="Q104" s="95"/>
      <c r="R104" s="129"/>
      <c r="S104" s="103"/>
      <c r="T104" s="95"/>
      <c r="V104" s="107"/>
    </row>
    <row r="105" ht="15.75" customHeight="1">
      <c r="A105" s="89"/>
      <c r="B105" s="148"/>
      <c r="C105" s="107"/>
      <c r="D105" s="95"/>
      <c r="E105" s="150"/>
      <c r="F105" s="150"/>
      <c r="G105" s="95"/>
      <c r="H105" s="96"/>
      <c r="I105" s="103"/>
      <c r="J105" s="95"/>
      <c r="K105" s="98"/>
      <c r="L105" s="99"/>
      <c r="M105" s="100"/>
      <c r="N105" s="101"/>
      <c r="O105" s="128"/>
      <c r="P105" s="95"/>
      <c r="Q105" s="137"/>
      <c r="R105" s="129"/>
      <c r="S105" s="103"/>
      <c r="T105" s="95"/>
      <c r="V105" s="107"/>
    </row>
    <row r="106" ht="15.75" customHeight="1">
      <c r="A106" s="89"/>
      <c r="B106" s="148"/>
      <c r="C106" s="107"/>
      <c r="D106" s="95"/>
      <c r="E106" s="150"/>
      <c r="F106" s="150"/>
      <c r="G106" s="95"/>
      <c r="H106" s="96"/>
      <c r="I106" s="103"/>
      <c r="J106" s="95"/>
      <c r="K106" s="112"/>
      <c r="L106" s="113"/>
      <c r="M106" s="100"/>
      <c r="N106" s="101"/>
      <c r="O106" s="128"/>
      <c r="P106" s="95"/>
      <c r="Q106" s="137"/>
      <c r="R106" s="129"/>
      <c r="S106" s="103"/>
      <c r="T106" s="95"/>
      <c r="V106" s="107"/>
    </row>
    <row r="107" ht="15.75" customHeight="1">
      <c r="A107" s="89"/>
      <c r="B107" s="148"/>
      <c r="C107" s="149"/>
      <c r="D107" s="95"/>
      <c r="E107" s="150"/>
      <c r="F107" s="150"/>
      <c r="G107" s="95"/>
      <c r="H107" s="96"/>
      <c r="I107" s="103"/>
      <c r="J107" s="95"/>
      <c r="K107" s="98"/>
      <c r="L107" s="99"/>
      <c r="M107" s="100"/>
      <c r="N107" s="101"/>
      <c r="O107" s="128"/>
      <c r="P107" s="95"/>
      <c r="Q107" s="137"/>
      <c r="R107" s="129"/>
      <c r="S107" s="103"/>
      <c r="T107" s="95"/>
      <c r="V107" s="107"/>
    </row>
    <row r="108" ht="15.75" customHeight="1">
      <c r="A108" s="89"/>
      <c r="B108" s="148"/>
      <c r="C108" s="149"/>
      <c r="D108" s="95"/>
      <c r="E108" s="150"/>
      <c r="F108" s="150"/>
      <c r="G108" s="95"/>
      <c r="H108" s="96"/>
      <c r="I108" s="103"/>
      <c r="J108" s="95"/>
      <c r="K108" s="112"/>
      <c r="L108" s="113"/>
      <c r="M108" s="100"/>
      <c r="N108" s="101"/>
      <c r="O108" s="128"/>
      <c r="P108" s="95"/>
      <c r="Q108" s="95"/>
      <c r="R108" s="129"/>
      <c r="S108" s="103"/>
      <c r="T108" s="95"/>
      <c r="V108" s="107"/>
    </row>
    <row r="109" ht="15.75" customHeight="1">
      <c r="A109" s="89"/>
      <c r="B109" s="148"/>
      <c r="C109" s="149"/>
      <c r="D109" s="95"/>
      <c r="E109" s="150"/>
      <c r="F109" s="150"/>
      <c r="G109" s="95"/>
      <c r="H109" s="96"/>
      <c r="I109" s="103"/>
      <c r="J109" s="95"/>
      <c r="K109" s="98"/>
      <c r="L109" s="99"/>
      <c r="M109" s="100"/>
      <c r="N109" s="101"/>
      <c r="O109" s="128"/>
      <c r="P109" s="95"/>
      <c r="Q109" s="137"/>
      <c r="R109" s="129"/>
      <c r="S109" s="103"/>
      <c r="T109" s="95"/>
      <c r="V109" s="107"/>
    </row>
    <row r="110" ht="15.75" customHeight="1">
      <c r="A110" s="89"/>
      <c r="B110" s="148"/>
      <c r="C110" s="149"/>
      <c r="D110" s="95"/>
      <c r="E110" s="150"/>
      <c r="F110" s="150"/>
      <c r="G110" s="95"/>
      <c r="H110" s="149"/>
      <c r="I110" s="151"/>
      <c r="J110" s="95"/>
      <c r="K110" s="112"/>
      <c r="L110" s="113"/>
      <c r="M110" s="100"/>
      <c r="N110" s="127"/>
      <c r="O110" s="128"/>
      <c r="P110" s="95"/>
      <c r="Q110" s="95"/>
      <c r="R110" s="129"/>
      <c r="S110" s="95"/>
      <c r="T110" s="95"/>
      <c r="V110" s="107"/>
    </row>
    <row r="111" ht="15.75" customHeight="1">
      <c r="A111" s="89"/>
      <c r="B111" s="148"/>
      <c r="C111" s="149"/>
      <c r="D111" s="95"/>
      <c r="E111" s="150"/>
      <c r="F111" s="150"/>
      <c r="G111" s="95"/>
      <c r="H111" s="149"/>
      <c r="I111" s="95"/>
      <c r="J111" s="95"/>
      <c r="K111" s="98"/>
      <c r="L111" s="99"/>
      <c r="M111" s="100"/>
      <c r="N111" s="127"/>
      <c r="O111" s="128"/>
      <c r="P111" s="95"/>
      <c r="Q111" s="137"/>
      <c r="R111" s="129"/>
      <c r="S111" s="95"/>
      <c r="T111" s="95"/>
      <c r="V111" s="107"/>
    </row>
    <row r="112" ht="15.75" customHeight="1">
      <c r="A112" s="89"/>
      <c r="B112" s="148"/>
      <c r="C112" s="107"/>
      <c r="D112" s="95"/>
      <c r="E112" s="150"/>
      <c r="F112" s="150"/>
      <c r="G112" s="95"/>
      <c r="H112" s="149"/>
      <c r="I112" s="95"/>
      <c r="J112" s="95"/>
      <c r="K112" s="112"/>
      <c r="L112" s="113"/>
      <c r="M112" s="100"/>
      <c r="N112" s="127"/>
      <c r="O112" s="128"/>
      <c r="P112" s="95"/>
      <c r="Q112" s="95"/>
      <c r="R112" s="129"/>
      <c r="S112" s="95"/>
      <c r="T112" s="95"/>
      <c r="V112" s="107"/>
    </row>
    <row r="113" ht="15.75" customHeight="1">
      <c r="A113" s="89"/>
      <c r="B113" s="148"/>
      <c r="C113" s="107"/>
      <c r="D113" s="95"/>
      <c r="E113" s="150"/>
      <c r="F113" s="150"/>
      <c r="G113" s="95"/>
      <c r="H113" s="149"/>
      <c r="I113" s="95"/>
      <c r="J113" s="95"/>
      <c r="K113" s="98"/>
      <c r="L113" s="99"/>
      <c r="M113" s="100"/>
      <c r="N113" s="127"/>
      <c r="O113" s="128"/>
      <c r="P113" s="95"/>
      <c r="Q113" s="95"/>
      <c r="R113" s="129"/>
      <c r="S113" s="95"/>
      <c r="T113" s="95"/>
      <c r="V113" s="107"/>
    </row>
    <row r="114" ht="15.75" customHeight="1">
      <c r="A114" s="89"/>
      <c r="B114" s="148"/>
      <c r="C114" s="107"/>
      <c r="D114" s="95"/>
      <c r="E114" s="150"/>
      <c r="F114" s="150"/>
      <c r="G114" s="95"/>
      <c r="H114" s="149"/>
      <c r="I114" s="95"/>
      <c r="J114" s="95"/>
      <c r="K114" s="112"/>
      <c r="L114" s="113"/>
      <c r="M114" s="100"/>
      <c r="N114" s="127"/>
      <c r="O114" s="128"/>
      <c r="P114" s="95"/>
      <c r="Q114" s="95"/>
      <c r="R114" s="129"/>
      <c r="S114" s="95"/>
      <c r="T114" s="95"/>
      <c r="V114" s="107"/>
    </row>
    <row r="115" ht="15.75" customHeight="1">
      <c r="A115" s="89"/>
      <c r="B115" s="148"/>
      <c r="C115" s="149"/>
      <c r="D115" s="95"/>
      <c r="E115" s="150"/>
      <c r="F115" s="150"/>
      <c r="G115" s="95"/>
      <c r="H115" s="149"/>
      <c r="I115" s="95"/>
      <c r="J115" s="95"/>
      <c r="K115" s="98"/>
      <c r="L115" s="99"/>
      <c r="M115" s="100"/>
      <c r="N115" s="127"/>
      <c r="O115" s="128"/>
      <c r="P115" s="95"/>
      <c r="Q115" s="95"/>
      <c r="R115" s="129"/>
      <c r="S115" s="95"/>
      <c r="T115" s="95"/>
      <c r="V115" s="107"/>
    </row>
    <row r="116" ht="15.75" customHeight="1">
      <c r="A116" s="89"/>
      <c r="B116" s="148"/>
      <c r="C116" s="149"/>
      <c r="D116" s="95"/>
      <c r="E116" s="150"/>
      <c r="F116" s="150"/>
      <c r="G116" s="95"/>
      <c r="H116" s="149"/>
      <c r="I116" s="95"/>
      <c r="J116" s="95"/>
      <c r="K116" s="112"/>
      <c r="L116" s="113"/>
      <c r="M116" s="100"/>
      <c r="N116" s="127"/>
      <c r="O116" s="128"/>
      <c r="P116" s="95"/>
      <c r="Q116" s="95"/>
      <c r="R116" s="129"/>
      <c r="S116" s="95"/>
      <c r="T116" s="95"/>
      <c r="V116" s="107"/>
    </row>
    <row r="117" ht="15.75" customHeight="1">
      <c r="A117" s="89"/>
      <c r="B117" s="148"/>
      <c r="C117" s="149"/>
      <c r="D117" s="95"/>
      <c r="E117" s="150"/>
      <c r="F117" s="150"/>
      <c r="G117" s="95"/>
      <c r="H117" s="149"/>
      <c r="I117" s="95"/>
      <c r="J117" s="95"/>
      <c r="K117" s="98"/>
      <c r="L117" s="99"/>
      <c r="M117" s="100"/>
      <c r="N117" s="127"/>
      <c r="O117" s="128"/>
      <c r="P117" s="95"/>
      <c r="Q117" s="95"/>
      <c r="R117" s="129"/>
      <c r="S117" s="95"/>
      <c r="T117" s="95"/>
      <c r="V117" s="107"/>
    </row>
    <row r="118" ht="15.75" customHeight="1">
      <c r="A118" s="89"/>
      <c r="B118" s="148"/>
      <c r="C118" s="149"/>
      <c r="D118" s="95"/>
      <c r="E118" s="150"/>
      <c r="F118" s="150"/>
      <c r="G118" s="95"/>
      <c r="H118" s="149"/>
      <c r="I118" s="95"/>
      <c r="J118" s="95"/>
      <c r="K118" s="112"/>
      <c r="L118" s="113"/>
      <c r="M118" s="100"/>
      <c r="N118" s="127"/>
      <c r="O118" s="128"/>
      <c r="P118" s="95"/>
      <c r="Q118" s="95"/>
      <c r="R118" s="129"/>
      <c r="S118" s="95"/>
      <c r="T118" s="95"/>
      <c r="V118" s="107"/>
    </row>
    <row r="119" ht="15.75" customHeight="1">
      <c r="A119" s="89"/>
      <c r="B119" s="148"/>
      <c r="C119" s="149"/>
      <c r="D119" s="95"/>
      <c r="E119" s="150"/>
      <c r="F119" s="150"/>
      <c r="G119" s="95"/>
      <c r="H119" s="149"/>
      <c r="I119" s="95"/>
      <c r="J119" s="95"/>
      <c r="K119" s="98"/>
      <c r="L119" s="99"/>
      <c r="M119" s="100"/>
      <c r="N119" s="127"/>
      <c r="O119" s="128"/>
      <c r="P119" s="95"/>
      <c r="Q119" s="137"/>
      <c r="R119" s="129"/>
      <c r="S119" s="95"/>
      <c r="T119" s="95"/>
      <c r="V119" s="107"/>
    </row>
    <row r="120" ht="15.75" customHeight="1">
      <c r="A120" s="89"/>
      <c r="B120" s="148"/>
      <c r="C120" s="107"/>
      <c r="D120" s="95"/>
      <c r="E120" s="150"/>
      <c r="F120" s="150"/>
      <c r="G120" s="95"/>
      <c r="H120" s="149"/>
      <c r="I120" s="95"/>
      <c r="J120" s="95"/>
      <c r="K120" s="112"/>
      <c r="L120" s="113"/>
      <c r="M120" s="100"/>
      <c r="N120" s="127"/>
      <c r="O120" s="128"/>
      <c r="P120" s="95"/>
      <c r="Q120" s="95"/>
      <c r="R120" s="129"/>
      <c r="S120" s="95"/>
      <c r="T120" s="95"/>
      <c r="V120" s="107"/>
    </row>
    <row r="121" ht="15.75" customHeight="1">
      <c r="A121" s="89"/>
      <c r="B121" s="148"/>
      <c r="C121" s="107"/>
      <c r="D121" s="95"/>
      <c r="E121" s="150"/>
      <c r="F121" s="150"/>
      <c r="G121" s="95"/>
      <c r="H121" s="149"/>
      <c r="I121" s="95"/>
      <c r="J121" s="95"/>
      <c r="K121" s="98"/>
      <c r="L121" s="99"/>
      <c r="M121" s="100"/>
      <c r="N121" s="127"/>
      <c r="O121" s="128"/>
      <c r="P121" s="95"/>
      <c r="Q121" s="95"/>
      <c r="R121" s="129"/>
      <c r="S121" s="95"/>
      <c r="T121" s="95"/>
      <c r="V121" s="107"/>
    </row>
    <row r="122" ht="15.75" customHeight="1">
      <c r="A122" s="89"/>
      <c r="B122" s="148"/>
      <c r="C122" s="107"/>
      <c r="D122" s="95"/>
      <c r="E122" s="150"/>
      <c r="F122" s="150"/>
      <c r="G122" s="95"/>
      <c r="H122" s="149"/>
      <c r="I122" s="95"/>
      <c r="J122" s="95"/>
      <c r="K122" s="112"/>
      <c r="L122" s="113"/>
      <c r="M122" s="100"/>
      <c r="N122" s="127"/>
      <c r="O122" s="128"/>
      <c r="P122" s="95"/>
      <c r="Q122" s="137"/>
      <c r="R122" s="129"/>
      <c r="S122" s="95"/>
      <c r="T122" s="95"/>
      <c r="V122" s="107"/>
    </row>
    <row r="123" ht="15.75" customHeight="1">
      <c r="A123" s="89"/>
      <c r="B123" s="148"/>
      <c r="C123" s="149"/>
      <c r="D123" s="95"/>
      <c r="E123" s="150"/>
      <c r="F123" s="150"/>
      <c r="G123" s="95"/>
      <c r="H123" s="149"/>
      <c r="I123" s="95"/>
      <c r="J123" s="95"/>
      <c r="K123" s="98"/>
      <c r="L123" s="99"/>
      <c r="M123" s="100"/>
      <c r="N123" s="127"/>
      <c r="O123" s="128"/>
      <c r="P123" s="95"/>
      <c r="Q123" s="137"/>
      <c r="R123" s="129"/>
      <c r="S123" s="95"/>
      <c r="T123" s="95"/>
      <c r="V123" s="107"/>
    </row>
    <row r="124" ht="15.75" customHeight="1">
      <c r="A124" s="89"/>
      <c r="B124" s="148"/>
      <c r="C124" s="149"/>
      <c r="D124" s="95"/>
      <c r="E124" s="150"/>
      <c r="F124" s="150"/>
      <c r="G124" s="95"/>
      <c r="H124" s="149"/>
      <c r="I124" s="95"/>
      <c r="J124" s="95"/>
      <c r="K124" s="112"/>
      <c r="L124" s="113"/>
      <c r="M124" s="100"/>
      <c r="N124" s="127"/>
      <c r="O124" s="128"/>
      <c r="P124" s="95"/>
      <c r="Q124" s="137"/>
      <c r="R124" s="129"/>
      <c r="S124" s="95"/>
      <c r="T124" s="95"/>
      <c r="V124" s="107"/>
    </row>
    <row r="125" ht="15.75" customHeight="1">
      <c r="A125" s="89"/>
      <c r="B125" s="148"/>
      <c r="C125" s="149"/>
      <c r="D125" s="95"/>
      <c r="E125" s="150"/>
      <c r="F125" s="150"/>
      <c r="G125" s="95"/>
      <c r="H125" s="149"/>
      <c r="I125" s="95"/>
      <c r="J125" s="95"/>
      <c r="K125" s="98"/>
      <c r="L125" s="99"/>
      <c r="M125" s="100"/>
      <c r="N125" s="127"/>
      <c r="O125" s="128"/>
      <c r="P125" s="95"/>
      <c r="Q125" s="137"/>
      <c r="R125" s="129"/>
      <c r="S125" s="95"/>
      <c r="T125" s="95"/>
      <c r="V125" s="107"/>
    </row>
    <row r="126" ht="15.75" customHeight="1">
      <c r="A126" s="89"/>
      <c r="B126" s="148"/>
      <c r="C126" s="149"/>
      <c r="D126" s="95"/>
      <c r="E126" s="150"/>
      <c r="F126" s="150"/>
      <c r="G126" s="95"/>
      <c r="H126" s="149"/>
      <c r="I126" s="95"/>
      <c r="J126" s="95"/>
      <c r="K126" s="112"/>
      <c r="L126" s="113"/>
      <c r="M126" s="100"/>
      <c r="N126" s="127"/>
      <c r="O126" s="128"/>
      <c r="P126" s="95"/>
      <c r="Q126" s="137"/>
      <c r="R126" s="129"/>
      <c r="S126" s="95"/>
      <c r="T126" s="95"/>
      <c r="V126" s="107"/>
    </row>
    <row r="127" ht="15.75" customHeight="1">
      <c r="A127" s="89"/>
      <c r="B127" s="148"/>
      <c r="C127" s="149"/>
      <c r="D127" s="95"/>
      <c r="E127" s="150"/>
      <c r="F127" s="150"/>
      <c r="G127" s="95"/>
      <c r="H127" s="149"/>
      <c r="I127" s="95"/>
      <c r="J127" s="95"/>
      <c r="K127" s="98"/>
      <c r="L127" s="99"/>
      <c r="M127" s="100"/>
      <c r="N127" s="127"/>
      <c r="O127" s="128"/>
      <c r="P127" s="95"/>
      <c r="Q127" s="137"/>
      <c r="R127" s="129"/>
      <c r="S127" s="95"/>
      <c r="T127" s="95"/>
      <c r="V127" s="107"/>
    </row>
    <row r="128" ht="15.75" customHeight="1">
      <c r="A128" s="89"/>
      <c r="B128" s="148"/>
      <c r="C128" s="107"/>
      <c r="D128" s="95"/>
      <c r="E128" s="150"/>
      <c r="F128" s="150"/>
      <c r="G128" s="95"/>
      <c r="H128" s="149"/>
      <c r="I128" s="95"/>
      <c r="J128" s="95"/>
      <c r="K128" s="112"/>
      <c r="L128" s="113"/>
      <c r="M128" s="100"/>
      <c r="N128" s="127"/>
      <c r="O128" s="128"/>
      <c r="P128" s="95"/>
      <c r="Q128" s="95"/>
      <c r="R128" s="129"/>
      <c r="S128" s="95"/>
      <c r="T128" s="95"/>
      <c r="V128" s="107"/>
    </row>
    <row r="129" ht="15.75" customHeight="1">
      <c r="A129" s="89"/>
      <c r="B129" s="148"/>
      <c r="C129" s="107"/>
      <c r="D129" s="95"/>
      <c r="E129" s="150"/>
      <c r="F129" s="150"/>
      <c r="G129" s="95"/>
      <c r="H129" s="149"/>
      <c r="I129" s="95"/>
      <c r="J129" s="95"/>
      <c r="K129" s="98"/>
      <c r="L129" s="99"/>
      <c r="M129" s="100"/>
      <c r="N129" s="127"/>
      <c r="O129" s="128"/>
      <c r="P129" s="95"/>
      <c r="Q129" s="137"/>
      <c r="R129" s="129"/>
      <c r="S129" s="95"/>
      <c r="T129" s="95"/>
      <c r="V129" s="107"/>
    </row>
    <row r="130" ht="15.75" customHeight="1">
      <c r="A130" s="89"/>
      <c r="B130" s="148"/>
      <c r="C130" s="107"/>
      <c r="D130" s="95"/>
      <c r="E130" s="150"/>
      <c r="F130" s="150"/>
      <c r="G130" s="95"/>
      <c r="H130" s="149"/>
      <c r="I130" s="95"/>
      <c r="J130" s="95"/>
      <c r="K130" s="112"/>
      <c r="L130" s="113"/>
      <c r="M130" s="100"/>
      <c r="N130" s="127"/>
      <c r="O130" s="128"/>
      <c r="P130" s="95"/>
      <c r="Q130" s="95"/>
      <c r="R130" s="129"/>
      <c r="S130" s="95"/>
      <c r="T130" s="95"/>
      <c r="V130" s="107"/>
    </row>
    <row r="131" ht="15.75" customHeight="1">
      <c r="A131" s="89"/>
      <c r="B131" s="148"/>
      <c r="C131" s="149"/>
      <c r="D131" s="95"/>
      <c r="E131" s="150"/>
      <c r="F131" s="150"/>
      <c r="G131" s="95"/>
      <c r="H131" s="149"/>
      <c r="I131" s="95"/>
      <c r="J131" s="95"/>
      <c r="K131" s="98"/>
      <c r="L131" s="99"/>
      <c r="M131" s="100"/>
      <c r="N131" s="127"/>
      <c r="O131" s="128"/>
      <c r="P131" s="95"/>
      <c r="Q131" s="95"/>
      <c r="R131" s="129"/>
      <c r="S131" s="95"/>
      <c r="T131" s="95"/>
      <c r="V131" s="107"/>
    </row>
    <row r="132" ht="15.75" customHeight="1">
      <c r="A132" s="89"/>
      <c r="B132" s="148"/>
      <c r="C132" s="149"/>
      <c r="D132" s="95"/>
      <c r="E132" s="150"/>
      <c r="F132" s="150"/>
      <c r="G132" s="95"/>
      <c r="H132" s="149"/>
      <c r="I132" s="95"/>
      <c r="J132" s="95"/>
      <c r="K132" s="112"/>
      <c r="L132" s="113"/>
      <c r="M132" s="100"/>
      <c r="N132" s="127"/>
      <c r="O132" s="128"/>
      <c r="P132" s="95"/>
      <c r="Q132" s="137"/>
      <c r="R132" s="129"/>
      <c r="S132" s="95"/>
      <c r="T132" s="95"/>
      <c r="V132" s="107"/>
    </row>
    <row r="133" ht="15.75" customHeight="1">
      <c r="A133" s="89"/>
      <c r="B133" s="148"/>
      <c r="C133" s="149"/>
      <c r="D133" s="95"/>
      <c r="E133" s="150"/>
      <c r="F133" s="150"/>
      <c r="G133" s="95"/>
      <c r="H133" s="149"/>
      <c r="I133" s="95"/>
      <c r="J133" s="95"/>
      <c r="K133" s="98"/>
      <c r="L133" s="99"/>
      <c r="M133" s="100"/>
      <c r="N133" s="127"/>
      <c r="O133" s="128"/>
      <c r="P133" s="95"/>
      <c r="Q133" s="95"/>
      <c r="R133" s="129"/>
      <c r="S133" s="95"/>
      <c r="T133" s="95"/>
      <c r="V133" s="107"/>
    </row>
    <row r="134" ht="15.75" customHeight="1">
      <c r="A134" s="89"/>
      <c r="B134" s="148"/>
      <c r="C134" s="149"/>
      <c r="D134" s="95"/>
      <c r="E134" s="150"/>
      <c r="F134" s="150"/>
      <c r="G134" s="95"/>
      <c r="H134" s="149"/>
      <c r="I134" s="95"/>
      <c r="J134" s="95"/>
      <c r="K134" s="112"/>
      <c r="L134" s="113"/>
      <c r="M134" s="100"/>
      <c r="N134" s="127"/>
      <c r="O134" s="128"/>
      <c r="P134" s="95"/>
      <c r="Q134" s="95"/>
      <c r="R134" s="129"/>
      <c r="S134" s="95"/>
      <c r="T134" s="95"/>
      <c r="V134" s="107"/>
    </row>
    <row r="135" ht="15.75" customHeight="1">
      <c r="A135" s="89"/>
      <c r="B135" s="148"/>
      <c r="C135" s="149"/>
      <c r="D135" s="95"/>
      <c r="E135" s="150"/>
      <c r="F135" s="150"/>
      <c r="G135" s="95"/>
      <c r="H135" s="149"/>
      <c r="I135" s="95"/>
      <c r="J135" s="95"/>
      <c r="K135" s="98"/>
      <c r="L135" s="99"/>
      <c r="M135" s="100"/>
      <c r="N135" s="127"/>
      <c r="O135" s="128"/>
      <c r="P135" s="95"/>
      <c r="Q135" s="137"/>
      <c r="R135" s="129"/>
      <c r="S135" s="95"/>
      <c r="T135" s="95"/>
      <c r="V135" s="107"/>
    </row>
    <row r="136" ht="15.75" customHeight="1">
      <c r="A136" s="89"/>
      <c r="B136" s="148"/>
      <c r="C136" s="107"/>
      <c r="D136" s="95"/>
      <c r="E136" s="150"/>
      <c r="F136" s="150"/>
      <c r="G136" s="95"/>
      <c r="H136" s="149"/>
      <c r="I136" s="95"/>
      <c r="J136" s="95"/>
      <c r="K136" s="112"/>
      <c r="L136" s="113"/>
      <c r="M136" s="100"/>
      <c r="N136" s="127"/>
      <c r="O136" s="128"/>
      <c r="P136" s="95"/>
      <c r="Q136" s="95"/>
      <c r="R136" s="129"/>
      <c r="S136" s="95"/>
      <c r="T136" s="95"/>
      <c r="V136" s="107"/>
    </row>
    <row r="137" ht="15.75" customHeight="1">
      <c r="A137" s="89"/>
      <c r="B137" s="148"/>
      <c r="C137" s="107"/>
      <c r="D137" s="95"/>
      <c r="E137" s="150"/>
      <c r="F137" s="150"/>
      <c r="G137" s="95"/>
      <c r="H137" s="149"/>
      <c r="I137" s="95"/>
      <c r="J137" s="95"/>
      <c r="K137" s="98"/>
      <c r="L137" s="99"/>
      <c r="M137" s="100"/>
      <c r="N137" s="127"/>
      <c r="O137" s="128"/>
      <c r="P137" s="95"/>
      <c r="Q137" s="137"/>
      <c r="R137" s="129"/>
      <c r="S137" s="95"/>
      <c r="T137" s="95"/>
      <c r="V137" s="107"/>
    </row>
    <row r="138" ht="15.75" customHeight="1">
      <c r="A138" s="89"/>
      <c r="B138" s="148"/>
      <c r="C138" s="107"/>
      <c r="D138" s="95"/>
      <c r="E138" s="150"/>
      <c r="F138" s="150"/>
      <c r="G138" s="95"/>
      <c r="H138" s="149"/>
      <c r="I138" s="95"/>
      <c r="J138" s="95"/>
      <c r="K138" s="112"/>
      <c r="L138" s="113"/>
      <c r="M138" s="100"/>
      <c r="N138" s="127"/>
      <c r="O138" s="128"/>
      <c r="P138" s="95"/>
      <c r="Q138" s="137"/>
      <c r="R138" s="129"/>
      <c r="S138" s="95"/>
      <c r="T138" s="95"/>
      <c r="V138" s="107"/>
    </row>
    <row r="139" ht="15.75" customHeight="1">
      <c r="A139" s="89"/>
      <c r="B139" s="148"/>
      <c r="C139" s="149"/>
      <c r="D139" s="95"/>
      <c r="E139" s="150"/>
      <c r="F139" s="150"/>
      <c r="G139" s="95"/>
      <c r="H139" s="149"/>
      <c r="I139" s="95"/>
      <c r="J139" s="95"/>
      <c r="K139" s="98"/>
      <c r="L139" s="99"/>
      <c r="M139" s="100"/>
      <c r="N139" s="127"/>
      <c r="O139" s="128"/>
      <c r="P139" s="95"/>
      <c r="Q139" s="137"/>
      <c r="R139" s="129"/>
      <c r="S139" s="95"/>
      <c r="T139" s="95"/>
      <c r="V139" s="107"/>
    </row>
    <row r="140" ht="15.75" customHeight="1">
      <c r="A140" s="89"/>
      <c r="B140" s="148"/>
      <c r="C140" s="149"/>
      <c r="D140" s="95"/>
      <c r="E140" s="150"/>
      <c r="F140" s="150"/>
      <c r="G140" s="95"/>
      <c r="H140" s="149"/>
      <c r="I140" s="95"/>
      <c r="J140" s="95"/>
      <c r="K140" s="112"/>
      <c r="L140" s="113"/>
      <c r="M140" s="100"/>
      <c r="N140" s="127"/>
      <c r="O140" s="128"/>
      <c r="P140" s="95"/>
      <c r="Q140" s="95"/>
      <c r="R140" s="129"/>
      <c r="S140" s="95"/>
      <c r="T140" s="95"/>
      <c r="V140" s="107"/>
    </row>
    <row r="141" ht="15.75" customHeight="1">
      <c r="A141" s="89"/>
      <c r="B141" s="148"/>
      <c r="C141" s="149"/>
      <c r="D141" s="95"/>
      <c r="E141" s="150"/>
      <c r="F141" s="150"/>
      <c r="G141" s="95"/>
      <c r="H141" s="149"/>
      <c r="I141" s="95"/>
      <c r="J141" s="95"/>
      <c r="K141" s="98"/>
      <c r="L141" s="99"/>
      <c r="M141" s="100"/>
      <c r="N141" s="127"/>
      <c r="O141" s="128"/>
      <c r="P141" s="95"/>
      <c r="Q141" s="137"/>
      <c r="R141" s="129"/>
      <c r="S141" s="95"/>
      <c r="T141" s="95"/>
      <c r="V141" s="107"/>
    </row>
    <row r="142" ht="15.75" customHeight="1">
      <c r="A142" s="89"/>
      <c r="B142" s="148"/>
      <c r="C142" s="149"/>
      <c r="D142" s="95"/>
      <c r="E142" s="150"/>
      <c r="F142" s="150"/>
      <c r="G142" s="95"/>
      <c r="H142" s="149"/>
      <c r="I142" s="95"/>
      <c r="J142" s="95"/>
      <c r="K142" s="112"/>
      <c r="L142" s="113"/>
      <c r="M142" s="100"/>
      <c r="N142" s="127"/>
      <c r="O142" s="128"/>
      <c r="P142" s="95"/>
      <c r="Q142" s="95"/>
      <c r="R142" s="129"/>
      <c r="S142" s="95"/>
      <c r="T142" s="95"/>
      <c r="V142" s="107"/>
    </row>
    <row r="143" ht="15.75" customHeight="1">
      <c r="A143" s="89"/>
      <c r="B143" s="148"/>
      <c r="C143" s="149"/>
      <c r="D143" s="95"/>
      <c r="E143" s="150"/>
      <c r="F143" s="152"/>
      <c r="G143" s="95"/>
      <c r="H143" s="149"/>
      <c r="I143" s="95"/>
      <c r="J143" s="95"/>
      <c r="K143" s="98"/>
      <c r="L143" s="99"/>
      <c r="M143" s="100"/>
      <c r="N143" s="127"/>
      <c r="O143" s="128"/>
      <c r="P143" s="95"/>
      <c r="Q143" s="137"/>
      <c r="R143" s="129"/>
      <c r="S143" s="95"/>
      <c r="T143" s="95"/>
      <c r="V143" s="107"/>
    </row>
    <row r="144" ht="15.75" customHeight="1">
      <c r="A144" s="89"/>
      <c r="B144" s="148"/>
      <c r="C144" s="107"/>
      <c r="D144" s="95"/>
      <c r="E144" s="150"/>
      <c r="F144" s="150"/>
      <c r="G144" s="95"/>
      <c r="H144" s="149"/>
      <c r="I144" s="95"/>
      <c r="J144" s="95"/>
      <c r="K144" s="112"/>
      <c r="L144" s="113"/>
      <c r="M144" s="100"/>
      <c r="N144" s="127"/>
      <c r="O144" s="128"/>
      <c r="P144" s="95"/>
      <c r="Q144" s="95"/>
      <c r="R144" s="129"/>
      <c r="S144" s="95"/>
      <c r="T144" s="95"/>
      <c r="V144" s="107"/>
    </row>
    <row r="145" ht="15.75" customHeight="1">
      <c r="A145" s="89"/>
      <c r="B145" s="148"/>
      <c r="C145" s="107"/>
      <c r="D145" s="95"/>
      <c r="E145" s="150"/>
      <c r="F145" s="150"/>
      <c r="G145" s="95"/>
      <c r="H145" s="149"/>
      <c r="I145" s="95"/>
      <c r="J145" s="95"/>
      <c r="K145" s="98"/>
      <c r="L145" s="99"/>
      <c r="M145" s="100"/>
      <c r="N145" s="127"/>
      <c r="O145" s="128"/>
      <c r="P145" s="95"/>
      <c r="Q145" s="137"/>
      <c r="R145" s="129"/>
      <c r="S145" s="95"/>
      <c r="T145" s="95"/>
      <c r="V145" s="107"/>
    </row>
    <row r="146" ht="15.75" customHeight="1">
      <c r="A146" s="89"/>
      <c r="B146" s="148"/>
      <c r="C146" s="149"/>
      <c r="D146" s="95"/>
      <c r="E146" s="150"/>
      <c r="F146" s="150"/>
      <c r="G146" s="95"/>
      <c r="H146" s="149"/>
      <c r="I146" s="95"/>
      <c r="J146" s="95"/>
      <c r="K146" s="112"/>
      <c r="L146" s="113"/>
      <c r="M146" s="100"/>
      <c r="N146" s="127"/>
      <c r="O146" s="128"/>
      <c r="P146" s="95"/>
      <c r="Q146" s="137"/>
      <c r="R146" s="129"/>
      <c r="S146" s="95"/>
      <c r="T146" s="95"/>
      <c r="V146" s="107"/>
    </row>
    <row r="147" ht="15.75" customHeight="1">
      <c r="A147" s="89"/>
      <c r="B147" s="148"/>
      <c r="C147" s="149"/>
      <c r="D147" s="95"/>
      <c r="E147" s="150"/>
      <c r="F147" s="150"/>
      <c r="G147" s="95"/>
      <c r="H147" s="149"/>
      <c r="I147" s="95"/>
      <c r="J147" s="95"/>
      <c r="K147" s="98"/>
      <c r="L147" s="99"/>
      <c r="M147" s="100"/>
      <c r="N147" s="127"/>
      <c r="O147" s="128"/>
      <c r="P147" s="95"/>
      <c r="Q147" s="137"/>
      <c r="R147" s="129"/>
      <c r="S147" s="95"/>
      <c r="T147" s="95"/>
      <c r="V147" s="107"/>
    </row>
    <row r="148" ht="15.75" customHeight="1">
      <c r="A148" s="89"/>
      <c r="B148" s="148"/>
      <c r="C148" s="149"/>
      <c r="D148" s="95"/>
      <c r="E148" s="150"/>
      <c r="F148" s="150"/>
      <c r="G148" s="95"/>
      <c r="H148" s="149"/>
      <c r="I148" s="95"/>
      <c r="J148" s="95"/>
      <c r="K148" s="112"/>
      <c r="L148" s="113"/>
      <c r="M148" s="100"/>
      <c r="N148" s="127"/>
      <c r="O148" s="128"/>
      <c r="P148" s="95"/>
      <c r="Q148" s="137"/>
      <c r="R148" s="129"/>
      <c r="S148" s="95"/>
      <c r="T148" s="95"/>
      <c r="V148" s="107"/>
    </row>
    <row r="149" ht="15.75" customHeight="1">
      <c r="A149" s="89"/>
      <c r="B149" s="148"/>
      <c r="C149" s="149"/>
      <c r="D149" s="95"/>
      <c r="E149" s="150"/>
      <c r="F149" s="150"/>
      <c r="G149" s="95"/>
      <c r="H149" s="149"/>
      <c r="I149" s="95"/>
      <c r="J149" s="95"/>
      <c r="K149" s="98"/>
      <c r="L149" s="99"/>
      <c r="M149" s="100"/>
      <c r="N149" s="127"/>
      <c r="O149" s="128"/>
      <c r="P149" s="95"/>
      <c r="Q149" s="137"/>
      <c r="R149" s="129"/>
      <c r="S149" s="95"/>
      <c r="T149" s="95"/>
      <c r="V149" s="107"/>
    </row>
    <row r="150" ht="15.75" customHeight="1">
      <c r="A150" s="89"/>
      <c r="B150" s="148"/>
      <c r="C150" s="149"/>
      <c r="D150" s="95"/>
      <c r="E150" s="150"/>
      <c r="F150" s="150"/>
      <c r="G150" s="95"/>
      <c r="H150" s="149"/>
      <c r="I150" s="95"/>
      <c r="J150" s="95"/>
      <c r="K150" s="112"/>
      <c r="L150" s="113"/>
      <c r="M150" s="100"/>
      <c r="N150" s="127"/>
      <c r="O150" s="128"/>
      <c r="P150" s="95"/>
      <c r="Q150" s="137"/>
      <c r="R150" s="129"/>
      <c r="S150" s="95"/>
      <c r="T150" s="95"/>
      <c r="V150" s="107"/>
    </row>
    <row r="151" ht="15.75" customHeight="1">
      <c r="A151" s="89"/>
      <c r="B151" s="148"/>
      <c r="C151" s="107"/>
      <c r="D151" s="95"/>
      <c r="E151" s="150"/>
      <c r="F151" s="150"/>
      <c r="G151" s="95"/>
      <c r="H151" s="149"/>
      <c r="I151" s="95"/>
      <c r="J151" s="95"/>
      <c r="K151" s="98"/>
      <c r="L151" s="99"/>
      <c r="M151" s="100"/>
      <c r="N151" s="127"/>
      <c r="O151" s="128"/>
      <c r="P151" s="95"/>
      <c r="Q151" s="137"/>
      <c r="R151" s="129"/>
      <c r="S151" s="95"/>
      <c r="T151" s="95"/>
      <c r="V151" s="107"/>
    </row>
    <row r="152" ht="15.75" customHeight="1">
      <c r="A152" s="89"/>
      <c r="B152" s="148"/>
      <c r="C152" s="149"/>
      <c r="D152" s="95"/>
      <c r="E152" s="150"/>
      <c r="F152" s="150"/>
      <c r="G152" s="95"/>
      <c r="H152" s="149"/>
      <c r="I152" s="95"/>
      <c r="J152" s="95"/>
      <c r="K152" s="112"/>
      <c r="L152" s="113"/>
      <c r="M152" s="100"/>
      <c r="N152" s="127"/>
      <c r="O152" s="128"/>
      <c r="P152" s="95"/>
      <c r="Q152" s="137"/>
      <c r="R152" s="129"/>
      <c r="S152" s="95"/>
      <c r="T152" s="95"/>
      <c r="V152" s="107"/>
    </row>
    <row r="153" ht="15.75" customHeight="1">
      <c r="A153" s="89"/>
      <c r="B153" s="148"/>
      <c r="C153" s="149"/>
      <c r="D153" s="95"/>
      <c r="E153" s="150"/>
      <c r="F153" s="150"/>
      <c r="G153" s="95"/>
      <c r="H153" s="149"/>
      <c r="I153" s="95"/>
      <c r="J153" s="95"/>
      <c r="K153" s="98"/>
      <c r="L153" s="99"/>
      <c r="M153" s="100"/>
      <c r="N153" s="127"/>
      <c r="O153" s="128"/>
      <c r="P153" s="95"/>
      <c r="Q153" s="137"/>
      <c r="R153" s="129"/>
      <c r="S153" s="95"/>
      <c r="T153" s="95"/>
      <c r="V153" s="107"/>
    </row>
    <row r="154" ht="15.75" customHeight="1">
      <c r="A154" s="89"/>
      <c r="B154" s="148"/>
      <c r="C154" s="149"/>
      <c r="D154" s="95"/>
      <c r="E154" s="150"/>
      <c r="F154" s="150"/>
      <c r="G154" s="95"/>
      <c r="H154" s="149"/>
      <c r="I154" s="95"/>
      <c r="J154" s="95"/>
      <c r="K154" s="112"/>
      <c r="L154" s="113"/>
      <c r="M154" s="100"/>
      <c r="N154" s="127"/>
      <c r="O154" s="128"/>
      <c r="P154" s="95"/>
      <c r="Q154" s="137"/>
      <c r="R154" s="129"/>
      <c r="S154" s="95"/>
      <c r="T154" s="95"/>
      <c r="V154" s="107"/>
    </row>
    <row r="155" ht="15.75" customHeight="1">
      <c r="A155" s="89"/>
      <c r="B155" s="148"/>
      <c r="C155" s="149"/>
      <c r="D155" s="95"/>
      <c r="E155" s="150"/>
      <c r="F155" s="150"/>
      <c r="G155" s="95"/>
      <c r="H155" s="149"/>
      <c r="I155" s="95"/>
      <c r="J155" s="95"/>
      <c r="K155" s="98"/>
      <c r="L155" s="99"/>
      <c r="M155" s="100"/>
      <c r="N155" s="127"/>
      <c r="O155" s="128"/>
      <c r="P155" s="95"/>
      <c r="Q155" s="137"/>
      <c r="R155" s="129"/>
      <c r="S155" s="95"/>
      <c r="T155" s="95"/>
      <c r="V155" s="107"/>
    </row>
    <row r="156" ht="15.75" customHeight="1">
      <c r="A156" s="89"/>
      <c r="B156" s="148"/>
      <c r="C156" s="149"/>
      <c r="D156" s="95"/>
      <c r="E156" s="150"/>
      <c r="F156" s="150"/>
      <c r="G156" s="95"/>
      <c r="H156" s="149"/>
      <c r="I156" s="95"/>
      <c r="J156" s="95"/>
      <c r="K156" s="112"/>
      <c r="L156" s="113"/>
      <c r="M156" s="100"/>
      <c r="N156" s="127"/>
      <c r="O156" s="128"/>
      <c r="P156" s="95"/>
      <c r="Q156" s="137"/>
      <c r="R156" s="129"/>
      <c r="S156" s="95"/>
      <c r="T156" s="95"/>
      <c r="V156" s="107"/>
    </row>
    <row r="157" ht="15.75" customHeight="1">
      <c r="A157" s="89"/>
      <c r="B157" s="148"/>
      <c r="C157" s="107"/>
      <c r="D157" s="95"/>
      <c r="E157" s="150"/>
      <c r="F157" s="150"/>
      <c r="G157" s="95"/>
      <c r="H157" s="149"/>
      <c r="I157" s="95"/>
      <c r="J157" s="95"/>
      <c r="K157" s="98"/>
      <c r="L157" s="99"/>
      <c r="M157" s="100"/>
      <c r="N157" s="127"/>
      <c r="O157" s="128"/>
      <c r="P157" s="95"/>
      <c r="Q157" s="137"/>
      <c r="R157" s="129"/>
      <c r="S157" s="95"/>
      <c r="T157" s="95"/>
      <c r="V157" s="107"/>
    </row>
    <row r="158" ht="15.75" customHeight="1">
      <c r="A158" s="89"/>
      <c r="B158" s="148"/>
      <c r="C158" s="149"/>
      <c r="D158" s="95"/>
      <c r="E158" s="150"/>
      <c r="F158" s="150"/>
      <c r="G158" s="95"/>
      <c r="H158" s="149"/>
      <c r="I158" s="95"/>
      <c r="J158" s="95"/>
      <c r="K158" s="112"/>
      <c r="L158" s="113"/>
      <c r="M158" s="100"/>
      <c r="N158" s="127"/>
      <c r="O158" s="128"/>
      <c r="P158" s="95"/>
      <c r="Q158" s="137"/>
      <c r="R158" s="129"/>
      <c r="S158" s="95"/>
      <c r="T158" s="95"/>
      <c r="V158" s="107"/>
    </row>
    <row r="159" ht="15.75" customHeight="1">
      <c r="A159" s="89"/>
      <c r="B159" s="148"/>
      <c r="C159" s="149"/>
      <c r="D159" s="95"/>
      <c r="E159" s="150"/>
      <c r="F159" s="150"/>
      <c r="G159" s="95"/>
      <c r="H159" s="149"/>
      <c r="I159" s="95"/>
      <c r="J159" s="95"/>
      <c r="K159" s="98"/>
      <c r="L159" s="99"/>
      <c r="M159" s="100"/>
      <c r="N159" s="127"/>
      <c r="O159" s="128"/>
      <c r="P159" s="95"/>
      <c r="Q159" s="137"/>
      <c r="R159" s="129"/>
      <c r="S159" s="95"/>
      <c r="T159" s="95"/>
      <c r="V159" s="107"/>
    </row>
    <row r="160" ht="15.75" customHeight="1">
      <c r="A160" s="89"/>
      <c r="B160" s="148"/>
      <c r="C160" s="149"/>
      <c r="D160" s="95"/>
      <c r="E160" s="150"/>
      <c r="F160" s="150"/>
      <c r="G160" s="95"/>
      <c r="H160" s="149"/>
      <c r="I160" s="95"/>
      <c r="J160" s="95"/>
      <c r="K160" s="112"/>
      <c r="L160" s="113"/>
      <c r="M160" s="100"/>
      <c r="N160" s="127"/>
      <c r="O160" s="128"/>
      <c r="P160" s="95"/>
      <c r="Q160" s="137"/>
      <c r="R160" s="129"/>
      <c r="S160" s="95"/>
      <c r="T160" s="95"/>
      <c r="V160" s="107"/>
    </row>
    <row r="161" ht="15.75" customHeight="1">
      <c r="A161" s="89"/>
      <c r="B161" s="148"/>
      <c r="C161" s="149"/>
      <c r="D161" s="95"/>
      <c r="E161" s="150"/>
      <c r="F161" s="150"/>
      <c r="G161" s="95"/>
      <c r="H161" s="149"/>
      <c r="I161" s="95"/>
      <c r="J161" s="95"/>
      <c r="K161" s="98"/>
      <c r="L161" s="99"/>
      <c r="M161" s="100"/>
      <c r="N161" s="127"/>
      <c r="O161" s="128"/>
      <c r="P161" s="95"/>
      <c r="Q161" s="137"/>
      <c r="R161" s="129"/>
      <c r="S161" s="95"/>
      <c r="T161" s="95"/>
      <c r="V161" s="107"/>
    </row>
    <row r="162" ht="15.75" customHeight="1">
      <c r="A162" s="89"/>
      <c r="B162" s="148"/>
      <c r="C162" s="149"/>
      <c r="D162" s="95"/>
      <c r="E162" s="150"/>
      <c r="F162" s="150"/>
      <c r="G162" s="95"/>
      <c r="H162" s="149"/>
      <c r="I162" s="95"/>
      <c r="J162" s="95"/>
      <c r="K162" s="112"/>
      <c r="L162" s="113"/>
      <c r="M162" s="100"/>
      <c r="N162" s="127"/>
      <c r="O162" s="128"/>
      <c r="P162" s="95"/>
      <c r="Q162" s="137"/>
      <c r="R162" s="129"/>
      <c r="S162" s="95"/>
      <c r="T162" s="95"/>
      <c r="V162" s="107"/>
    </row>
    <row r="163" ht="15.75" customHeight="1">
      <c r="A163" s="89"/>
      <c r="B163" s="148"/>
      <c r="C163" s="107"/>
      <c r="D163" s="95"/>
      <c r="E163" s="150"/>
      <c r="F163" s="150"/>
      <c r="G163" s="95"/>
      <c r="H163" s="149"/>
      <c r="I163" s="95"/>
      <c r="J163" s="95"/>
      <c r="K163" s="98"/>
      <c r="L163" s="99"/>
      <c r="M163" s="100"/>
      <c r="N163" s="127"/>
      <c r="O163" s="128"/>
      <c r="P163" s="95"/>
      <c r="Q163" s="137"/>
      <c r="R163" s="129"/>
      <c r="S163" s="95"/>
      <c r="T163" s="95"/>
      <c r="V163" s="107"/>
    </row>
    <row r="164" ht="15.75" customHeight="1">
      <c r="A164" s="89"/>
      <c r="B164" s="148"/>
      <c r="C164" s="149"/>
      <c r="D164" s="95"/>
      <c r="E164" s="150"/>
      <c r="F164" s="150"/>
      <c r="G164" s="95"/>
      <c r="H164" s="149"/>
      <c r="I164" s="95"/>
      <c r="J164" s="95"/>
      <c r="K164" s="112"/>
      <c r="L164" s="113"/>
      <c r="M164" s="100"/>
      <c r="N164" s="127"/>
      <c r="O164" s="128"/>
      <c r="P164" s="95"/>
      <c r="Q164" s="137"/>
      <c r="R164" s="129"/>
      <c r="S164" s="95"/>
      <c r="T164" s="95"/>
      <c r="V164" s="107"/>
    </row>
    <row r="165" ht="15.75" customHeight="1">
      <c r="A165" s="89"/>
      <c r="B165" s="148"/>
      <c r="C165" s="149"/>
      <c r="D165" s="95"/>
      <c r="E165" s="150"/>
      <c r="F165" s="150"/>
      <c r="G165" s="95"/>
      <c r="H165" s="149"/>
      <c r="I165" s="95"/>
      <c r="J165" s="95"/>
      <c r="K165" s="98"/>
      <c r="L165" s="99"/>
      <c r="M165" s="100"/>
      <c r="N165" s="127"/>
      <c r="O165" s="128"/>
      <c r="P165" s="95"/>
      <c r="Q165" s="137"/>
      <c r="R165" s="129"/>
      <c r="S165" s="95"/>
      <c r="T165" s="95"/>
      <c r="V165" s="107"/>
    </row>
    <row r="166" ht="15.75" customHeight="1">
      <c r="A166" s="89"/>
      <c r="B166" s="148"/>
      <c r="C166" s="149"/>
      <c r="D166" s="95"/>
      <c r="E166" s="150"/>
      <c r="F166" s="150"/>
      <c r="G166" s="95"/>
      <c r="H166" s="149"/>
      <c r="I166" s="95"/>
      <c r="J166" s="95"/>
      <c r="K166" s="112"/>
      <c r="L166" s="113"/>
      <c r="M166" s="100"/>
      <c r="N166" s="127"/>
      <c r="O166" s="128"/>
      <c r="P166" s="95"/>
      <c r="Q166" s="137"/>
      <c r="R166" s="129"/>
      <c r="S166" s="95"/>
      <c r="T166" s="95"/>
      <c r="V166" s="107"/>
    </row>
    <row r="167" ht="15.75" customHeight="1">
      <c r="A167" s="89"/>
      <c r="B167" s="148"/>
      <c r="C167" s="149"/>
      <c r="D167" s="95"/>
      <c r="E167" s="150"/>
      <c r="F167" s="150"/>
      <c r="G167" s="95"/>
      <c r="H167" s="149"/>
      <c r="I167" s="95"/>
      <c r="J167" s="95"/>
      <c r="K167" s="98"/>
      <c r="L167" s="99"/>
      <c r="M167" s="100"/>
      <c r="N167" s="127"/>
      <c r="O167" s="128"/>
      <c r="P167" s="95"/>
      <c r="Q167" s="137"/>
      <c r="R167" s="129"/>
      <c r="S167" s="95"/>
      <c r="T167" s="95"/>
      <c r="V167" s="107"/>
    </row>
    <row r="168" ht="15.75" customHeight="1">
      <c r="A168" s="89"/>
      <c r="B168" s="148"/>
      <c r="C168" s="149"/>
      <c r="D168" s="95"/>
      <c r="E168" s="150"/>
      <c r="F168" s="150"/>
      <c r="G168" s="95"/>
      <c r="H168" s="149"/>
      <c r="I168" s="95"/>
      <c r="J168" s="95"/>
      <c r="K168" s="112"/>
      <c r="L168" s="113"/>
      <c r="M168" s="100"/>
      <c r="N168" s="127"/>
      <c r="O168" s="128"/>
      <c r="P168" s="95"/>
      <c r="Q168" s="137"/>
      <c r="R168" s="129"/>
      <c r="S168" s="95"/>
      <c r="T168" s="95"/>
      <c r="V168" s="107"/>
    </row>
    <row r="169" ht="15.75" customHeight="1">
      <c r="A169" s="89"/>
      <c r="B169" s="148"/>
      <c r="C169" s="107"/>
      <c r="D169" s="95"/>
      <c r="E169" s="150"/>
      <c r="F169" s="150"/>
      <c r="G169" s="95"/>
      <c r="H169" s="149"/>
      <c r="I169" s="95"/>
      <c r="J169" s="95"/>
      <c r="K169" s="98"/>
      <c r="L169" s="99"/>
      <c r="M169" s="100"/>
      <c r="N169" s="127"/>
      <c r="O169" s="128"/>
      <c r="P169" s="95"/>
      <c r="Q169" s="137"/>
      <c r="R169" s="129"/>
      <c r="S169" s="95"/>
      <c r="T169" s="95"/>
      <c r="V169" s="107"/>
    </row>
    <row r="170" ht="15.75" customHeight="1">
      <c r="A170" s="89"/>
      <c r="B170" s="148"/>
      <c r="C170" s="149"/>
      <c r="D170" s="95"/>
      <c r="E170" s="150"/>
      <c r="F170" s="150"/>
      <c r="G170" s="95"/>
      <c r="H170" s="149"/>
      <c r="I170" s="95"/>
      <c r="J170" s="95"/>
      <c r="K170" s="112"/>
      <c r="L170" s="113"/>
      <c r="M170" s="100"/>
      <c r="N170" s="127"/>
      <c r="O170" s="128"/>
      <c r="P170" s="95"/>
      <c r="Q170" s="137"/>
      <c r="R170" s="129"/>
      <c r="S170" s="95"/>
      <c r="T170" s="95"/>
      <c r="V170" s="107"/>
    </row>
    <row r="171" ht="15.75" customHeight="1">
      <c r="A171" s="89"/>
      <c r="B171" s="148"/>
      <c r="C171" s="149"/>
      <c r="D171" s="95"/>
      <c r="E171" s="150"/>
      <c r="F171" s="150"/>
      <c r="G171" s="95"/>
      <c r="H171" s="149"/>
      <c r="I171" s="95"/>
      <c r="J171" s="95"/>
      <c r="K171" s="98"/>
      <c r="L171" s="99"/>
      <c r="M171" s="100"/>
      <c r="N171" s="127"/>
      <c r="O171" s="128"/>
      <c r="P171" s="95"/>
      <c r="Q171" s="137"/>
      <c r="R171" s="129"/>
      <c r="S171" s="95"/>
      <c r="T171" s="95"/>
      <c r="V171" s="107"/>
    </row>
    <row r="172" ht="15.75" customHeight="1">
      <c r="A172" s="89"/>
      <c r="B172" s="148"/>
      <c r="C172" s="149"/>
      <c r="D172" s="95"/>
      <c r="E172" s="150"/>
      <c r="F172" s="150"/>
      <c r="G172" s="95"/>
      <c r="H172" s="149"/>
      <c r="I172" s="95"/>
      <c r="J172" s="95"/>
      <c r="K172" s="112"/>
      <c r="L172" s="113"/>
      <c r="M172" s="100"/>
      <c r="N172" s="127"/>
      <c r="O172" s="128"/>
      <c r="P172" s="95"/>
      <c r="Q172" s="137"/>
      <c r="R172" s="129"/>
      <c r="S172" s="95"/>
      <c r="T172" s="95"/>
      <c r="V172" s="107"/>
    </row>
    <row r="173" ht="15.75" customHeight="1">
      <c r="A173" s="89"/>
      <c r="B173" s="148"/>
      <c r="C173" s="149"/>
      <c r="D173" s="95"/>
      <c r="E173" s="150"/>
      <c r="F173" s="150"/>
      <c r="G173" s="95"/>
      <c r="H173" s="149"/>
      <c r="I173" s="95"/>
      <c r="J173" s="95"/>
      <c r="K173" s="98"/>
      <c r="L173" s="99"/>
      <c r="M173" s="100"/>
      <c r="N173" s="127"/>
      <c r="O173" s="128"/>
      <c r="P173" s="95"/>
      <c r="Q173" s="137"/>
      <c r="R173" s="129"/>
      <c r="S173" s="95"/>
      <c r="T173" s="95"/>
      <c r="V173" s="107"/>
    </row>
    <row r="174" ht="15.75" customHeight="1">
      <c r="A174" s="89"/>
      <c r="B174" s="148"/>
      <c r="C174" s="149"/>
      <c r="D174" s="95"/>
      <c r="E174" s="150"/>
      <c r="F174" s="150"/>
      <c r="G174" s="95"/>
      <c r="H174" s="149"/>
      <c r="I174" s="95"/>
      <c r="J174" s="95"/>
      <c r="K174" s="112"/>
      <c r="L174" s="113"/>
      <c r="M174" s="100"/>
      <c r="N174" s="127"/>
      <c r="O174" s="128"/>
      <c r="P174" s="95"/>
      <c r="Q174" s="137"/>
      <c r="R174" s="129"/>
      <c r="S174" s="95"/>
      <c r="T174" s="95"/>
      <c r="V174" s="107"/>
    </row>
    <row r="175" ht="15.75" customHeight="1">
      <c r="A175" s="89"/>
      <c r="B175" s="148"/>
      <c r="C175" s="107"/>
      <c r="D175" s="95"/>
      <c r="E175" s="150"/>
      <c r="F175" s="150"/>
      <c r="G175" s="95"/>
      <c r="H175" s="149"/>
      <c r="I175" s="95"/>
      <c r="J175" s="95"/>
      <c r="K175" s="98"/>
      <c r="L175" s="99"/>
      <c r="M175" s="100"/>
      <c r="N175" s="127"/>
      <c r="O175" s="128"/>
      <c r="P175" s="95"/>
      <c r="Q175" s="137"/>
      <c r="R175" s="129"/>
      <c r="S175" s="95"/>
      <c r="T175" s="95"/>
      <c r="V175" s="107"/>
    </row>
    <row r="176" ht="15.75" customHeight="1">
      <c r="A176" s="89"/>
      <c r="B176" s="148"/>
      <c r="C176" s="149"/>
      <c r="D176" s="95"/>
      <c r="E176" s="150"/>
      <c r="F176" s="150"/>
      <c r="G176" s="95"/>
      <c r="H176" s="149"/>
      <c r="I176" s="95"/>
      <c r="J176" s="95"/>
      <c r="K176" s="112"/>
      <c r="L176" s="113"/>
      <c r="M176" s="100"/>
      <c r="N176" s="127"/>
      <c r="O176" s="128"/>
      <c r="P176" s="95"/>
      <c r="Q176" s="137"/>
      <c r="R176" s="129"/>
      <c r="S176" s="95"/>
      <c r="T176" s="95"/>
      <c r="V176" s="107"/>
    </row>
    <row r="177" ht="15.75" customHeight="1">
      <c r="A177" s="89"/>
      <c r="B177" s="148"/>
      <c r="C177" s="149"/>
      <c r="D177" s="95"/>
      <c r="E177" s="150"/>
      <c r="F177" s="150"/>
      <c r="G177" s="95"/>
      <c r="H177" s="149"/>
      <c r="I177" s="95"/>
      <c r="J177" s="95"/>
      <c r="K177" s="98"/>
      <c r="L177" s="99"/>
      <c r="M177" s="100"/>
      <c r="N177" s="127"/>
      <c r="O177" s="128"/>
      <c r="P177" s="95"/>
      <c r="Q177" s="137"/>
      <c r="R177" s="129"/>
      <c r="S177" s="95"/>
      <c r="T177" s="95"/>
      <c r="V177" s="107"/>
    </row>
    <row r="178" ht="15.75" customHeight="1">
      <c r="A178" s="89"/>
      <c r="B178" s="148"/>
      <c r="C178" s="149"/>
      <c r="D178" s="95"/>
      <c r="E178" s="150"/>
      <c r="F178" s="150"/>
      <c r="G178" s="95"/>
      <c r="H178" s="149"/>
      <c r="I178" s="95"/>
      <c r="J178" s="95"/>
      <c r="K178" s="112"/>
      <c r="L178" s="113"/>
      <c r="M178" s="100"/>
      <c r="N178" s="127"/>
      <c r="O178" s="128"/>
      <c r="P178" s="95"/>
      <c r="Q178" s="137"/>
      <c r="R178" s="129"/>
      <c r="S178" s="95"/>
      <c r="T178" s="95"/>
      <c r="V178" s="107"/>
    </row>
    <row r="179" ht="15.75" customHeight="1">
      <c r="A179" s="89"/>
      <c r="B179" s="148"/>
      <c r="C179" s="149"/>
      <c r="D179" s="95"/>
      <c r="E179" s="150"/>
      <c r="F179" s="150"/>
      <c r="G179" s="95"/>
      <c r="H179" s="149"/>
      <c r="I179" s="95"/>
      <c r="J179" s="95"/>
      <c r="K179" s="98"/>
      <c r="L179" s="99"/>
      <c r="M179" s="100"/>
      <c r="N179" s="127"/>
      <c r="O179" s="128"/>
      <c r="P179" s="95"/>
      <c r="Q179" s="137"/>
      <c r="R179" s="129"/>
      <c r="S179" s="95"/>
      <c r="T179" s="95"/>
      <c r="V179" s="107"/>
    </row>
    <row r="180" ht="15.75" customHeight="1">
      <c r="A180" s="89"/>
      <c r="B180" s="148"/>
      <c r="C180" s="149"/>
      <c r="D180" s="95"/>
      <c r="E180" s="150"/>
      <c r="F180" s="150"/>
      <c r="G180" s="95"/>
      <c r="H180" s="149"/>
      <c r="I180" s="95"/>
      <c r="J180" s="95"/>
      <c r="K180" s="112"/>
      <c r="L180" s="113"/>
      <c r="M180" s="100"/>
      <c r="N180" s="127"/>
      <c r="O180" s="128"/>
      <c r="P180" s="95"/>
      <c r="Q180" s="137"/>
      <c r="R180" s="129"/>
      <c r="S180" s="95"/>
      <c r="T180" s="95"/>
      <c r="V180" s="107"/>
    </row>
    <row r="181" ht="15.75" customHeight="1">
      <c r="A181" s="89"/>
      <c r="B181" s="148"/>
      <c r="C181" s="107"/>
      <c r="D181" s="95"/>
      <c r="E181" s="150"/>
      <c r="F181" s="150"/>
      <c r="G181" s="95"/>
      <c r="H181" s="149"/>
      <c r="I181" s="95"/>
      <c r="J181" s="95"/>
      <c r="K181" s="98"/>
      <c r="L181" s="99"/>
      <c r="M181" s="100"/>
      <c r="N181" s="127"/>
      <c r="O181" s="128"/>
      <c r="P181" s="95"/>
      <c r="Q181" s="137"/>
      <c r="R181" s="129"/>
      <c r="S181" s="95"/>
      <c r="T181" s="95"/>
      <c r="V181" s="107"/>
    </row>
    <row r="182" ht="15.75" customHeight="1">
      <c r="A182" s="89"/>
      <c r="B182" s="148"/>
      <c r="C182" s="149"/>
      <c r="D182" s="95"/>
      <c r="E182" s="150"/>
      <c r="F182" s="150"/>
      <c r="G182" s="95"/>
      <c r="H182" s="149"/>
      <c r="I182" s="95"/>
      <c r="J182" s="95"/>
      <c r="K182" s="112"/>
      <c r="L182" s="113"/>
      <c r="M182" s="100"/>
      <c r="N182" s="127"/>
      <c r="O182" s="128"/>
      <c r="P182" s="95"/>
      <c r="Q182" s="137"/>
      <c r="R182" s="129"/>
      <c r="S182" s="95"/>
      <c r="T182" s="95"/>
      <c r="V182" s="107"/>
    </row>
    <row r="183" ht="15.75" customHeight="1">
      <c r="A183" s="89"/>
      <c r="B183" s="148"/>
      <c r="C183" s="149"/>
      <c r="D183" s="95"/>
      <c r="E183" s="150"/>
      <c r="F183" s="150"/>
      <c r="G183" s="95"/>
      <c r="H183" s="149"/>
      <c r="I183" s="95"/>
      <c r="J183" s="95"/>
      <c r="K183" s="98"/>
      <c r="L183" s="99"/>
      <c r="M183" s="100"/>
      <c r="N183" s="127"/>
      <c r="O183" s="128"/>
      <c r="P183" s="95"/>
      <c r="Q183" s="137"/>
      <c r="R183" s="129"/>
      <c r="S183" s="95"/>
      <c r="T183" s="95"/>
      <c r="V183" s="107"/>
    </row>
    <row r="184" ht="15.75" customHeight="1">
      <c r="A184" s="89"/>
      <c r="B184" s="148"/>
      <c r="C184" s="149"/>
      <c r="D184" s="95"/>
      <c r="E184" s="150"/>
      <c r="F184" s="150"/>
      <c r="G184" s="95"/>
      <c r="H184" s="149"/>
      <c r="I184" s="95"/>
      <c r="J184" s="95"/>
      <c r="K184" s="112"/>
      <c r="L184" s="113"/>
      <c r="M184" s="100"/>
      <c r="N184" s="127"/>
      <c r="O184" s="128"/>
      <c r="P184" s="95"/>
      <c r="Q184" s="137"/>
      <c r="R184" s="129"/>
      <c r="S184" s="95"/>
      <c r="T184" s="95"/>
      <c r="V184" s="107"/>
    </row>
    <row r="185" ht="15.75" customHeight="1">
      <c r="A185" s="89"/>
      <c r="B185" s="148"/>
      <c r="C185" s="149"/>
      <c r="D185" s="95"/>
      <c r="E185" s="150"/>
      <c r="F185" s="150"/>
      <c r="G185" s="95"/>
      <c r="H185" s="149"/>
      <c r="I185" s="95"/>
      <c r="J185" s="95"/>
      <c r="K185" s="98"/>
      <c r="L185" s="99"/>
      <c r="M185" s="100"/>
      <c r="N185" s="127"/>
      <c r="O185" s="128"/>
      <c r="P185" s="95"/>
      <c r="Q185" s="137"/>
      <c r="R185" s="129"/>
      <c r="S185" s="95"/>
      <c r="T185" s="95"/>
      <c r="V185" s="107"/>
    </row>
    <row r="186" ht="15.75" customHeight="1">
      <c r="A186" s="89"/>
      <c r="B186" s="148"/>
      <c r="C186" s="149"/>
      <c r="D186" s="95"/>
      <c r="E186" s="150"/>
      <c r="F186" s="150"/>
      <c r="G186" s="95"/>
      <c r="H186" s="149"/>
      <c r="I186" s="95"/>
      <c r="J186" s="95"/>
      <c r="K186" s="112"/>
      <c r="L186" s="113"/>
      <c r="M186" s="100"/>
      <c r="N186" s="127"/>
      <c r="O186" s="128"/>
      <c r="P186" s="95"/>
      <c r="Q186" s="137"/>
      <c r="R186" s="129"/>
      <c r="S186" s="95"/>
      <c r="T186" s="95"/>
      <c r="V186" s="107"/>
    </row>
    <row r="187" ht="15.75" customHeight="1">
      <c r="A187" s="89"/>
      <c r="B187" s="148"/>
      <c r="C187" s="107"/>
      <c r="D187" s="95"/>
      <c r="E187" s="150"/>
      <c r="F187" s="150"/>
      <c r="G187" s="95"/>
      <c r="H187" s="149"/>
      <c r="I187" s="95"/>
      <c r="J187" s="95"/>
      <c r="K187" s="98"/>
      <c r="L187" s="99"/>
      <c r="M187" s="100"/>
      <c r="N187" s="127"/>
      <c r="O187" s="128"/>
      <c r="P187" s="95"/>
      <c r="Q187" s="137"/>
      <c r="R187" s="129"/>
      <c r="S187" s="95"/>
      <c r="T187" s="95"/>
      <c r="V187" s="107"/>
    </row>
    <row r="188" ht="15.75" customHeight="1">
      <c r="A188" s="89"/>
      <c r="B188" s="148"/>
      <c r="C188" s="149"/>
      <c r="D188" s="95"/>
      <c r="E188" s="150"/>
      <c r="F188" s="150"/>
      <c r="G188" s="95"/>
      <c r="H188" s="149"/>
      <c r="I188" s="95"/>
      <c r="J188" s="95"/>
      <c r="K188" s="112"/>
      <c r="L188" s="113"/>
      <c r="M188" s="100"/>
      <c r="N188" s="127"/>
      <c r="O188" s="128"/>
      <c r="P188" s="95"/>
      <c r="Q188" s="137"/>
      <c r="R188" s="129"/>
      <c r="S188" s="95"/>
      <c r="T188" s="95"/>
      <c r="V188" s="107"/>
    </row>
    <row r="189" ht="15.75" customHeight="1">
      <c r="A189" s="89"/>
      <c r="B189" s="148"/>
      <c r="C189" s="149"/>
      <c r="D189" s="95"/>
      <c r="E189" s="150"/>
      <c r="F189" s="150"/>
      <c r="G189" s="95"/>
      <c r="H189" s="149"/>
      <c r="I189" s="95"/>
      <c r="J189" s="95"/>
      <c r="K189" s="98"/>
      <c r="L189" s="99"/>
      <c r="M189" s="100"/>
      <c r="N189" s="127"/>
      <c r="O189" s="128"/>
      <c r="P189" s="95"/>
      <c r="Q189" s="137"/>
      <c r="R189" s="129"/>
      <c r="S189" s="95"/>
      <c r="T189" s="95"/>
      <c r="V189" s="107"/>
    </row>
    <row r="190" ht="15.75" customHeight="1">
      <c r="A190" s="89"/>
      <c r="B190" s="148"/>
      <c r="C190" s="149"/>
      <c r="D190" s="95"/>
      <c r="E190" s="150"/>
      <c r="F190" s="150"/>
      <c r="G190" s="95"/>
      <c r="H190" s="149"/>
      <c r="I190" s="95"/>
      <c r="J190" s="95"/>
      <c r="K190" s="112"/>
      <c r="L190" s="113"/>
      <c r="M190" s="100"/>
      <c r="N190" s="127"/>
      <c r="O190" s="128"/>
      <c r="P190" s="95"/>
      <c r="Q190" s="137"/>
      <c r="R190" s="129"/>
      <c r="S190" s="95"/>
      <c r="T190" s="95"/>
      <c r="V190" s="107"/>
    </row>
    <row r="191" ht="15.75" customHeight="1">
      <c r="A191" s="89"/>
      <c r="B191" s="148"/>
      <c r="C191" s="149"/>
      <c r="D191" s="95"/>
      <c r="E191" s="150"/>
      <c r="F191" s="150"/>
      <c r="G191" s="95"/>
      <c r="H191" s="149"/>
      <c r="I191" s="95"/>
      <c r="J191" s="95"/>
      <c r="K191" s="98"/>
      <c r="L191" s="99"/>
      <c r="M191" s="100"/>
      <c r="N191" s="127"/>
      <c r="O191" s="128"/>
      <c r="P191" s="95"/>
      <c r="Q191" s="137"/>
      <c r="R191" s="129"/>
      <c r="S191" s="95"/>
      <c r="T191" s="95"/>
      <c r="V191" s="107"/>
    </row>
    <row r="192" ht="15.75" customHeight="1">
      <c r="A192" s="89"/>
      <c r="B192" s="148"/>
      <c r="C192" s="149"/>
      <c r="D192" s="95"/>
      <c r="E192" s="150"/>
      <c r="F192" s="150"/>
      <c r="G192" s="95"/>
      <c r="H192" s="149"/>
      <c r="I192" s="95"/>
      <c r="J192" s="95"/>
      <c r="K192" s="112"/>
      <c r="L192" s="113"/>
      <c r="M192" s="100"/>
      <c r="N192" s="127"/>
      <c r="O192" s="128"/>
      <c r="P192" s="95"/>
      <c r="Q192" s="137"/>
      <c r="R192" s="129"/>
      <c r="S192" s="95"/>
      <c r="T192" s="95"/>
      <c r="V192" s="107"/>
    </row>
    <row r="193" ht="15.75" customHeight="1">
      <c r="A193" s="89"/>
      <c r="B193" s="148"/>
      <c r="C193" s="107"/>
      <c r="D193" s="95"/>
      <c r="E193" s="150"/>
      <c r="F193" s="150"/>
      <c r="G193" s="95"/>
      <c r="H193" s="149"/>
      <c r="I193" s="95"/>
      <c r="J193" s="95"/>
      <c r="K193" s="98"/>
      <c r="L193" s="99"/>
      <c r="M193" s="100"/>
      <c r="N193" s="127"/>
      <c r="O193" s="128"/>
      <c r="P193" s="95"/>
      <c r="Q193" s="137"/>
      <c r="R193" s="129"/>
      <c r="S193" s="95"/>
      <c r="T193" s="95"/>
      <c r="V193" s="107"/>
    </row>
    <row r="194" ht="15.75" customHeight="1">
      <c r="A194" s="89"/>
      <c r="B194" s="148"/>
      <c r="C194" s="149"/>
      <c r="D194" s="95"/>
      <c r="E194" s="150"/>
      <c r="F194" s="150"/>
      <c r="G194" s="95"/>
      <c r="H194" s="149"/>
      <c r="I194" s="95"/>
      <c r="J194" s="95"/>
      <c r="K194" s="112"/>
      <c r="L194" s="113"/>
      <c r="M194" s="100"/>
      <c r="N194" s="127"/>
      <c r="O194" s="128"/>
      <c r="P194" s="95"/>
      <c r="Q194" s="137"/>
      <c r="R194" s="129"/>
      <c r="S194" s="95"/>
      <c r="T194" s="95"/>
      <c r="V194" s="107"/>
    </row>
    <row r="195" ht="15.75" customHeight="1">
      <c r="A195" s="89"/>
      <c r="B195" s="148"/>
      <c r="C195" s="149"/>
      <c r="D195" s="95"/>
      <c r="E195" s="150"/>
      <c r="F195" s="150"/>
      <c r="G195" s="95"/>
      <c r="H195" s="149"/>
      <c r="I195" s="95"/>
      <c r="J195" s="95"/>
      <c r="K195" s="98"/>
      <c r="L195" s="99"/>
      <c r="M195" s="100"/>
      <c r="N195" s="127"/>
      <c r="O195" s="128"/>
      <c r="P195" s="95"/>
      <c r="Q195" s="137"/>
      <c r="R195" s="129"/>
      <c r="S195" s="95"/>
      <c r="T195" s="95"/>
      <c r="V195" s="107"/>
    </row>
    <row r="196" ht="15.75" customHeight="1">
      <c r="A196" s="89"/>
      <c r="B196" s="148"/>
      <c r="C196" s="149"/>
      <c r="D196" s="95"/>
      <c r="E196" s="150"/>
      <c r="F196" s="150"/>
      <c r="G196" s="95"/>
      <c r="H196" s="149"/>
      <c r="I196" s="95"/>
      <c r="J196" s="95"/>
      <c r="K196" s="112"/>
      <c r="L196" s="113"/>
      <c r="M196" s="100"/>
      <c r="N196" s="127"/>
      <c r="O196" s="128"/>
      <c r="P196" s="95"/>
      <c r="Q196" s="137"/>
      <c r="R196" s="129"/>
      <c r="S196" s="95"/>
      <c r="T196" s="95"/>
      <c r="V196" s="107"/>
    </row>
    <row r="197" ht="15.75" customHeight="1">
      <c r="A197" s="89"/>
      <c r="B197" s="148"/>
      <c r="C197" s="149"/>
      <c r="D197" s="95"/>
      <c r="E197" s="150"/>
      <c r="F197" s="150"/>
      <c r="G197" s="95"/>
      <c r="H197" s="149"/>
      <c r="I197" s="95"/>
      <c r="J197" s="95"/>
      <c r="K197" s="98"/>
      <c r="L197" s="99"/>
      <c r="M197" s="100"/>
      <c r="N197" s="127"/>
      <c r="O197" s="128"/>
      <c r="P197" s="95"/>
      <c r="Q197" s="137"/>
      <c r="R197" s="129"/>
      <c r="S197" s="95"/>
      <c r="T197" s="95"/>
      <c r="V197" s="107"/>
    </row>
    <row r="198" ht="15.75" customHeight="1">
      <c r="A198" s="89"/>
      <c r="B198" s="148"/>
      <c r="C198" s="149"/>
      <c r="D198" s="95"/>
      <c r="E198" s="150"/>
      <c r="F198" s="150"/>
      <c r="G198" s="95"/>
      <c r="H198" s="149"/>
      <c r="I198" s="95"/>
      <c r="J198" s="95"/>
      <c r="K198" s="112"/>
      <c r="L198" s="113"/>
      <c r="M198" s="100"/>
      <c r="N198" s="127"/>
      <c r="O198" s="128"/>
      <c r="P198" s="95"/>
      <c r="Q198" s="137"/>
      <c r="R198" s="129"/>
      <c r="S198" s="95"/>
      <c r="T198" s="95"/>
      <c r="V198" s="107"/>
    </row>
    <row r="199" ht="15.75" customHeight="1">
      <c r="A199" s="89"/>
      <c r="B199" s="148"/>
      <c r="C199" s="107"/>
      <c r="D199" s="95"/>
      <c r="E199" s="150"/>
      <c r="F199" s="150"/>
      <c r="G199" s="95"/>
      <c r="H199" s="149"/>
      <c r="I199" s="95"/>
      <c r="J199" s="95"/>
      <c r="K199" s="98"/>
      <c r="L199" s="99"/>
      <c r="M199" s="100"/>
      <c r="N199" s="127"/>
      <c r="O199" s="128"/>
      <c r="P199" s="95"/>
      <c r="Q199" s="137"/>
      <c r="R199" s="129"/>
      <c r="S199" s="95"/>
      <c r="T199" s="95"/>
      <c r="V199" s="107"/>
    </row>
    <row r="200" ht="15.75" customHeight="1">
      <c r="A200" s="89"/>
      <c r="B200" s="148"/>
      <c r="C200" s="149"/>
      <c r="D200" s="95"/>
      <c r="E200" s="150"/>
      <c r="F200" s="150"/>
      <c r="G200" s="95"/>
      <c r="H200" s="149"/>
      <c r="I200" s="95"/>
      <c r="J200" s="95"/>
      <c r="K200" s="112"/>
      <c r="L200" s="113"/>
      <c r="M200" s="100"/>
      <c r="N200" s="127"/>
      <c r="O200" s="128"/>
      <c r="P200" s="95"/>
      <c r="Q200" s="137"/>
      <c r="R200" s="129"/>
      <c r="S200" s="95"/>
      <c r="T200" s="95"/>
      <c r="V200" s="107"/>
    </row>
    <row r="201" ht="15.75" customHeight="1">
      <c r="A201" s="89"/>
      <c r="B201" s="148"/>
      <c r="C201" s="149"/>
      <c r="D201" s="95"/>
      <c r="E201" s="150"/>
      <c r="F201" s="150"/>
      <c r="G201" s="95"/>
      <c r="H201" s="149"/>
      <c r="I201" s="95"/>
      <c r="J201" s="95"/>
      <c r="K201" s="98"/>
      <c r="L201" s="99"/>
      <c r="M201" s="100"/>
      <c r="N201" s="127"/>
      <c r="O201" s="128"/>
      <c r="P201" s="95"/>
      <c r="Q201" s="137"/>
      <c r="R201" s="129"/>
      <c r="S201" s="95"/>
      <c r="T201" s="95"/>
      <c r="V201" s="107"/>
    </row>
    <row r="202" ht="15.75" customHeight="1">
      <c r="A202" s="89"/>
      <c r="B202" s="148"/>
      <c r="C202" s="149"/>
      <c r="D202" s="95"/>
      <c r="E202" s="150"/>
      <c r="F202" s="150"/>
      <c r="G202" s="95"/>
      <c r="H202" s="149"/>
      <c r="I202" s="95"/>
      <c r="J202" s="95"/>
      <c r="K202" s="112"/>
      <c r="L202" s="113"/>
      <c r="M202" s="100"/>
      <c r="N202" s="127"/>
      <c r="O202" s="128"/>
      <c r="P202" s="95"/>
      <c r="Q202" s="137"/>
      <c r="R202" s="129"/>
      <c r="S202" s="95"/>
      <c r="T202" s="95"/>
      <c r="V202" s="107"/>
    </row>
    <row r="203" ht="15.75" customHeight="1">
      <c r="A203" s="89"/>
      <c r="B203" s="148"/>
      <c r="C203" s="149"/>
      <c r="D203" s="95"/>
      <c r="E203" s="150"/>
      <c r="F203" s="150"/>
      <c r="G203" s="95"/>
      <c r="H203" s="149"/>
      <c r="I203" s="95"/>
      <c r="J203" s="95"/>
      <c r="K203" s="98"/>
      <c r="L203" s="99"/>
      <c r="M203" s="100"/>
      <c r="N203" s="127"/>
      <c r="O203" s="128"/>
      <c r="P203" s="95"/>
      <c r="Q203" s="137"/>
      <c r="R203" s="129"/>
      <c r="S203" s="95"/>
      <c r="T203" s="95"/>
      <c r="V203" s="107"/>
    </row>
    <row r="204" ht="15.75" customHeight="1">
      <c r="A204" s="89"/>
      <c r="B204" s="148"/>
      <c r="C204" s="149"/>
      <c r="D204" s="95"/>
      <c r="E204" s="150"/>
      <c r="F204" s="150"/>
      <c r="G204" s="95"/>
      <c r="H204" s="149"/>
      <c r="I204" s="95"/>
      <c r="J204" s="95"/>
      <c r="K204" s="112"/>
      <c r="L204" s="113"/>
      <c r="M204" s="100"/>
      <c r="N204" s="127"/>
      <c r="O204" s="128"/>
      <c r="P204" s="95"/>
      <c r="Q204" s="137"/>
      <c r="R204" s="129"/>
      <c r="S204" s="95"/>
      <c r="T204" s="95"/>
      <c r="V204" s="107"/>
    </row>
    <row r="205" ht="15.75" customHeight="1">
      <c r="A205" s="89"/>
      <c r="B205" s="148"/>
      <c r="C205" s="107"/>
      <c r="D205" s="95"/>
      <c r="E205" s="150"/>
      <c r="F205" s="150"/>
      <c r="G205" s="95"/>
      <c r="H205" s="149"/>
      <c r="I205" s="95"/>
      <c r="J205" s="95"/>
      <c r="K205" s="98"/>
      <c r="L205" s="99"/>
      <c r="M205" s="100"/>
      <c r="N205" s="127"/>
      <c r="O205" s="128"/>
      <c r="P205" s="95"/>
      <c r="Q205" s="137"/>
      <c r="R205" s="129"/>
      <c r="S205" s="95"/>
      <c r="T205" s="95"/>
      <c r="V205" s="107"/>
    </row>
    <row r="206" ht="15.75" customHeight="1">
      <c r="A206" s="89"/>
      <c r="B206" s="148"/>
      <c r="C206" s="149"/>
      <c r="D206" s="95"/>
      <c r="E206" s="150"/>
      <c r="F206" s="150"/>
      <c r="G206" s="95"/>
      <c r="H206" s="149"/>
      <c r="I206" s="95"/>
      <c r="J206" s="95"/>
      <c r="K206" s="112"/>
      <c r="L206" s="113"/>
      <c r="M206" s="100"/>
      <c r="N206" s="127"/>
      <c r="O206" s="128"/>
      <c r="P206" s="95"/>
      <c r="Q206" s="137"/>
      <c r="R206" s="129"/>
      <c r="S206" s="95"/>
      <c r="T206" s="95"/>
      <c r="V206" s="107"/>
    </row>
    <row r="207" ht="15.75" customHeight="1">
      <c r="A207" s="89"/>
      <c r="B207" s="148"/>
      <c r="C207" s="149"/>
      <c r="D207" s="95"/>
      <c r="E207" s="150"/>
      <c r="F207" s="150"/>
      <c r="G207" s="95"/>
      <c r="H207" s="149"/>
      <c r="I207" s="95"/>
      <c r="J207" s="95"/>
      <c r="K207" s="98"/>
      <c r="L207" s="99"/>
      <c r="M207" s="100"/>
      <c r="N207" s="127"/>
      <c r="O207" s="128"/>
      <c r="P207" s="95"/>
      <c r="Q207" s="137"/>
      <c r="R207" s="129"/>
      <c r="S207" s="95"/>
      <c r="T207" s="95"/>
      <c r="V207" s="107"/>
    </row>
    <row r="208" ht="15.75" customHeight="1">
      <c r="A208" s="89"/>
      <c r="B208" s="148"/>
      <c r="C208" s="149"/>
      <c r="D208" s="95"/>
      <c r="E208" s="150"/>
      <c r="F208" s="150"/>
      <c r="G208" s="95"/>
      <c r="H208" s="149"/>
      <c r="I208" s="95"/>
      <c r="J208" s="95"/>
      <c r="K208" s="112"/>
      <c r="L208" s="113"/>
      <c r="M208" s="100"/>
      <c r="N208" s="127"/>
      <c r="O208" s="128"/>
      <c r="P208" s="95"/>
      <c r="Q208" s="137"/>
      <c r="R208" s="129"/>
      <c r="S208" s="95"/>
      <c r="T208" s="95"/>
      <c r="V208" s="107"/>
    </row>
    <row r="209" ht="15.75" customHeight="1">
      <c r="A209" s="89"/>
      <c r="B209" s="148"/>
      <c r="C209" s="149"/>
      <c r="D209" s="95"/>
      <c r="E209" s="150"/>
      <c r="F209" s="150"/>
      <c r="G209" s="95"/>
      <c r="H209" s="149"/>
      <c r="I209" s="95"/>
      <c r="J209" s="95"/>
      <c r="K209" s="98"/>
      <c r="L209" s="99"/>
      <c r="M209" s="100"/>
      <c r="N209" s="127"/>
      <c r="O209" s="128"/>
      <c r="P209" s="95"/>
      <c r="Q209" s="137"/>
      <c r="R209" s="129"/>
      <c r="S209" s="95"/>
      <c r="T209" s="95"/>
      <c r="V209" s="107"/>
    </row>
    <row r="210" ht="15.75" customHeight="1">
      <c r="A210" s="89"/>
      <c r="B210" s="148"/>
      <c r="C210" s="149"/>
      <c r="D210" s="95"/>
      <c r="E210" s="150"/>
      <c r="F210" s="150"/>
      <c r="G210" s="95"/>
      <c r="H210" s="149"/>
      <c r="I210" s="95"/>
      <c r="J210" s="95"/>
      <c r="K210" s="112"/>
      <c r="L210" s="113"/>
      <c r="M210" s="100"/>
      <c r="N210" s="127"/>
      <c r="O210" s="128"/>
      <c r="P210" s="95"/>
      <c r="Q210" s="137"/>
      <c r="R210" s="129"/>
      <c r="S210" s="95"/>
      <c r="T210" s="95"/>
      <c r="V210" s="107"/>
    </row>
    <row r="211" ht="15.75" customHeight="1">
      <c r="A211" s="89"/>
      <c r="B211" s="148"/>
      <c r="C211" s="107"/>
      <c r="D211" s="95"/>
      <c r="E211" s="150"/>
      <c r="F211" s="150"/>
      <c r="G211" s="95"/>
      <c r="H211" s="149"/>
      <c r="I211" s="95"/>
      <c r="J211" s="95"/>
      <c r="K211" s="98"/>
      <c r="L211" s="99"/>
      <c r="M211" s="100"/>
      <c r="N211" s="127"/>
      <c r="O211" s="128"/>
      <c r="P211" s="95"/>
      <c r="Q211" s="137"/>
      <c r="R211" s="129"/>
      <c r="S211" s="95"/>
      <c r="T211" s="95"/>
      <c r="V211" s="107"/>
    </row>
    <row r="212" ht="15.75" customHeight="1">
      <c r="A212" s="89"/>
      <c r="B212" s="148"/>
      <c r="C212" s="149"/>
      <c r="D212" s="95"/>
      <c r="E212" s="150"/>
      <c r="F212" s="150"/>
      <c r="G212" s="95"/>
      <c r="H212" s="149"/>
      <c r="I212" s="95"/>
      <c r="J212" s="95"/>
      <c r="K212" s="112"/>
      <c r="L212" s="113"/>
      <c r="M212" s="100"/>
      <c r="N212" s="127"/>
      <c r="O212" s="128"/>
      <c r="P212" s="95"/>
      <c r="Q212" s="137"/>
      <c r="R212" s="129"/>
      <c r="S212" s="95"/>
      <c r="T212" s="95"/>
      <c r="V212" s="107"/>
    </row>
    <row r="213" ht="15.75" customHeight="1">
      <c r="A213" s="89"/>
      <c r="B213" s="148"/>
      <c r="C213" s="149"/>
      <c r="D213" s="95"/>
      <c r="E213" s="150"/>
      <c r="F213" s="150"/>
      <c r="G213" s="95"/>
      <c r="H213" s="149"/>
      <c r="I213" s="95"/>
      <c r="J213" s="95"/>
      <c r="K213" s="98"/>
      <c r="L213" s="99"/>
      <c r="M213" s="100"/>
      <c r="N213" s="127"/>
      <c r="O213" s="128"/>
      <c r="P213" s="95"/>
      <c r="Q213" s="137"/>
      <c r="R213" s="129"/>
      <c r="S213" s="95"/>
      <c r="T213" s="95"/>
      <c r="V213" s="107"/>
    </row>
    <row r="214" ht="15.75" customHeight="1">
      <c r="A214" s="89"/>
      <c r="B214" s="148"/>
      <c r="C214" s="149"/>
      <c r="D214" s="95"/>
      <c r="E214" s="150"/>
      <c r="F214" s="150"/>
      <c r="G214" s="95"/>
      <c r="H214" s="149"/>
      <c r="I214" s="95"/>
      <c r="J214" s="95"/>
      <c r="K214" s="112"/>
      <c r="L214" s="113"/>
      <c r="M214" s="100"/>
      <c r="N214" s="127"/>
      <c r="O214" s="128"/>
      <c r="P214" s="95"/>
      <c r="Q214" s="137"/>
      <c r="R214" s="129"/>
      <c r="S214" s="95"/>
      <c r="T214" s="95"/>
      <c r="V214" s="107"/>
    </row>
    <row r="215" ht="15.75" customHeight="1">
      <c r="A215" s="89"/>
      <c r="B215" s="148"/>
      <c r="C215" s="149"/>
      <c r="D215" s="95"/>
      <c r="E215" s="150"/>
      <c r="F215" s="150"/>
      <c r="G215" s="95"/>
      <c r="H215" s="149"/>
      <c r="I215" s="95"/>
      <c r="J215" s="95"/>
      <c r="K215" s="98"/>
      <c r="L215" s="99"/>
      <c r="M215" s="100"/>
      <c r="N215" s="127"/>
      <c r="O215" s="128"/>
      <c r="P215" s="95"/>
      <c r="Q215" s="137"/>
      <c r="R215" s="129"/>
      <c r="S215" s="95"/>
      <c r="T215" s="95"/>
      <c r="V215" s="107"/>
    </row>
    <row r="216" ht="15.75" customHeight="1">
      <c r="A216" s="89"/>
      <c r="B216" s="148"/>
      <c r="C216" s="149"/>
      <c r="D216" s="95"/>
      <c r="E216" s="150"/>
      <c r="F216" s="150"/>
      <c r="G216" s="95"/>
      <c r="H216" s="149"/>
      <c r="I216" s="95"/>
      <c r="J216" s="95"/>
      <c r="K216" s="112"/>
      <c r="L216" s="113"/>
      <c r="M216" s="100"/>
      <c r="N216" s="127"/>
      <c r="O216" s="128"/>
      <c r="P216" s="95"/>
      <c r="Q216" s="137"/>
      <c r="R216" s="129"/>
      <c r="S216" s="95"/>
      <c r="T216" s="95"/>
      <c r="V216" s="107"/>
    </row>
    <row r="217" ht="15.75" customHeight="1">
      <c r="A217" s="89"/>
      <c r="B217" s="148"/>
      <c r="C217" s="107"/>
      <c r="D217" s="95"/>
      <c r="E217" s="150"/>
      <c r="F217" s="150"/>
      <c r="G217" s="95"/>
      <c r="H217" s="149"/>
      <c r="I217" s="95"/>
      <c r="J217" s="95"/>
      <c r="K217" s="98"/>
      <c r="L217" s="99"/>
      <c r="M217" s="100"/>
      <c r="N217" s="127"/>
      <c r="O217" s="128"/>
      <c r="P217" s="95"/>
      <c r="Q217" s="137"/>
      <c r="R217" s="129"/>
      <c r="S217" s="95"/>
      <c r="T217" s="95"/>
      <c r="V217" s="107"/>
    </row>
    <row r="218" ht="15.75" customHeight="1">
      <c r="A218" s="89"/>
      <c r="B218" s="148"/>
      <c r="C218" s="149"/>
      <c r="D218" s="95"/>
      <c r="E218" s="150"/>
      <c r="F218" s="150"/>
      <c r="G218" s="95"/>
      <c r="H218" s="149"/>
      <c r="I218" s="95"/>
      <c r="J218" s="95"/>
      <c r="K218" s="112"/>
      <c r="L218" s="113"/>
      <c r="M218" s="100"/>
      <c r="N218" s="127"/>
      <c r="O218" s="128"/>
      <c r="P218" s="95"/>
      <c r="Q218" s="137"/>
      <c r="R218" s="129"/>
      <c r="S218" s="95"/>
      <c r="T218" s="95"/>
      <c r="V218" s="107"/>
    </row>
    <row r="219" ht="15.75" customHeight="1">
      <c r="A219" s="89"/>
      <c r="B219" s="148"/>
      <c r="C219" s="149"/>
      <c r="D219" s="95"/>
      <c r="E219" s="150"/>
      <c r="F219" s="150"/>
      <c r="G219" s="95"/>
      <c r="H219" s="149"/>
      <c r="I219" s="95"/>
      <c r="J219" s="95"/>
      <c r="K219" s="98"/>
      <c r="L219" s="99"/>
      <c r="M219" s="100"/>
      <c r="N219" s="127"/>
      <c r="O219" s="128"/>
      <c r="P219" s="95"/>
      <c r="Q219" s="137"/>
      <c r="R219" s="129"/>
      <c r="S219" s="95"/>
      <c r="T219" s="95"/>
      <c r="V219" s="107"/>
    </row>
    <row r="220" ht="15.75" customHeight="1">
      <c r="A220" s="89"/>
      <c r="B220" s="148"/>
      <c r="C220" s="149"/>
      <c r="D220" s="95"/>
      <c r="E220" s="150"/>
      <c r="F220" s="150"/>
      <c r="G220" s="95"/>
      <c r="H220" s="149"/>
      <c r="I220" s="95"/>
      <c r="J220" s="95"/>
      <c r="K220" s="112"/>
      <c r="L220" s="113"/>
      <c r="M220" s="100"/>
      <c r="N220" s="127"/>
      <c r="O220" s="128"/>
      <c r="P220" s="95"/>
      <c r="Q220" s="137"/>
      <c r="R220" s="129"/>
      <c r="S220" s="95"/>
      <c r="T220" s="95"/>
      <c r="V220" s="107"/>
    </row>
    <row r="221" ht="15.75" customHeight="1">
      <c r="A221" s="89"/>
      <c r="B221" s="148"/>
      <c r="C221" s="149"/>
      <c r="D221" s="95"/>
      <c r="E221" s="150"/>
      <c r="F221" s="150"/>
      <c r="G221" s="95"/>
      <c r="H221" s="149"/>
      <c r="I221" s="95"/>
      <c r="J221" s="95"/>
      <c r="K221" s="98"/>
      <c r="L221" s="99"/>
      <c r="M221" s="100"/>
      <c r="N221" s="127"/>
      <c r="O221" s="128"/>
      <c r="P221" s="95"/>
      <c r="Q221" s="137"/>
      <c r="R221" s="129"/>
      <c r="S221" s="95"/>
      <c r="T221" s="95"/>
      <c r="V221" s="107"/>
    </row>
    <row r="222" ht="15.75" customHeight="1">
      <c r="A222" s="89"/>
      <c r="B222" s="148"/>
      <c r="C222" s="149"/>
      <c r="D222" s="95"/>
      <c r="E222" s="150"/>
      <c r="F222" s="150"/>
      <c r="G222" s="95"/>
      <c r="H222" s="149"/>
      <c r="I222" s="95"/>
      <c r="J222" s="95"/>
      <c r="K222" s="112"/>
      <c r="L222" s="113"/>
      <c r="M222" s="100"/>
      <c r="N222" s="127"/>
      <c r="O222" s="128"/>
      <c r="P222" s="95"/>
      <c r="Q222" s="137"/>
      <c r="R222" s="129"/>
      <c r="S222" s="95"/>
      <c r="T222" s="95"/>
      <c r="V222" s="107"/>
    </row>
    <row r="223" ht="15.75" customHeight="1">
      <c r="A223" s="89"/>
      <c r="B223" s="148"/>
      <c r="C223" s="107"/>
      <c r="D223" s="95"/>
      <c r="E223" s="150"/>
      <c r="F223" s="150"/>
      <c r="G223" s="95"/>
      <c r="H223" s="149"/>
      <c r="I223" s="95"/>
      <c r="J223" s="95"/>
      <c r="K223" s="98"/>
      <c r="L223" s="99"/>
      <c r="M223" s="100"/>
      <c r="N223" s="127"/>
      <c r="O223" s="128"/>
      <c r="P223" s="95"/>
      <c r="Q223" s="137"/>
      <c r="R223" s="129"/>
      <c r="S223" s="95"/>
      <c r="T223" s="95"/>
      <c r="V223" s="107"/>
    </row>
    <row r="224" ht="15.75" customHeight="1">
      <c r="A224" s="89"/>
      <c r="B224" s="148"/>
      <c r="C224" s="149"/>
      <c r="D224" s="95"/>
      <c r="E224" s="150"/>
      <c r="F224" s="150"/>
      <c r="G224" s="95"/>
      <c r="H224" s="149"/>
      <c r="I224" s="95"/>
      <c r="J224" s="95"/>
      <c r="K224" s="112"/>
      <c r="L224" s="113"/>
      <c r="M224" s="100"/>
      <c r="N224" s="127"/>
      <c r="O224" s="128"/>
      <c r="P224" s="95"/>
      <c r="Q224" s="137"/>
      <c r="R224" s="129"/>
      <c r="S224" s="95"/>
      <c r="T224" s="95"/>
      <c r="V224" s="107"/>
    </row>
    <row r="225" ht="15.75" customHeight="1">
      <c r="A225" s="89"/>
      <c r="B225" s="148"/>
      <c r="C225" s="149"/>
      <c r="D225" s="95"/>
      <c r="E225" s="150"/>
      <c r="F225" s="150"/>
      <c r="G225" s="95"/>
      <c r="H225" s="149"/>
      <c r="I225" s="95"/>
      <c r="J225" s="95"/>
      <c r="K225" s="98"/>
      <c r="L225" s="99"/>
      <c r="M225" s="100"/>
      <c r="N225" s="127"/>
      <c r="O225" s="128"/>
      <c r="P225" s="95"/>
      <c r="Q225" s="137"/>
      <c r="R225" s="129"/>
      <c r="S225" s="95"/>
      <c r="T225" s="95"/>
      <c r="V225" s="107"/>
    </row>
    <row r="226" ht="15.75" customHeight="1">
      <c r="A226" s="89"/>
      <c r="B226" s="148"/>
      <c r="C226" s="149"/>
      <c r="D226" s="95"/>
      <c r="E226" s="150"/>
      <c r="F226" s="150"/>
      <c r="G226" s="95"/>
      <c r="H226" s="149"/>
      <c r="I226" s="95"/>
      <c r="J226" s="95"/>
      <c r="K226" s="112"/>
      <c r="L226" s="113"/>
      <c r="M226" s="100"/>
      <c r="N226" s="127"/>
      <c r="O226" s="128"/>
      <c r="P226" s="95"/>
      <c r="Q226" s="137"/>
      <c r="R226" s="129"/>
      <c r="S226" s="95"/>
      <c r="T226" s="95"/>
      <c r="V226" s="107"/>
    </row>
    <row r="227" ht="15.75" customHeight="1">
      <c r="A227" s="89"/>
      <c r="B227" s="148"/>
      <c r="C227" s="149"/>
      <c r="D227" s="95"/>
      <c r="E227" s="150"/>
      <c r="F227" s="150"/>
      <c r="G227" s="95"/>
      <c r="H227" s="149"/>
      <c r="I227" s="95"/>
      <c r="J227" s="95"/>
      <c r="K227" s="98"/>
      <c r="L227" s="99"/>
      <c r="M227" s="100"/>
      <c r="N227" s="127"/>
      <c r="O227" s="128"/>
      <c r="P227" s="95"/>
      <c r="Q227" s="137"/>
      <c r="R227" s="129"/>
      <c r="S227" s="95"/>
      <c r="T227" s="95"/>
      <c r="V227" s="107"/>
    </row>
    <row r="228" ht="15.75" customHeight="1">
      <c r="A228" s="89"/>
      <c r="B228" s="148"/>
      <c r="C228" s="149"/>
      <c r="D228" s="95"/>
      <c r="E228" s="150"/>
      <c r="F228" s="150"/>
      <c r="G228" s="95"/>
      <c r="H228" s="149"/>
      <c r="I228" s="95"/>
      <c r="J228" s="95"/>
      <c r="K228" s="112"/>
      <c r="L228" s="113"/>
      <c r="M228" s="100"/>
      <c r="N228" s="127"/>
      <c r="O228" s="128"/>
      <c r="P228" s="95"/>
      <c r="Q228" s="137"/>
      <c r="R228" s="129"/>
      <c r="S228" s="95"/>
      <c r="T228" s="95"/>
      <c r="V228" s="107"/>
    </row>
    <row r="229" ht="15.75" customHeight="1">
      <c r="A229" s="89"/>
      <c r="B229" s="148"/>
      <c r="C229" s="107"/>
      <c r="D229" s="95"/>
      <c r="E229" s="150"/>
      <c r="F229" s="150"/>
      <c r="G229" s="95"/>
      <c r="H229" s="149"/>
      <c r="I229" s="95"/>
      <c r="J229" s="95"/>
      <c r="K229" s="98"/>
      <c r="L229" s="99"/>
      <c r="M229" s="100"/>
      <c r="N229" s="127"/>
      <c r="O229" s="128"/>
      <c r="P229" s="95"/>
      <c r="Q229" s="137"/>
      <c r="R229" s="129"/>
      <c r="S229" s="95"/>
      <c r="T229" s="95"/>
      <c r="V229" s="107"/>
    </row>
    <row r="230" ht="15.75" customHeight="1">
      <c r="A230" s="89"/>
      <c r="B230" s="148"/>
      <c r="C230" s="149"/>
      <c r="D230" s="95"/>
      <c r="E230" s="150"/>
      <c r="F230" s="150"/>
      <c r="G230" s="95"/>
      <c r="H230" s="149"/>
      <c r="I230" s="95"/>
      <c r="J230" s="95"/>
      <c r="K230" s="112"/>
      <c r="L230" s="113"/>
      <c r="M230" s="100"/>
      <c r="N230" s="127"/>
      <c r="O230" s="128"/>
      <c r="P230" s="95"/>
      <c r="Q230" s="137"/>
      <c r="R230" s="129"/>
      <c r="S230" s="95"/>
      <c r="T230" s="95"/>
      <c r="V230" s="107"/>
    </row>
    <row r="231" ht="15.75" customHeight="1">
      <c r="A231" s="89"/>
      <c r="B231" s="148"/>
      <c r="C231" s="149"/>
      <c r="D231" s="95"/>
      <c r="E231" s="150"/>
      <c r="F231" s="150"/>
      <c r="G231" s="95"/>
      <c r="H231" s="149"/>
      <c r="I231" s="95"/>
      <c r="J231" s="95"/>
      <c r="K231" s="98"/>
      <c r="L231" s="99"/>
      <c r="M231" s="100"/>
      <c r="N231" s="127"/>
      <c r="O231" s="128"/>
      <c r="P231" s="95"/>
      <c r="Q231" s="137"/>
      <c r="R231" s="129"/>
      <c r="S231" s="95"/>
      <c r="T231" s="95"/>
      <c r="V231" s="107"/>
    </row>
    <row r="232" ht="15.75" customHeight="1">
      <c r="A232" s="89"/>
      <c r="B232" s="148"/>
      <c r="C232" s="149"/>
      <c r="D232" s="95"/>
      <c r="E232" s="150"/>
      <c r="F232" s="150"/>
      <c r="G232" s="95"/>
      <c r="H232" s="149"/>
      <c r="I232" s="95"/>
      <c r="J232" s="95"/>
      <c r="K232" s="112"/>
      <c r="L232" s="113"/>
      <c r="M232" s="100"/>
      <c r="N232" s="127"/>
      <c r="O232" s="128"/>
      <c r="P232" s="95"/>
      <c r="Q232" s="137"/>
      <c r="R232" s="129"/>
      <c r="S232" s="95"/>
      <c r="T232" s="95"/>
      <c r="V232" s="107"/>
    </row>
    <row r="233" ht="15.75" customHeight="1">
      <c r="A233" s="89"/>
      <c r="B233" s="148"/>
      <c r="C233" s="149"/>
      <c r="D233" s="95"/>
      <c r="E233" s="150"/>
      <c r="F233" s="150"/>
      <c r="G233" s="95"/>
      <c r="H233" s="149"/>
      <c r="I233" s="95"/>
      <c r="J233" s="95"/>
      <c r="K233" s="98"/>
      <c r="L233" s="99"/>
      <c r="M233" s="100"/>
      <c r="N233" s="127"/>
      <c r="O233" s="128"/>
      <c r="P233" s="95"/>
      <c r="Q233" s="137"/>
      <c r="R233" s="129"/>
      <c r="S233" s="95"/>
      <c r="T233" s="95"/>
      <c r="V233" s="107"/>
    </row>
    <row r="234" ht="15.75" customHeight="1">
      <c r="A234" s="89"/>
      <c r="B234" s="148"/>
      <c r="C234" s="149"/>
      <c r="D234" s="95"/>
      <c r="E234" s="150"/>
      <c r="F234" s="150"/>
      <c r="G234" s="95"/>
      <c r="H234" s="149"/>
      <c r="I234" s="95"/>
      <c r="J234" s="95"/>
      <c r="K234" s="112"/>
      <c r="L234" s="113"/>
      <c r="M234" s="100"/>
      <c r="N234" s="127"/>
      <c r="O234" s="128"/>
      <c r="P234" s="95"/>
      <c r="Q234" s="137"/>
      <c r="R234" s="129"/>
      <c r="S234" s="95"/>
      <c r="T234" s="95"/>
      <c r="V234" s="107"/>
    </row>
    <row r="235" ht="15.75" customHeight="1">
      <c r="A235" s="89"/>
      <c r="B235" s="148"/>
      <c r="C235" s="107"/>
      <c r="D235" s="95"/>
      <c r="E235" s="150"/>
      <c r="F235" s="150"/>
      <c r="G235" s="95"/>
      <c r="H235" s="149"/>
      <c r="I235" s="95"/>
      <c r="J235" s="95"/>
      <c r="K235" s="98"/>
      <c r="L235" s="99"/>
      <c r="M235" s="100"/>
      <c r="N235" s="127"/>
      <c r="O235" s="128"/>
      <c r="P235" s="95"/>
      <c r="Q235" s="137"/>
      <c r="R235" s="129"/>
      <c r="S235" s="95"/>
      <c r="T235" s="95"/>
      <c r="V235" s="107"/>
    </row>
    <row r="236" ht="15.75" customHeight="1">
      <c r="A236" s="89"/>
      <c r="B236" s="148"/>
      <c r="C236" s="149"/>
      <c r="D236" s="95"/>
      <c r="E236" s="150"/>
      <c r="F236" s="150"/>
      <c r="G236" s="95"/>
      <c r="H236" s="149"/>
      <c r="I236" s="95"/>
      <c r="J236" s="95"/>
      <c r="K236" s="112"/>
      <c r="L236" s="113"/>
      <c r="M236" s="100"/>
      <c r="N236" s="127"/>
      <c r="O236" s="128"/>
      <c r="P236" s="95"/>
      <c r="Q236" s="137"/>
      <c r="R236" s="129"/>
      <c r="S236" s="95"/>
      <c r="T236" s="95"/>
      <c r="V236" s="107"/>
    </row>
    <row r="237" ht="15.75" customHeight="1">
      <c r="A237" s="89"/>
      <c r="B237" s="148"/>
      <c r="C237" s="149"/>
      <c r="D237" s="95"/>
      <c r="E237" s="150"/>
      <c r="F237" s="150"/>
      <c r="G237" s="95"/>
      <c r="H237" s="149"/>
      <c r="I237" s="95"/>
      <c r="J237" s="95"/>
      <c r="K237" s="98"/>
      <c r="L237" s="99"/>
      <c r="M237" s="100"/>
      <c r="N237" s="127"/>
      <c r="O237" s="128"/>
      <c r="P237" s="95"/>
      <c r="Q237" s="137"/>
      <c r="R237" s="129"/>
      <c r="S237" s="95"/>
      <c r="T237" s="95"/>
      <c r="V237" s="107"/>
    </row>
    <row r="238" ht="15.75" customHeight="1">
      <c r="A238" s="89"/>
      <c r="B238" s="148"/>
      <c r="C238" s="149"/>
      <c r="D238" s="95"/>
      <c r="E238" s="150"/>
      <c r="F238" s="150"/>
      <c r="G238" s="95"/>
      <c r="H238" s="149"/>
      <c r="I238" s="95"/>
      <c r="J238" s="95"/>
      <c r="K238" s="112"/>
      <c r="L238" s="113"/>
      <c r="M238" s="100"/>
      <c r="N238" s="127"/>
      <c r="O238" s="128"/>
      <c r="P238" s="95"/>
      <c r="Q238" s="137"/>
      <c r="R238" s="129"/>
      <c r="S238" s="95"/>
      <c r="T238" s="95"/>
      <c r="V238" s="107"/>
    </row>
    <row r="239" ht="15.75" customHeight="1">
      <c r="A239" s="89"/>
      <c r="B239" s="148"/>
      <c r="C239" s="149"/>
      <c r="D239" s="95"/>
      <c r="E239" s="150"/>
      <c r="F239" s="150"/>
      <c r="G239" s="95"/>
      <c r="H239" s="149"/>
      <c r="I239" s="95"/>
      <c r="J239" s="95"/>
      <c r="K239" s="98"/>
      <c r="L239" s="99"/>
      <c r="M239" s="100"/>
      <c r="N239" s="127"/>
      <c r="O239" s="128"/>
      <c r="P239" s="95"/>
      <c r="Q239" s="137"/>
      <c r="R239" s="129"/>
      <c r="S239" s="95"/>
      <c r="T239" s="95"/>
      <c r="V239" s="107"/>
    </row>
    <row r="240" ht="15.75" customHeight="1">
      <c r="A240" s="89"/>
      <c r="B240" s="148"/>
      <c r="C240" s="149"/>
      <c r="D240" s="95"/>
      <c r="E240" s="150"/>
      <c r="F240" s="150"/>
      <c r="G240" s="95"/>
      <c r="H240" s="149"/>
      <c r="I240" s="95"/>
      <c r="J240" s="95"/>
      <c r="K240" s="112"/>
      <c r="L240" s="113"/>
      <c r="M240" s="100"/>
      <c r="N240" s="127"/>
      <c r="O240" s="128"/>
      <c r="P240" s="95"/>
      <c r="Q240" s="137"/>
      <c r="R240" s="129"/>
      <c r="S240" s="95"/>
      <c r="T240" s="95"/>
      <c r="V240" s="107"/>
    </row>
    <row r="241" ht="15.75" customHeight="1">
      <c r="A241" s="89"/>
      <c r="B241" s="148"/>
      <c r="C241" s="107"/>
      <c r="D241" s="95"/>
      <c r="E241" s="150"/>
      <c r="F241" s="150"/>
      <c r="G241" s="95"/>
      <c r="H241" s="149"/>
      <c r="I241" s="95"/>
      <c r="J241" s="95"/>
      <c r="K241" s="98"/>
      <c r="L241" s="99"/>
      <c r="M241" s="100"/>
      <c r="N241" s="127"/>
      <c r="O241" s="128"/>
      <c r="P241" s="95"/>
      <c r="Q241" s="137"/>
      <c r="R241" s="129"/>
      <c r="S241" s="95"/>
      <c r="T241" s="95"/>
      <c r="V241" s="107"/>
    </row>
    <row r="242" ht="15.75" customHeight="1">
      <c r="A242" s="89"/>
      <c r="B242" s="148"/>
      <c r="C242" s="149"/>
      <c r="D242" s="95"/>
      <c r="E242" s="150"/>
      <c r="F242" s="150"/>
      <c r="G242" s="95"/>
      <c r="H242" s="149"/>
      <c r="I242" s="95"/>
      <c r="J242" s="95"/>
      <c r="K242" s="112"/>
      <c r="L242" s="113"/>
      <c r="M242" s="100"/>
      <c r="N242" s="127"/>
      <c r="O242" s="128"/>
      <c r="P242" s="95"/>
      <c r="Q242" s="137"/>
      <c r="R242" s="129"/>
      <c r="S242" s="95"/>
      <c r="T242" s="95"/>
      <c r="V242" s="107"/>
    </row>
    <row r="243" ht="15.75" customHeight="1">
      <c r="A243" s="89"/>
      <c r="B243" s="148"/>
      <c r="C243" s="149"/>
      <c r="D243" s="95"/>
      <c r="E243" s="150"/>
      <c r="F243" s="150"/>
      <c r="G243" s="95"/>
      <c r="H243" s="149"/>
      <c r="I243" s="95"/>
      <c r="J243" s="95"/>
      <c r="K243" s="98"/>
      <c r="L243" s="99"/>
      <c r="M243" s="100"/>
      <c r="N243" s="127"/>
      <c r="O243" s="128"/>
      <c r="P243" s="95"/>
      <c r="Q243" s="137"/>
      <c r="R243" s="129"/>
      <c r="S243" s="95"/>
      <c r="T243" s="95"/>
      <c r="V243" s="107"/>
    </row>
    <row r="244" ht="15.75" customHeight="1">
      <c r="A244" s="89"/>
      <c r="B244" s="148"/>
      <c r="C244" s="149"/>
      <c r="D244" s="95"/>
      <c r="E244" s="150"/>
      <c r="F244" s="150"/>
      <c r="G244" s="95"/>
      <c r="H244" s="149"/>
      <c r="I244" s="95"/>
      <c r="J244" s="95"/>
      <c r="K244" s="153"/>
      <c r="L244" s="154"/>
      <c r="M244" s="100"/>
      <c r="N244" s="127"/>
      <c r="O244" s="128"/>
      <c r="P244" s="95"/>
      <c r="Q244" s="137"/>
      <c r="R244" s="129"/>
      <c r="S244" s="95"/>
      <c r="T244" s="95"/>
      <c r="V244" s="107"/>
    </row>
    <row r="245" ht="15.75" customHeight="1">
      <c r="A245" s="89"/>
      <c r="B245" s="148"/>
      <c r="C245" s="149"/>
      <c r="D245" s="95"/>
      <c r="E245" s="150"/>
      <c r="F245" s="150"/>
      <c r="G245" s="95"/>
      <c r="H245" s="149"/>
      <c r="I245" s="95"/>
      <c r="J245" s="95"/>
      <c r="K245" s="155"/>
      <c r="L245" s="156"/>
      <c r="M245" s="100"/>
      <c r="N245" s="127"/>
      <c r="O245" s="128"/>
      <c r="P245" s="95"/>
      <c r="Q245" s="137"/>
      <c r="R245" s="129"/>
      <c r="S245" s="95"/>
      <c r="T245" s="95"/>
      <c r="V245" s="107"/>
    </row>
    <row r="246" ht="15.75" customHeight="1">
      <c r="A246" s="89"/>
      <c r="B246" s="148"/>
      <c r="C246" s="149"/>
      <c r="D246" s="95"/>
      <c r="E246" s="150"/>
      <c r="F246" s="150"/>
      <c r="G246" s="95"/>
      <c r="H246" s="149"/>
      <c r="I246" s="95"/>
      <c r="J246" s="95"/>
      <c r="K246" s="153"/>
      <c r="L246" s="154"/>
      <c r="M246" s="100"/>
      <c r="N246" s="127"/>
      <c r="O246" s="128"/>
      <c r="P246" s="95"/>
      <c r="Q246" s="137"/>
      <c r="R246" s="129"/>
      <c r="S246" s="95"/>
      <c r="T246" s="95"/>
      <c r="V246" s="107"/>
    </row>
    <row r="247" ht="15.75" customHeight="1">
      <c r="A247" s="89"/>
      <c r="B247" s="148"/>
      <c r="C247" s="107"/>
      <c r="D247" s="95"/>
      <c r="E247" s="150"/>
      <c r="F247" s="150"/>
      <c r="G247" s="95"/>
      <c r="H247" s="149"/>
      <c r="I247" s="95"/>
      <c r="J247" s="95"/>
      <c r="K247" s="155"/>
      <c r="L247" s="156"/>
      <c r="M247" s="100"/>
      <c r="N247" s="127"/>
      <c r="O247" s="128"/>
      <c r="P247" s="95"/>
      <c r="Q247" s="137"/>
      <c r="R247" s="129"/>
      <c r="S247" s="95"/>
      <c r="T247" s="95"/>
      <c r="V247" s="107"/>
    </row>
    <row r="248" ht="15.75" customHeight="1">
      <c r="A248" s="89"/>
      <c r="B248" s="148"/>
      <c r="C248" s="149"/>
      <c r="D248" s="95"/>
      <c r="E248" s="150"/>
      <c r="F248" s="150"/>
      <c r="G248" s="95"/>
      <c r="H248" s="149"/>
      <c r="I248" s="95"/>
      <c r="J248" s="95"/>
      <c r="K248" s="153"/>
      <c r="L248" s="154"/>
      <c r="M248" s="100"/>
      <c r="N248" s="127"/>
      <c r="O248" s="128"/>
      <c r="P248" s="95"/>
      <c r="Q248" s="137"/>
      <c r="R248" s="129"/>
      <c r="S248" s="95"/>
      <c r="T248" s="95"/>
      <c r="V248" s="107"/>
    </row>
    <row r="249" ht="15.75" customHeight="1">
      <c r="A249" s="89"/>
      <c r="B249" s="148"/>
      <c r="C249" s="149"/>
      <c r="D249" s="95"/>
      <c r="E249" s="150"/>
      <c r="F249" s="150"/>
      <c r="G249" s="95"/>
      <c r="H249" s="149"/>
      <c r="I249" s="95"/>
      <c r="J249" s="95"/>
      <c r="K249" s="155"/>
      <c r="L249" s="156"/>
      <c r="M249" s="100"/>
      <c r="N249" s="127"/>
      <c r="O249" s="128"/>
      <c r="P249" s="95"/>
      <c r="Q249" s="137"/>
      <c r="R249" s="129"/>
      <c r="S249" s="95"/>
      <c r="T249" s="95"/>
      <c r="V249" s="107"/>
    </row>
    <row r="250" ht="15.75" customHeight="1">
      <c r="A250" s="89"/>
      <c r="B250" s="148"/>
      <c r="C250" s="149"/>
      <c r="D250" s="95"/>
      <c r="E250" s="150"/>
      <c r="F250" s="150"/>
      <c r="G250" s="95"/>
      <c r="H250" s="149"/>
      <c r="I250" s="95"/>
      <c r="J250" s="95"/>
      <c r="K250" s="153"/>
      <c r="L250" s="154"/>
      <c r="M250" s="100"/>
      <c r="N250" s="127"/>
      <c r="O250" s="128"/>
      <c r="P250" s="95"/>
      <c r="Q250" s="137"/>
      <c r="R250" s="129"/>
      <c r="S250" s="95"/>
      <c r="T250" s="95"/>
      <c r="V250" s="107"/>
    </row>
    <row r="251" ht="15.75" customHeight="1">
      <c r="A251" s="89"/>
      <c r="B251" s="148"/>
      <c r="C251" s="149"/>
      <c r="D251" s="95"/>
      <c r="E251" s="150"/>
      <c r="F251" s="150"/>
      <c r="G251" s="95"/>
      <c r="H251" s="149"/>
      <c r="I251" s="95"/>
      <c r="J251" s="95"/>
      <c r="K251" s="155"/>
      <c r="L251" s="156"/>
      <c r="M251" s="100"/>
      <c r="N251" s="127"/>
      <c r="O251" s="128"/>
      <c r="P251" s="95"/>
      <c r="Q251" s="137"/>
      <c r="R251" s="129"/>
      <c r="S251" s="95"/>
      <c r="T251" s="95"/>
      <c r="V251" s="107"/>
    </row>
    <row r="252" ht="15.75" customHeight="1">
      <c r="A252" s="89"/>
      <c r="B252" s="148"/>
      <c r="C252" s="149"/>
      <c r="D252" s="95"/>
      <c r="E252" s="150"/>
      <c r="F252" s="150"/>
      <c r="G252" s="95"/>
      <c r="H252" s="149"/>
      <c r="I252" s="95"/>
      <c r="J252" s="95"/>
      <c r="K252" s="153"/>
      <c r="L252" s="154"/>
      <c r="M252" s="100"/>
      <c r="N252" s="127"/>
      <c r="O252" s="128"/>
      <c r="P252" s="95"/>
      <c r="Q252" s="137"/>
      <c r="R252" s="129"/>
      <c r="S252" s="95"/>
      <c r="T252" s="95"/>
      <c r="V252" s="107"/>
    </row>
    <row r="253" ht="15.75" customHeight="1">
      <c r="A253" s="89"/>
      <c r="B253" s="148"/>
      <c r="C253" s="107"/>
      <c r="D253" s="95"/>
      <c r="E253" s="150"/>
      <c r="F253" s="150"/>
      <c r="G253" s="95"/>
      <c r="H253" s="149"/>
      <c r="I253" s="95"/>
      <c r="J253" s="95"/>
      <c r="K253" s="155"/>
      <c r="L253" s="156"/>
      <c r="M253" s="100"/>
      <c r="N253" s="127"/>
      <c r="O253" s="128"/>
      <c r="P253" s="95"/>
      <c r="Q253" s="137"/>
      <c r="R253" s="129"/>
      <c r="S253" s="95"/>
      <c r="T253" s="95"/>
      <c r="V253" s="107"/>
    </row>
    <row r="254" ht="15.75" customHeight="1">
      <c r="A254" s="89"/>
      <c r="B254" s="148"/>
      <c r="C254" s="149"/>
      <c r="D254" s="95"/>
      <c r="E254" s="150"/>
      <c r="F254" s="150"/>
      <c r="G254" s="95"/>
      <c r="H254" s="149"/>
      <c r="I254" s="95"/>
      <c r="J254" s="95"/>
      <c r="K254" s="153"/>
      <c r="L254" s="154"/>
      <c r="M254" s="100"/>
      <c r="N254" s="127"/>
      <c r="O254" s="128"/>
      <c r="P254" s="95"/>
      <c r="Q254" s="137"/>
      <c r="R254" s="129"/>
      <c r="S254" s="95"/>
      <c r="T254" s="95"/>
      <c r="V254" s="107"/>
    </row>
    <row r="255" ht="15.75" customHeight="1">
      <c r="A255" s="89"/>
      <c r="B255" s="148"/>
      <c r="C255" s="149"/>
      <c r="D255" s="95"/>
      <c r="E255" s="150"/>
      <c r="F255" s="150"/>
      <c r="G255" s="95"/>
      <c r="H255" s="149"/>
      <c r="I255" s="95"/>
      <c r="J255" s="95"/>
      <c r="K255" s="155"/>
      <c r="L255" s="156"/>
      <c r="M255" s="100"/>
      <c r="N255" s="127"/>
      <c r="O255" s="128"/>
      <c r="P255" s="95"/>
      <c r="Q255" s="137"/>
      <c r="R255" s="129"/>
      <c r="S255" s="95"/>
      <c r="T255" s="95"/>
      <c r="V255" s="107"/>
    </row>
    <row r="256" ht="15.75" customHeight="1">
      <c r="A256" s="89"/>
      <c r="B256" s="148"/>
      <c r="C256" s="149"/>
      <c r="D256" s="95"/>
      <c r="E256" s="150"/>
      <c r="F256" s="150"/>
      <c r="G256" s="95"/>
      <c r="H256" s="149"/>
      <c r="I256" s="95"/>
      <c r="J256" s="95"/>
      <c r="K256" s="153"/>
      <c r="L256" s="154"/>
      <c r="M256" s="100"/>
      <c r="N256" s="127"/>
      <c r="O256" s="128"/>
      <c r="P256" s="95"/>
      <c r="Q256" s="137"/>
      <c r="R256" s="129"/>
      <c r="S256" s="95"/>
      <c r="T256" s="95"/>
      <c r="V256" s="107"/>
    </row>
    <row r="257" ht="15.75" customHeight="1">
      <c r="A257" s="89"/>
      <c r="B257" s="148"/>
      <c r="C257" s="149"/>
      <c r="D257" s="95"/>
      <c r="E257" s="150"/>
      <c r="F257" s="150"/>
      <c r="G257" s="95"/>
      <c r="H257" s="149"/>
      <c r="I257" s="95"/>
      <c r="J257" s="95"/>
      <c r="K257" s="155"/>
      <c r="L257" s="156"/>
      <c r="M257" s="100"/>
      <c r="N257" s="127"/>
      <c r="O257" s="128"/>
      <c r="P257" s="95"/>
      <c r="Q257" s="137"/>
      <c r="R257" s="129"/>
      <c r="S257" s="95"/>
      <c r="T257" s="95"/>
      <c r="V257" s="107"/>
    </row>
    <row r="258" ht="15.75" customHeight="1">
      <c r="A258" s="89"/>
      <c r="B258" s="148"/>
      <c r="C258" s="149"/>
      <c r="D258" s="95"/>
      <c r="E258" s="150"/>
      <c r="F258" s="150"/>
      <c r="G258" s="95"/>
      <c r="H258" s="149"/>
      <c r="I258" s="95"/>
      <c r="J258" s="95"/>
      <c r="K258" s="153"/>
      <c r="L258" s="154"/>
      <c r="M258" s="100"/>
      <c r="N258" s="127"/>
      <c r="O258" s="128"/>
      <c r="P258" s="95"/>
      <c r="Q258" s="137"/>
      <c r="R258" s="129"/>
      <c r="S258" s="95"/>
      <c r="T258" s="95"/>
      <c r="V258" s="107"/>
    </row>
    <row r="259" ht="15.75" customHeight="1">
      <c r="A259" s="89"/>
      <c r="B259" s="148"/>
      <c r="C259" s="107"/>
      <c r="D259" s="95"/>
      <c r="E259" s="150"/>
      <c r="F259" s="150"/>
      <c r="G259" s="95"/>
      <c r="H259" s="149"/>
      <c r="I259" s="95"/>
      <c r="J259" s="95"/>
      <c r="K259" s="155"/>
      <c r="L259" s="156"/>
      <c r="M259" s="100"/>
      <c r="N259" s="127"/>
      <c r="O259" s="128"/>
      <c r="P259" s="95"/>
      <c r="Q259" s="137"/>
      <c r="R259" s="129"/>
      <c r="S259" s="95"/>
      <c r="T259" s="95"/>
      <c r="V259" s="107"/>
    </row>
    <row r="260" ht="15.75" customHeight="1">
      <c r="A260" s="89"/>
      <c r="B260" s="148"/>
      <c r="C260" s="149"/>
      <c r="D260" s="95"/>
      <c r="E260" s="150"/>
      <c r="F260" s="150"/>
      <c r="G260" s="95"/>
      <c r="H260" s="149"/>
      <c r="I260" s="95"/>
      <c r="J260" s="95"/>
      <c r="K260" s="153"/>
      <c r="L260" s="154"/>
      <c r="M260" s="100"/>
      <c r="N260" s="127"/>
      <c r="O260" s="128"/>
      <c r="P260" s="95"/>
      <c r="Q260" s="137"/>
      <c r="R260" s="129"/>
      <c r="S260" s="95"/>
      <c r="T260" s="95"/>
      <c r="V260" s="107"/>
    </row>
    <row r="261" ht="15.75" customHeight="1">
      <c r="A261" s="89"/>
      <c r="B261" s="148"/>
      <c r="C261" s="149"/>
      <c r="D261" s="95"/>
      <c r="E261" s="150"/>
      <c r="F261" s="150"/>
      <c r="G261" s="95"/>
      <c r="H261" s="149"/>
      <c r="I261" s="95"/>
      <c r="J261" s="95"/>
      <c r="K261" s="155"/>
      <c r="L261" s="156"/>
      <c r="M261" s="100"/>
      <c r="N261" s="127"/>
      <c r="O261" s="128"/>
      <c r="P261" s="95"/>
      <c r="Q261" s="137"/>
      <c r="R261" s="129"/>
      <c r="S261" s="95"/>
      <c r="T261" s="95"/>
      <c r="V261" s="107"/>
    </row>
    <row r="262" ht="15.75" customHeight="1">
      <c r="A262" s="89"/>
      <c r="B262" s="148"/>
      <c r="C262" s="149"/>
      <c r="D262" s="95"/>
      <c r="E262" s="150"/>
      <c r="F262" s="150"/>
      <c r="G262" s="95"/>
      <c r="H262" s="149"/>
      <c r="I262" s="95"/>
      <c r="J262" s="95"/>
      <c r="K262" s="153"/>
      <c r="L262" s="154"/>
      <c r="M262" s="100"/>
      <c r="N262" s="127"/>
      <c r="O262" s="128"/>
      <c r="P262" s="95"/>
      <c r="Q262" s="137"/>
      <c r="R262" s="129"/>
      <c r="S262" s="95"/>
      <c r="T262" s="95"/>
      <c r="V262" s="107"/>
    </row>
    <row r="263" ht="15.75" customHeight="1">
      <c r="A263" s="89"/>
      <c r="B263" s="148"/>
      <c r="C263" s="149"/>
      <c r="D263" s="95"/>
      <c r="E263" s="150"/>
      <c r="F263" s="150"/>
      <c r="G263" s="95"/>
      <c r="H263" s="149"/>
      <c r="I263" s="95"/>
      <c r="J263" s="95"/>
      <c r="K263" s="155"/>
      <c r="L263" s="156"/>
      <c r="M263" s="100"/>
      <c r="N263" s="127"/>
      <c r="O263" s="128"/>
      <c r="P263" s="95"/>
      <c r="Q263" s="137"/>
      <c r="R263" s="129"/>
      <c r="S263" s="95"/>
      <c r="T263" s="95"/>
      <c r="V263" s="107"/>
    </row>
    <row r="264" ht="15.75" customHeight="1">
      <c r="A264" s="89"/>
      <c r="B264" s="148"/>
      <c r="C264" s="149"/>
      <c r="D264" s="95"/>
      <c r="E264" s="150"/>
      <c r="F264" s="150"/>
      <c r="G264" s="95"/>
      <c r="H264" s="149"/>
      <c r="I264" s="95"/>
      <c r="J264" s="95"/>
      <c r="K264" s="153"/>
      <c r="L264" s="154"/>
      <c r="M264" s="100"/>
      <c r="N264" s="127"/>
      <c r="O264" s="128"/>
      <c r="P264" s="95"/>
      <c r="Q264" s="137"/>
      <c r="R264" s="129"/>
      <c r="S264" s="95"/>
      <c r="T264" s="95"/>
      <c r="V264" s="107"/>
    </row>
    <row r="265" ht="15.75" customHeight="1">
      <c r="A265" s="89"/>
      <c r="B265" s="148"/>
      <c r="C265" s="107"/>
      <c r="D265" s="95"/>
      <c r="E265" s="150"/>
      <c r="F265" s="150"/>
      <c r="G265" s="95"/>
      <c r="H265" s="149"/>
      <c r="I265" s="95"/>
      <c r="J265" s="95"/>
      <c r="K265" s="155"/>
      <c r="L265" s="156"/>
      <c r="M265" s="100"/>
      <c r="N265" s="127"/>
      <c r="O265" s="128"/>
      <c r="P265" s="95"/>
      <c r="Q265" s="137"/>
      <c r="R265" s="129"/>
      <c r="S265" s="95"/>
      <c r="T265" s="95"/>
      <c r="V265" s="107"/>
    </row>
    <row r="266" ht="15.75" customHeight="1">
      <c r="A266" s="89"/>
      <c r="B266" s="148"/>
      <c r="C266" s="149"/>
      <c r="D266" s="95"/>
      <c r="E266" s="150"/>
      <c r="F266" s="150"/>
      <c r="G266" s="95"/>
      <c r="H266" s="149"/>
      <c r="I266" s="95"/>
      <c r="J266" s="95"/>
      <c r="K266" s="153"/>
      <c r="L266" s="154"/>
      <c r="M266" s="100"/>
      <c r="N266" s="127"/>
      <c r="O266" s="128"/>
      <c r="P266" s="95"/>
      <c r="Q266" s="137"/>
      <c r="R266" s="129"/>
      <c r="S266" s="95"/>
      <c r="T266" s="95"/>
      <c r="V266" s="107"/>
    </row>
    <row r="267" ht="15.75" customHeight="1">
      <c r="A267" s="89"/>
      <c r="B267" s="148"/>
      <c r="C267" s="149"/>
      <c r="D267" s="95"/>
      <c r="E267" s="150"/>
      <c r="F267" s="150"/>
      <c r="G267" s="95"/>
      <c r="H267" s="149"/>
      <c r="I267" s="95"/>
      <c r="J267" s="95"/>
      <c r="K267" s="155"/>
      <c r="L267" s="156"/>
      <c r="M267" s="100"/>
      <c r="N267" s="127"/>
      <c r="O267" s="128"/>
      <c r="P267" s="95"/>
      <c r="Q267" s="137"/>
      <c r="R267" s="129"/>
      <c r="S267" s="95"/>
      <c r="T267" s="95"/>
      <c r="V267" s="107"/>
    </row>
    <row r="268" ht="15.75" customHeight="1">
      <c r="A268" s="89"/>
      <c r="B268" s="148"/>
      <c r="C268" s="149"/>
      <c r="D268" s="95"/>
      <c r="E268" s="150"/>
      <c r="F268" s="150"/>
      <c r="G268" s="95"/>
      <c r="H268" s="149"/>
      <c r="I268" s="95"/>
      <c r="J268" s="95"/>
      <c r="K268" s="153"/>
      <c r="L268" s="154"/>
      <c r="M268" s="100"/>
      <c r="N268" s="127"/>
      <c r="O268" s="128"/>
      <c r="P268" s="95"/>
      <c r="Q268" s="137"/>
      <c r="R268" s="129"/>
      <c r="S268" s="95"/>
      <c r="T268" s="95"/>
      <c r="V268" s="107"/>
    </row>
    <row r="269" ht="15.75" customHeight="1">
      <c r="A269" s="89"/>
      <c r="B269" s="148"/>
      <c r="C269" s="149"/>
      <c r="D269" s="95"/>
      <c r="E269" s="150"/>
      <c r="F269" s="150"/>
      <c r="G269" s="95"/>
      <c r="H269" s="149"/>
      <c r="I269" s="95"/>
      <c r="J269" s="95"/>
      <c r="K269" s="155"/>
      <c r="L269" s="156"/>
      <c r="M269" s="100"/>
      <c r="N269" s="127"/>
      <c r="O269" s="128"/>
      <c r="P269" s="95"/>
      <c r="Q269" s="137"/>
      <c r="R269" s="129"/>
      <c r="S269" s="95"/>
      <c r="T269" s="95"/>
      <c r="V269" s="107"/>
    </row>
    <row r="270" ht="15.75" customHeight="1">
      <c r="A270" s="89"/>
      <c r="B270" s="148"/>
      <c r="C270" s="149"/>
      <c r="D270" s="95"/>
      <c r="E270" s="150"/>
      <c r="F270" s="150"/>
      <c r="G270" s="95"/>
      <c r="H270" s="149"/>
      <c r="I270" s="95"/>
      <c r="J270" s="95"/>
      <c r="K270" s="153"/>
      <c r="L270" s="154"/>
      <c r="M270" s="100"/>
      <c r="N270" s="127"/>
      <c r="O270" s="128"/>
      <c r="P270" s="95"/>
      <c r="Q270" s="137"/>
      <c r="R270" s="129"/>
      <c r="S270" s="95"/>
      <c r="T270" s="95"/>
      <c r="V270" s="107"/>
    </row>
    <row r="271" ht="15.75" customHeight="1">
      <c r="A271" s="89"/>
      <c r="B271" s="148"/>
      <c r="C271" s="107"/>
      <c r="D271" s="95"/>
      <c r="E271" s="150"/>
      <c r="F271" s="150"/>
      <c r="G271" s="95"/>
      <c r="H271" s="149"/>
      <c r="I271" s="95"/>
      <c r="J271" s="95"/>
      <c r="K271" s="155"/>
      <c r="L271" s="156"/>
      <c r="M271" s="100"/>
      <c r="N271" s="127"/>
      <c r="O271" s="128"/>
      <c r="P271" s="95"/>
      <c r="Q271" s="137"/>
      <c r="R271" s="129"/>
      <c r="S271" s="95"/>
      <c r="T271" s="95"/>
      <c r="V271" s="107"/>
    </row>
    <row r="272" ht="15.75" customHeight="1">
      <c r="A272" s="89"/>
      <c r="B272" s="148"/>
      <c r="C272" s="149"/>
      <c r="D272" s="95"/>
      <c r="E272" s="150"/>
      <c r="F272" s="150"/>
      <c r="G272" s="95"/>
      <c r="H272" s="149"/>
      <c r="I272" s="95"/>
      <c r="J272" s="95"/>
      <c r="K272" s="153"/>
      <c r="L272" s="154"/>
      <c r="M272" s="100"/>
      <c r="N272" s="127"/>
      <c r="O272" s="128"/>
      <c r="P272" s="95"/>
      <c r="Q272" s="137"/>
      <c r="R272" s="129"/>
      <c r="S272" s="95"/>
      <c r="T272" s="95"/>
      <c r="V272" s="107"/>
    </row>
    <row r="273" ht="15.75" customHeight="1">
      <c r="A273" s="89"/>
      <c r="B273" s="148"/>
      <c r="C273" s="149"/>
      <c r="D273" s="95"/>
      <c r="E273" s="150"/>
      <c r="F273" s="150"/>
      <c r="G273" s="95"/>
      <c r="H273" s="149"/>
      <c r="I273" s="95"/>
      <c r="J273" s="95"/>
      <c r="K273" s="155"/>
      <c r="L273" s="156"/>
      <c r="M273" s="100"/>
      <c r="N273" s="127"/>
      <c r="O273" s="128"/>
      <c r="P273" s="95"/>
      <c r="Q273" s="137"/>
      <c r="R273" s="129"/>
      <c r="S273" s="95"/>
      <c r="T273" s="95"/>
      <c r="V273" s="107"/>
    </row>
    <row r="274" ht="15.75" customHeight="1">
      <c r="A274" s="89"/>
      <c r="B274" s="148"/>
      <c r="C274" s="149"/>
      <c r="D274" s="95"/>
      <c r="E274" s="150"/>
      <c r="F274" s="150"/>
      <c r="G274" s="95"/>
      <c r="H274" s="149"/>
      <c r="I274" s="95"/>
      <c r="J274" s="95"/>
      <c r="K274" s="153"/>
      <c r="L274" s="154"/>
      <c r="M274" s="100"/>
      <c r="N274" s="127"/>
      <c r="O274" s="128"/>
      <c r="P274" s="95"/>
      <c r="Q274" s="137"/>
      <c r="R274" s="129"/>
      <c r="S274" s="95"/>
      <c r="T274" s="95"/>
      <c r="V274" s="107"/>
    </row>
    <row r="275" ht="15.75" customHeight="1">
      <c r="A275" s="89"/>
      <c r="B275" s="148"/>
      <c r="C275" s="149"/>
      <c r="D275" s="95"/>
      <c r="E275" s="150"/>
      <c r="F275" s="150"/>
      <c r="G275" s="95"/>
      <c r="H275" s="149"/>
      <c r="I275" s="95"/>
      <c r="J275" s="95"/>
      <c r="K275" s="155"/>
      <c r="L275" s="156"/>
      <c r="M275" s="100"/>
      <c r="N275" s="127"/>
      <c r="O275" s="128"/>
      <c r="P275" s="95"/>
      <c r="Q275" s="137"/>
      <c r="R275" s="129"/>
      <c r="S275" s="95"/>
      <c r="T275" s="95"/>
      <c r="V275" s="107"/>
    </row>
    <row r="276" ht="15.75" customHeight="1">
      <c r="A276" s="89"/>
      <c r="B276" s="148"/>
      <c r="C276" s="149"/>
      <c r="D276" s="95"/>
      <c r="E276" s="150"/>
      <c r="F276" s="150"/>
      <c r="G276" s="95"/>
      <c r="H276" s="149"/>
      <c r="I276" s="95"/>
      <c r="J276" s="95"/>
      <c r="K276" s="153"/>
      <c r="L276" s="154"/>
      <c r="M276" s="100"/>
      <c r="N276" s="127"/>
      <c r="O276" s="128"/>
      <c r="P276" s="95"/>
      <c r="Q276" s="137"/>
      <c r="R276" s="129"/>
      <c r="S276" s="95"/>
      <c r="T276" s="95"/>
      <c r="V276" s="107"/>
    </row>
    <row r="277" ht="15.75" customHeight="1">
      <c r="A277" s="89"/>
      <c r="B277" s="148"/>
      <c r="C277" s="107"/>
      <c r="D277" s="95"/>
      <c r="E277" s="150"/>
      <c r="F277" s="150"/>
      <c r="G277" s="95"/>
      <c r="H277" s="149"/>
      <c r="I277" s="95"/>
      <c r="J277" s="95"/>
      <c r="K277" s="155"/>
      <c r="L277" s="156"/>
      <c r="M277" s="100"/>
      <c r="N277" s="127"/>
      <c r="O277" s="128"/>
      <c r="P277" s="95"/>
      <c r="Q277" s="137"/>
      <c r="R277" s="129"/>
      <c r="S277" s="95"/>
      <c r="T277" s="95"/>
      <c r="V277" s="107"/>
    </row>
    <row r="278" ht="15.75" customHeight="1">
      <c r="A278" s="89"/>
      <c r="B278" s="148"/>
      <c r="C278" s="149"/>
      <c r="D278" s="95"/>
      <c r="E278" s="150"/>
      <c r="F278" s="150"/>
      <c r="G278" s="95"/>
      <c r="H278" s="149"/>
      <c r="I278" s="95"/>
      <c r="J278" s="95"/>
      <c r="K278" s="153"/>
      <c r="L278" s="154"/>
      <c r="M278" s="100"/>
      <c r="N278" s="127"/>
      <c r="O278" s="128"/>
      <c r="P278" s="95"/>
      <c r="Q278" s="137"/>
      <c r="R278" s="129"/>
      <c r="S278" s="95"/>
      <c r="T278" s="95"/>
      <c r="V278" s="107"/>
    </row>
    <row r="279" ht="15.75" customHeight="1">
      <c r="A279" s="89"/>
      <c r="B279" s="148"/>
      <c r="C279" s="149"/>
      <c r="D279" s="95"/>
      <c r="E279" s="150"/>
      <c r="F279" s="150"/>
      <c r="G279" s="95"/>
      <c r="H279" s="149"/>
      <c r="I279" s="95"/>
      <c r="J279" s="95"/>
      <c r="K279" s="155"/>
      <c r="L279" s="156"/>
      <c r="M279" s="100"/>
      <c r="N279" s="127"/>
      <c r="O279" s="128"/>
      <c r="P279" s="95"/>
      <c r="Q279" s="137"/>
      <c r="R279" s="129"/>
      <c r="S279" s="95"/>
      <c r="T279" s="95"/>
      <c r="V279" s="107"/>
    </row>
    <row r="280" ht="15.75" customHeight="1">
      <c r="A280" s="89"/>
      <c r="B280" s="148"/>
      <c r="C280" s="149"/>
      <c r="D280" s="95"/>
      <c r="E280" s="150"/>
      <c r="F280" s="150"/>
      <c r="G280" s="95"/>
      <c r="H280" s="149"/>
      <c r="I280" s="95"/>
      <c r="J280" s="95"/>
      <c r="K280" s="153"/>
      <c r="L280" s="154"/>
      <c r="M280" s="100"/>
      <c r="N280" s="127"/>
      <c r="O280" s="128"/>
      <c r="P280" s="95"/>
      <c r="Q280" s="137"/>
      <c r="R280" s="129"/>
      <c r="S280" s="95"/>
      <c r="T280" s="95"/>
      <c r="V280" s="107"/>
    </row>
    <row r="281" ht="15.75" customHeight="1">
      <c r="A281" s="89"/>
      <c r="B281" s="148"/>
      <c r="C281" s="149"/>
      <c r="D281" s="95"/>
      <c r="E281" s="150"/>
      <c r="F281" s="150"/>
      <c r="G281" s="95"/>
      <c r="H281" s="149"/>
      <c r="I281" s="95"/>
      <c r="J281" s="95"/>
      <c r="K281" s="155"/>
      <c r="L281" s="156"/>
      <c r="M281" s="100"/>
      <c r="N281" s="127"/>
      <c r="O281" s="128"/>
      <c r="P281" s="95"/>
      <c r="Q281" s="137"/>
      <c r="R281" s="129"/>
      <c r="S281" s="95"/>
      <c r="T281" s="95"/>
      <c r="V281" s="107"/>
    </row>
    <row r="282" ht="15.75" customHeight="1">
      <c r="A282" s="89"/>
      <c r="B282" s="148"/>
      <c r="C282" s="149"/>
      <c r="D282" s="95"/>
      <c r="E282" s="150"/>
      <c r="F282" s="150"/>
      <c r="G282" s="95"/>
      <c r="H282" s="149"/>
      <c r="I282" s="95"/>
      <c r="J282" s="95"/>
      <c r="K282" s="153"/>
      <c r="L282" s="154"/>
      <c r="M282" s="100"/>
      <c r="N282" s="127"/>
      <c r="O282" s="128"/>
      <c r="P282" s="95"/>
      <c r="Q282" s="137"/>
      <c r="R282" s="129"/>
      <c r="S282" s="95"/>
      <c r="T282" s="95"/>
      <c r="V282" s="107"/>
    </row>
    <row r="283" ht="15.75" customHeight="1">
      <c r="A283" s="89"/>
      <c r="B283" s="148"/>
      <c r="C283" s="107"/>
      <c r="D283" s="95"/>
      <c r="E283" s="150"/>
      <c r="F283" s="150"/>
      <c r="G283" s="95"/>
      <c r="H283" s="149"/>
      <c r="I283" s="95"/>
      <c r="J283" s="95"/>
      <c r="K283" s="155"/>
      <c r="L283" s="156"/>
      <c r="M283" s="100"/>
      <c r="N283" s="127"/>
      <c r="O283" s="128"/>
      <c r="P283" s="95"/>
      <c r="Q283" s="137"/>
      <c r="R283" s="129"/>
      <c r="S283" s="95"/>
      <c r="T283" s="95"/>
      <c r="V283" s="107"/>
    </row>
    <row r="284" ht="15.75" customHeight="1">
      <c r="A284" s="89"/>
      <c r="B284" s="148"/>
      <c r="C284" s="149"/>
      <c r="D284" s="95"/>
      <c r="E284" s="150"/>
      <c r="F284" s="150"/>
      <c r="G284" s="95"/>
      <c r="H284" s="149"/>
      <c r="I284" s="95"/>
      <c r="J284" s="95"/>
      <c r="K284" s="153"/>
      <c r="L284" s="154"/>
      <c r="M284" s="100"/>
      <c r="N284" s="127"/>
      <c r="O284" s="128"/>
      <c r="P284" s="95"/>
      <c r="Q284" s="137"/>
      <c r="R284" s="129"/>
      <c r="S284" s="95"/>
      <c r="T284" s="95"/>
      <c r="V284" s="107"/>
    </row>
    <row r="285" ht="15.75" customHeight="1">
      <c r="A285" s="89"/>
      <c r="B285" s="148"/>
      <c r="C285" s="149"/>
      <c r="D285" s="95"/>
      <c r="E285" s="150"/>
      <c r="F285" s="150"/>
      <c r="G285" s="95"/>
      <c r="H285" s="149"/>
      <c r="I285" s="95"/>
      <c r="J285" s="95"/>
      <c r="K285" s="155"/>
      <c r="L285" s="156"/>
      <c r="M285" s="100"/>
      <c r="N285" s="127"/>
      <c r="O285" s="128"/>
      <c r="P285" s="95"/>
      <c r="Q285" s="137"/>
      <c r="R285" s="129"/>
      <c r="S285" s="95"/>
      <c r="T285" s="95"/>
      <c r="V285" s="107"/>
    </row>
    <row r="286" ht="15.75" customHeight="1">
      <c r="A286" s="89"/>
      <c r="B286" s="148"/>
      <c r="C286" s="149"/>
      <c r="D286" s="95"/>
      <c r="E286" s="150"/>
      <c r="F286" s="150"/>
      <c r="G286" s="95"/>
      <c r="H286" s="149"/>
      <c r="I286" s="95"/>
      <c r="J286" s="95"/>
      <c r="K286" s="153"/>
      <c r="L286" s="154"/>
      <c r="M286" s="100"/>
      <c r="N286" s="127"/>
      <c r="O286" s="128"/>
      <c r="P286" s="95"/>
      <c r="Q286" s="137"/>
      <c r="R286" s="129"/>
      <c r="S286" s="95"/>
      <c r="T286" s="95"/>
      <c r="V286" s="107"/>
    </row>
    <row r="287" ht="15.75" customHeight="1">
      <c r="A287" s="89"/>
      <c r="B287" s="148"/>
      <c r="C287" s="149"/>
      <c r="D287" s="95"/>
      <c r="E287" s="150"/>
      <c r="F287" s="150"/>
      <c r="G287" s="95"/>
      <c r="H287" s="149"/>
      <c r="I287" s="95"/>
      <c r="J287" s="95"/>
      <c r="K287" s="155"/>
      <c r="L287" s="156"/>
      <c r="M287" s="100"/>
      <c r="N287" s="127"/>
      <c r="O287" s="128"/>
      <c r="P287" s="95"/>
      <c r="Q287" s="137"/>
      <c r="R287" s="129"/>
      <c r="S287" s="95"/>
      <c r="T287" s="95"/>
      <c r="V287" s="107"/>
    </row>
    <row r="288" ht="15.75" customHeight="1">
      <c r="A288" s="89"/>
      <c r="B288" s="148"/>
      <c r="C288" s="149"/>
      <c r="D288" s="95"/>
      <c r="E288" s="150"/>
      <c r="F288" s="150"/>
      <c r="G288" s="95"/>
      <c r="H288" s="149"/>
      <c r="I288" s="95"/>
      <c r="J288" s="95"/>
      <c r="K288" s="153"/>
      <c r="L288" s="154"/>
      <c r="M288" s="100"/>
      <c r="N288" s="127"/>
      <c r="O288" s="128"/>
      <c r="P288" s="95"/>
      <c r="Q288" s="137"/>
      <c r="R288" s="129"/>
      <c r="S288" s="95"/>
      <c r="T288" s="95"/>
      <c r="V288" s="107"/>
    </row>
    <row r="289" ht="15.75" customHeight="1">
      <c r="A289" s="89"/>
      <c r="B289" s="148"/>
      <c r="C289" s="107"/>
      <c r="D289" s="95"/>
      <c r="E289" s="150"/>
      <c r="F289" s="150"/>
      <c r="G289" s="95"/>
      <c r="H289" s="149"/>
      <c r="I289" s="95"/>
      <c r="J289" s="95"/>
      <c r="K289" s="155"/>
      <c r="L289" s="156"/>
      <c r="M289" s="100"/>
      <c r="N289" s="127"/>
      <c r="O289" s="128"/>
      <c r="P289" s="95"/>
      <c r="Q289" s="137"/>
      <c r="R289" s="129"/>
      <c r="S289" s="95"/>
      <c r="T289" s="95"/>
      <c r="V289" s="107"/>
    </row>
    <row r="290" ht="15.75" customHeight="1">
      <c r="A290" s="89"/>
      <c r="B290" s="148"/>
      <c r="C290" s="149"/>
      <c r="D290" s="95"/>
      <c r="E290" s="150"/>
      <c r="F290" s="150"/>
      <c r="G290" s="95"/>
      <c r="H290" s="149"/>
      <c r="I290" s="95"/>
      <c r="J290" s="95"/>
      <c r="K290" s="153"/>
      <c r="L290" s="154"/>
      <c r="M290" s="100"/>
      <c r="N290" s="127"/>
      <c r="O290" s="128"/>
      <c r="P290" s="95"/>
      <c r="Q290" s="137"/>
      <c r="R290" s="129"/>
      <c r="S290" s="95"/>
      <c r="T290" s="95"/>
      <c r="V290" s="107"/>
    </row>
    <row r="291" ht="15.75" customHeight="1">
      <c r="A291" s="89"/>
      <c r="B291" s="148"/>
      <c r="C291" s="149"/>
      <c r="D291" s="95"/>
      <c r="E291" s="150"/>
      <c r="F291" s="150"/>
      <c r="G291" s="95"/>
      <c r="H291" s="149"/>
      <c r="I291" s="95"/>
      <c r="J291" s="95"/>
      <c r="K291" s="155"/>
      <c r="L291" s="156"/>
      <c r="M291" s="100"/>
      <c r="N291" s="127"/>
      <c r="O291" s="128"/>
      <c r="P291" s="95"/>
      <c r="Q291" s="137"/>
      <c r="R291" s="129"/>
      <c r="S291" s="95"/>
      <c r="T291" s="95"/>
      <c r="V291" s="107"/>
    </row>
    <row r="292" ht="15.75" customHeight="1">
      <c r="A292" s="89"/>
      <c r="B292" s="148"/>
      <c r="C292" s="149"/>
      <c r="D292" s="95"/>
      <c r="E292" s="150"/>
      <c r="F292" s="150"/>
      <c r="G292" s="95"/>
      <c r="H292" s="149"/>
      <c r="I292" s="95"/>
      <c r="J292" s="95"/>
      <c r="K292" s="153"/>
      <c r="L292" s="154"/>
      <c r="M292" s="100"/>
      <c r="N292" s="127"/>
      <c r="O292" s="128"/>
      <c r="P292" s="95"/>
      <c r="Q292" s="137"/>
      <c r="R292" s="129"/>
      <c r="S292" s="95"/>
      <c r="T292" s="95"/>
      <c r="V292" s="107"/>
    </row>
    <row r="293" ht="15.75" customHeight="1">
      <c r="A293" s="89"/>
      <c r="B293" s="148"/>
      <c r="C293" s="149"/>
      <c r="D293" s="95"/>
      <c r="E293" s="150"/>
      <c r="F293" s="150"/>
      <c r="G293" s="95"/>
      <c r="H293" s="149"/>
      <c r="I293" s="95"/>
      <c r="J293" s="95"/>
      <c r="K293" s="155"/>
      <c r="L293" s="156"/>
      <c r="M293" s="100"/>
      <c r="N293" s="127"/>
      <c r="O293" s="128"/>
      <c r="P293" s="95"/>
      <c r="Q293" s="137"/>
      <c r="R293" s="129"/>
      <c r="S293" s="95"/>
      <c r="T293" s="95"/>
      <c r="V293" s="107"/>
    </row>
    <row r="294" ht="15.75" customHeight="1">
      <c r="A294" s="89"/>
      <c r="B294" s="148"/>
      <c r="C294" s="149"/>
      <c r="D294" s="95"/>
      <c r="E294" s="150"/>
      <c r="F294" s="150"/>
      <c r="G294" s="95"/>
      <c r="H294" s="149"/>
      <c r="I294" s="95"/>
      <c r="J294" s="95"/>
      <c r="K294" s="153"/>
      <c r="L294" s="154"/>
      <c r="M294" s="100"/>
      <c r="N294" s="127"/>
      <c r="O294" s="128"/>
      <c r="P294" s="95"/>
      <c r="Q294" s="137"/>
      <c r="R294" s="129"/>
      <c r="S294" s="95"/>
      <c r="T294" s="95"/>
      <c r="V294" s="107"/>
    </row>
    <row r="295" ht="15.75" customHeight="1">
      <c r="A295" s="89"/>
      <c r="B295" s="148"/>
      <c r="C295" s="107"/>
      <c r="D295" s="95"/>
      <c r="E295" s="150"/>
      <c r="F295" s="150"/>
      <c r="G295" s="95"/>
      <c r="H295" s="149"/>
      <c r="I295" s="95"/>
      <c r="J295" s="95"/>
      <c r="K295" s="155"/>
      <c r="L295" s="156"/>
      <c r="M295" s="100"/>
      <c r="N295" s="127"/>
      <c r="O295" s="128"/>
      <c r="P295" s="95"/>
      <c r="Q295" s="137"/>
      <c r="R295" s="129"/>
      <c r="S295" s="95"/>
      <c r="T295" s="95"/>
      <c r="V295" s="107"/>
    </row>
    <row r="296" ht="15.75" customHeight="1">
      <c r="A296" s="89"/>
      <c r="B296" s="148"/>
      <c r="C296" s="149"/>
      <c r="D296" s="95"/>
      <c r="E296" s="150"/>
      <c r="F296" s="150"/>
      <c r="G296" s="95"/>
      <c r="H296" s="149"/>
      <c r="I296" s="95"/>
      <c r="J296" s="95"/>
      <c r="K296" s="153"/>
      <c r="L296" s="154"/>
      <c r="M296" s="100"/>
      <c r="N296" s="127"/>
      <c r="O296" s="128"/>
      <c r="P296" s="95"/>
      <c r="Q296" s="137"/>
      <c r="R296" s="129"/>
      <c r="S296" s="95"/>
      <c r="T296" s="95"/>
      <c r="V296" s="107"/>
    </row>
    <row r="297" ht="15.75" customHeight="1">
      <c r="A297" s="89"/>
      <c r="B297" s="148"/>
      <c r="C297" s="149"/>
      <c r="D297" s="95"/>
      <c r="E297" s="150"/>
      <c r="F297" s="150"/>
      <c r="G297" s="95"/>
      <c r="H297" s="149"/>
      <c r="I297" s="95"/>
      <c r="J297" s="95"/>
      <c r="K297" s="155"/>
      <c r="L297" s="156"/>
      <c r="M297" s="100"/>
      <c r="N297" s="127"/>
      <c r="O297" s="128"/>
      <c r="P297" s="95"/>
      <c r="Q297" s="137"/>
      <c r="R297" s="129"/>
      <c r="S297" s="95"/>
      <c r="T297" s="95"/>
      <c r="V297" s="107"/>
    </row>
    <row r="298" ht="15.75" customHeight="1">
      <c r="A298" s="89"/>
      <c r="B298" s="148"/>
      <c r="C298" s="149"/>
      <c r="D298" s="95"/>
      <c r="E298" s="150"/>
      <c r="F298" s="150"/>
      <c r="G298" s="95"/>
      <c r="H298" s="149"/>
      <c r="I298" s="95"/>
      <c r="J298" s="95"/>
      <c r="K298" s="153"/>
      <c r="L298" s="154"/>
      <c r="M298" s="100"/>
      <c r="N298" s="127"/>
      <c r="O298" s="128"/>
      <c r="P298" s="95"/>
      <c r="Q298" s="137"/>
      <c r="R298" s="129"/>
      <c r="S298" s="95"/>
      <c r="T298" s="95"/>
      <c r="V298" s="107"/>
    </row>
    <row r="299" ht="15.75" customHeight="1">
      <c r="A299" s="89"/>
      <c r="B299" s="148"/>
      <c r="C299" s="149"/>
      <c r="D299" s="95"/>
      <c r="E299" s="150"/>
      <c r="F299" s="150"/>
      <c r="G299" s="95"/>
      <c r="H299" s="149"/>
      <c r="I299" s="95"/>
      <c r="J299" s="95"/>
      <c r="K299" s="155"/>
      <c r="L299" s="156"/>
      <c r="M299" s="100"/>
      <c r="N299" s="127"/>
      <c r="O299" s="128"/>
      <c r="P299" s="95"/>
      <c r="Q299" s="137"/>
      <c r="R299" s="129"/>
      <c r="S299" s="95"/>
      <c r="T299" s="95"/>
      <c r="V299" s="107"/>
    </row>
    <row r="300" ht="15.75" customHeight="1">
      <c r="A300" s="89"/>
      <c r="B300" s="148"/>
      <c r="C300" s="149"/>
      <c r="D300" s="95"/>
      <c r="E300" s="150"/>
      <c r="F300" s="150"/>
      <c r="G300" s="95"/>
      <c r="H300" s="149"/>
      <c r="I300" s="95"/>
      <c r="J300" s="95"/>
      <c r="K300" s="153"/>
      <c r="L300" s="154"/>
      <c r="M300" s="100"/>
      <c r="N300" s="127"/>
      <c r="O300" s="128"/>
      <c r="P300" s="95"/>
      <c r="Q300" s="137"/>
      <c r="R300" s="129"/>
      <c r="S300" s="95"/>
      <c r="T300" s="95"/>
      <c r="V300" s="107"/>
    </row>
    <row r="301" ht="15.75" customHeight="1">
      <c r="A301" s="89"/>
      <c r="B301" s="148"/>
      <c r="C301" s="107"/>
      <c r="D301" s="95"/>
      <c r="E301" s="150"/>
      <c r="F301" s="150"/>
      <c r="G301" s="95"/>
      <c r="H301" s="149"/>
      <c r="I301" s="95"/>
      <c r="J301" s="95"/>
      <c r="K301" s="155"/>
      <c r="L301" s="156"/>
      <c r="M301" s="100"/>
      <c r="N301" s="127"/>
      <c r="O301" s="128"/>
      <c r="P301" s="95"/>
      <c r="Q301" s="137"/>
      <c r="R301" s="129"/>
      <c r="S301" s="95"/>
      <c r="T301" s="95"/>
      <c r="V301" s="107"/>
    </row>
    <row r="302" ht="15.75" customHeight="1">
      <c r="A302" s="89"/>
      <c r="B302" s="148"/>
      <c r="C302" s="149"/>
      <c r="D302" s="95"/>
      <c r="E302" s="150"/>
      <c r="F302" s="150"/>
      <c r="G302" s="95"/>
      <c r="H302" s="149"/>
      <c r="I302" s="95"/>
      <c r="J302" s="95"/>
      <c r="K302" s="153"/>
      <c r="L302" s="154"/>
      <c r="M302" s="100"/>
      <c r="N302" s="127"/>
      <c r="O302" s="128"/>
      <c r="P302" s="95"/>
      <c r="Q302" s="137"/>
      <c r="R302" s="129"/>
      <c r="S302" s="95"/>
      <c r="T302" s="95"/>
      <c r="V302" s="107"/>
    </row>
    <row r="303" ht="15.75" customHeight="1">
      <c r="A303" s="89"/>
      <c r="B303" s="148"/>
      <c r="C303" s="149"/>
      <c r="D303" s="95"/>
      <c r="E303" s="150"/>
      <c r="F303" s="150"/>
      <c r="G303" s="95"/>
      <c r="H303" s="149"/>
      <c r="I303" s="95"/>
      <c r="J303" s="95"/>
      <c r="K303" s="155"/>
      <c r="L303" s="156"/>
      <c r="M303" s="100"/>
      <c r="N303" s="127"/>
      <c r="O303" s="128"/>
      <c r="P303" s="95"/>
      <c r="Q303" s="137"/>
      <c r="R303" s="129"/>
      <c r="S303" s="95"/>
      <c r="T303" s="95"/>
      <c r="V303" s="107"/>
    </row>
    <row r="304" ht="15.75" customHeight="1">
      <c r="A304" s="89"/>
      <c r="B304" s="148"/>
      <c r="C304" s="149"/>
      <c r="D304" s="95"/>
      <c r="E304" s="150"/>
      <c r="F304" s="150"/>
      <c r="G304" s="95"/>
      <c r="H304" s="149"/>
      <c r="I304" s="95"/>
      <c r="J304" s="95"/>
      <c r="K304" s="153"/>
      <c r="L304" s="154"/>
      <c r="M304" s="100"/>
      <c r="N304" s="127"/>
      <c r="O304" s="128"/>
      <c r="P304" s="95"/>
      <c r="Q304" s="137"/>
      <c r="R304" s="129"/>
      <c r="S304" s="95"/>
      <c r="T304" s="95"/>
      <c r="V304" s="107"/>
    </row>
    <row r="305" ht="15.75" customHeight="1">
      <c r="A305" s="89"/>
      <c r="B305" s="148"/>
      <c r="C305" s="149"/>
      <c r="D305" s="95"/>
      <c r="E305" s="150"/>
      <c r="F305" s="150"/>
      <c r="G305" s="95"/>
      <c r="H305" s="149"/>
      <c r="I305" s="95"/>
      <c r="J305" s="95"/>
      <c r="K305" s="155"/>
      <c r="L305" s="156"/>
      <c r="M305" s="100"/>
      <c r="N305" s="127"/>
      <c r="O305" s="128"/>
      <c r="P305" s="95"/>
      <c r="Q305" s="137"/>
      <c r="R305" s="129"/>
      <c r="S305" s="95"/>
      <c r="T305" s="95"/>
      <c r="V305" s="107"/>
    </row>
    <row r="306" ht="15.75" customHeight="1">
      <c r="A306" s="89"/>
      <c r="B306" s="148"/>
      <c r="C306" s="149"/>
      <c r="D306" s="95"/>
      <c r="E306" s="150"/>
      <c r="F306" s="150"/>
      <c r="G306" s="95"/>
      <c r="H306" s="149"/>
      <c r="I306" s="95"/>
      <c r="J306" s="95"/>
      <c r="K306" s="153"/>
      <c r="L306" s="154"/>
      <c r="M306" s="100"/>
      <c r="N306" s="127"/>
      <c r="O306" s="128"/>
      <c r="P306" s="95"/>
      <c r="Q306" s="137"/>
      <c r="R306" s="129"/>
      <c r="S306" s="95"/>
      <c r="T306" s="95"/>
      <c r="V306" s="107"/>
    </row>
    <row r="307" ht="15.75" customHeight="1">
      <c r="A307" s="89"/>
      <c r="B307" s="148"/>
      <c r="C307" s="107"/>
      <c r="D307" s="95"/>
      <c r="E307" s="150"/>
      <c r="F307" s="150"/>
      <c r="G307" s="95"/>
      <c r="H307" s="149"/>
      <c r="I307" s="95"/>
      <c r="J307" s="95"/>
      <c r="K307" s="155"/>
      <c r="L307" s="156"/>
      <c r="M307" s="100"/>
      <c r="N307" s="127"/>
      <c r="O307" s="128"/>
      <c r="P307" s="95"/>
      <c r="Q307" s="137"/>
      <c r="R307" s="129"/>
      <c r="S307" s="95"/>
      <c r="T307" s="95"/>
      <c r="V307" s="107"/>
    </row>
    <row r="308" ht="15.75" customHeight="1">
      <c r="A308" s="89"/>
      <c r="B308" s="148"/>
      <c r="C308" s="149"/>
      <c r="D308" s="95"/>
      <c r="E308" s="150"/>
      <c r="F308" s="150"/>
      <c r="G308" s="95"/>
      <c r="H308" s="149"/>
      <c r="I308" s="95"/>
      <c r="J308" s="95"/>
      <c r="K308" s="153"/>
      <c r="L308" s="154"/>
      <c r="M308" s="100"/>
      <c r="N308" s="127"/>
      <c r="O308" s="128"/>
      <c r="P308" s="95"/>
      <c r="Q308" s="137"/>
      <c r="R308" s="129"/>
      <c r="S308" s="95"/>
      <c r="T308" s="95"/>
      <c r="V308" s="107"/>
    </row>
    <row r="309" ht="15.75" customHeight="1">
      <c r="A309" s="89"/>
      <c r="B309" s="148"/>
      <c r="C309" s="149"/>
      <c r="D309" s="95"/>
      <c r="E309" s="150"/>
      <c r="F309" s="150"/>
      <c r="G309" s="95"/>
      <c r="H309" s="149"/>
      <c r="I309" s="95"/>
      <c r="J309" s="95"/>
      <c r="K309" s="155"/>
      <c r="L309" s="156"/>
      <c r="M309" s="100"/>
      <c r="N309" s="127"/>
      <c r="O309" s="128"/>
      <c r="P309" s="95"/>
      <c r="Q309" s="137"/>
      <c r="R309" s="129"/>
      <c r="S309" s="95"/>
      <c r="T309" s="95"/>
      <c r="V309" s="107"/>
    </row>
    <row r="310" ht="15.75" customHeight="1">
      <c r="A310" s="89"/>
      <c r="B310" s="148"/>
      <c r="C310" s="149"/>
      <c r="D310" s="95"/>
      <c r="E310" s="150"/>
      <c r="F310" s="150"/>
      <c r="G310" s="95"/>
      <c r="H310" s="149"/>
      <c r="I310" s="95"/>
      <c r="J310" s="95"/>
      <c r="K310" s="153"/>
      <c r="L310" s="154"/>
      <c r="M310" s="100"/>
      <c r="N310" s="127"/>
      <c r="O310" s="128"/>
      <c r="P310" s="95"/>
      <c r="Q310" s="137"/>
      <c r="R310" s="129"/>
      <c r="S310" s="95"/>
      <c r="T310" s="95"/>
      <c r="V310" s="107"/>
    </row>
    <row r="311" ht="15.75" customHeight="1">
      <c r="A311" s="89"/>
      <c r="B311" s="148"/>
      <c r="C311" s="149"/>
      <c r="D311" s="95"/>
      <c r="E311" s="150"/>
      <c r="F311" s="150"/>
      <c r="G311" s="95"/>
      <c r="H311" s="149"/>
      <c r="I311" s="95"/>
      <c r="J311" s="95"/>
      <c r="K311" s="155"/>
      <c r="L311" s="156"/>
      <c r="M311" s="100"/>
      <c r="N311" s="127"/>
      <c r="O311" s="128"/>
      <c r="P311" s="95"/>
      <c r="Q311" s="137"/>
      <c r="R311" s="129"/>
      <c r="S311" s="95"/>
      <c r="T311" s="95"/>
      <c r="V311" s="107"/>
    </row>
    <row r="312" ht="15.75" customHeight="1">
      <c r="A312" s="89"/>
      <c r="B312" s="148"/>
      <c r="C312" s="149"/>
      <c r="D312" s="95"/>
      <c r="E312" s="150"/>
      <c r="F312" s="150"/>
      <c r="G312" s="95"/>
      <c r="H312" s="149"/>
      <c r="I312" s="95"/>
      <c r="J312" s="95"/>
      <c r="K312" s="153"/>
      <c r="L312" s="154"/>
      <c r="M312" s="100"/>
      <c r="N312" s="127"/>
      <c r="O312" s="128"/>
      <c r="P312" s="95"/>
      <c r="Q312" s="137"/>
      <c r="R312" s="129"/>
      <c r="S312" s="95"/>
      <c r="T312" s="95"/>
      <c r="V312" s="107"/>
    </row>
    <row r="313" ht="15.75" customHeight="1">
      <c r="A313" s="89"/>
      <c r="B313" s="148"/>
      <c r="C313" s="107"/>
      <c r="D313" s="95"/>
      <c r="E313" s="150"/>
      <c r="F313" s="150"/>
      <c r="G313" s="95"/>
      <c r="H313" s="149"/>
      <c r="I313" s="95"/>
      <c r="J313" s="95"/>
      <c r="K313" s="155"/>
      <c r="L313" s="156"/>
      <c r="M313" s="100"/>
      <c r="N313" s="127"/>
      <c r="O313" s="128"/>
      <c r="P313" s="95"/>
      <c r="Q313" s="137"/>
      <c r="R313" s="129"/>
      <c r="S313" s="95"/>
      <c r="T313" s="95"/>
      <c r="V313" s="107"/>
    </row>
    <row r="314" ht="15.75" customHeight="1">
      <c r="A314" s="89"/>
      <c r="B314" s="148"/>
      <c r="C314" s="149"/>
      <c r="D314" s="95"/>
      <c r="E314" s="150"/>
      <c r="F314" s="150"/>
      <c r="G314" s="95"/>
      <c r="H314" s="149"/>
      <c r="I314" s="95"/>
      <c r="J314" s="95"/>
      <c r="K314" s="153"/>
      <c r="L314" s="154"/>
      <c r="M314" s="100"/>
      <c r="N314" s="127"/>
      <c r="O314" s="128"/>
      <c r="P314" s="95"/>
      <c r="Q314" s="137"/>
      <c r="R314" s="129"/>
      <c r="S314" s="95"/>
      <c r="T314" s="95"/>
      <c r="V314" s="107"/>
    </row>
    <row r="315" ht="15.75" customHeight="1">
      <c r="A315" s="89"/>
      <c r="B315" s="148"/>
      <c r="C315" s="149"/>
      <c r="D315" s="95"/>
      <c r="E315" s="150"/>
      <c r="F315" s="150"/>
      <c r="G315" s="95"/>
      <c r="H315" s="149"/>
      <c r="I315" s="95"/>
      <c r="J315" s="95"/>
      <c r="K315" s="155"/>
      <c r="L315" s="156"/>
      <c r="M315" s="100"/>
      <c r="N315" s="127"/>
      <c r="O315" s="128"/>
      <c r="P315" s="95"/>
      <c r="Q315" s="137"/>
      <c r="R315" s="129"/>
      <c r="S315" s="95"/>
      <c r="T315" s="95"/>
      <c r="V315" s="107"/>
    </row>
    <row r="316" ht="15.75" customHeight="1">
      <c r="A316" s="89"/>
      <c r="B316" s="148"/>
      <c r="C316" s="149"/>
      <c r="D316" s="95"/>
      <c r="E316" s="150"/>
      <c r="F316" s="150"/>
      <c r="G316" s="95"/>
      <c r="H316" s="149"/>
      <c r="I316" s="95"/>
      <c r="J316" s="95"/>
      <c r="K316" s="153"/>
      <c r="L316" s="154"/>
      <c r="M316" s="100"/>
      <c r="N316" s="127"/>
      <c r="O316" s="128"/>
      <c r="P316" s="95"/>
      <c r="Q316" s="137"/>
      <c r="R316" s="129"/>
      <c r="S316" s="95"/>
      <c r="T316" s="95"/>
      <c r="V316" s="107"/>
    </row>
    <row r="317" ht="15.75" customHeight="1">
      <c r="A317" s="89"/>
      <c r="B317" s="148"/>
      <c r="C317" s="149"/>
      <c r="D317" s="95"/>
      <c r="E317" s="150"/>
      <c r="F317" s="150"/>
      <c r="G317" s="95"/>
      <c r="H317" s="149"/>
      <c r="I317" s="95"/>
      <c r="J317" s="95"/>
      <c r="K317" s="155"/>
      <c r="L317" s="156"/>
      <c r="M317" s="100"/>
      <c r="N317" s="127"/>
      <c r="O317" s="128"/>
      <c r="P317" s="95"/>
      <c r="Q317" s="137"/>
      <c r="R317" s="129"/>
      <c r="S317" s="95"/>
      <c r="T317" s="95"/>
      <c r="V317" s="107"/>
    </row>
    <row r="318" ht="15.75" customHeight="1">
      <c r="A318" s="89"/>
      <c r="B318" s="148"/>
      <c r="C318" s="149"/>
      <c r="D318" s="95"/>
      <c r="E318" s="150"/>
      <c r="F318" s="150"/>
      <c r="G318" s="95"/>
      <c r="H318" s="149"/>
      <c r="I318" s="95"/>
      <c r="J318" s="95"/>
      <c r="K318" s="153"/>
      <c r="L318" s="154"/>
      <c r="M318" s="100"/>
      <c r="N318" s="127"/>
      <c r="O318" s="128"/>
      <c r="P318" s="95"/>
      <c r="Q318" s="137"/>
      <c r="R318" s="129"/>
      <c r="S318" s="95"/>
      <c r="T318" s="95"/>
      <c r="V318" s="107"/>
    </row>
    <row r="319" ht="15.75" customHeight="1">
      <c r="A319" s="89"/>
      <c r="B319" s="148"/>
      <c r="C319" s="107"/>
      <c r="D319" s="95"/>
      <c r="E319" s="150"/>
      <c r="F319" s="150"/>
      <c r="G319" s="95"/>
      <c r="H319" s="149"/>
      <c r="I319" s="95"/>
      <c r="J319" s="95"/>
      <c r="K319" s="155"/>
      <c r="L319" s="156"/>
      <c r="M319" s="100"/>
      <c r="N319" s="127"/>
      <c r="O319" s="128"/>
      <c r="P319" s="95"/>
      <c r="Q319" s="137"/>
      <c r="R319" s="129"/>
      <c r="S319" s="95"/>
      <c r="T319" s="95"/>
      <c r="V319" s="107"/>
    </row>
    <row r="320" ht="15.75" customHeight="1">
      <c r="A320" s="89"/>
      <c r="B320" s="148"/>
      <c r="C320" s="149"/>
      <c r="D320" s="95"/>
      <c r="E320" s="150"/>
      <c r="F320" s="150"/>
      <c r="G320" s="95"/>
      <c r="H320" s="149"/>
      <c r="I320" s="95"/>
      <c r="J320" s="95"/>
      <c r="K320" s="153"/>
      <c r="L320" s="154"/>
      <c r="M320" s="100"/>
      <c r="N320" s="127"/>
      <c r="O320" s="128"/>
      <c r="P320" s="95"/>
      <c r="Q320" s="137"/>
      <c r="R320" s="129"/>
      <c r="S320" s="95"/>
      <c r="T320" s="95"/>
      <c r="V320" s="107"/>
    </row>
    <row r="321" ht="15.75" customHeight="1">
      <c r="A321" s="89"/>
      <c r="B321" s="148"/>
      <c r="C321" s="149"/>
      <c r="D321" s="95"/>
      <c r="E321" s="150"/>
      <c r="F321" s="150"/>
      <c r="G321" s="95"/>
      <c r="H321" s="149"/>
      <c r="I321" s="95"/>
      <c r="J321" s="95"/>
      <c r="K321" s="155"/>
      <c r="L321" s="156"/>
      <c r="M321" s="100"/>
      <c r="N321" s="127"/>
      <c r="O321" s="128"/>
      <c r="P321" s="95"/>
      <c r="Q321" s="137"/>
      <c r="R321" s="129"/>
      <c r="S321" s="95"/>
      <c r="T321" s="95"/>
      <c r="V321" s="107"/>
    </row>
    <row r="322" ht="15.75" customHeight="1">
      <c r="A322" s="89"/>
      <c r="B322" s="148"/>
      <c r="C322" s="149"/>
      <c r="D322" s="95"/>
      <c r="E322" s="150"/>
      <c r="F322" s="150"/>
      <c r="G322" s="95"/>
      <c r="H322" s="149"/>
      <c r="I322" s="95"/>
      <c r="J322" s="95"/>
      <c r="K322" s="153"/>
      <c r="L322" s="154"/>
      <c r="M322" s="100"/>
      <c r="N322" s="127"/>
      <c r="O322" s="128"/>
      <c r="P322" s="95"/>
      <c r="Q322" s="137"/>
      <c r="R322" s="129"/>
      <c r="S322" s="95"/>
      <c r="T322" s="95"/>
      <c r="V322" s="107"/>
    </row>
    <row r="323" ht="15.75" customHeight="1">
      <c r="A323" s="89"/>
      <c r="B323" s="148"/>
      <c r="C323" s="149"/>
      <c r="D323" s="95"/>
      <c r="E323" s="150"/>
      <c r="F323" s="150"/>
      <c r="G323" s="95"/>
      <c r="H323" s="149"/>
      <c r="I323" s="95"/>
      <c r="J323" s="95"/>
      <c r="K323" s="155"/>
      <c r="L323" s="156"/>
      <c r="M323" s="100"/>
      <c r="N323" s="127"/>
      <c r="O323" s="128"/>
      <c r="P323" s="95"/>
      <c r="Q323" s="137"/>
      <c r="R323" s="129"/>
      <c r="S323" s="95"/>
      <c r="T323" s="95"/>
      <c r="V323" s="107"/>
    </row>
    <row r="324" ht="15.75" customHeight="1">
      <c r="A324" s="89"/>
      <c r="B324" s="148"/>
      <c r="C324" s="149"/>
      <c r="D324" s="95"/>
      <c r="E324" s="150"/>
      <c r="F324" s="150"/>
      <c r="G324" s="95"/>
      <c r="H324" s="149"/>
      <c r="I324" s="95"/>
      <c r="J324" s="95"/>
      <c r="K324" s="153"/>
      <c r="L324" s="154"/>
      <c r="M324" s="100"/>
      <c r="N324" s="127"/>
      <c r="O324" s="128"/>
      <c r="P324" s="95"/>
      <c r="Q324" s="137"/>
      <c r="R324" s="129"/>
      <c r="S324" s="95"/>
      <c r="T324" s="95"/>
      <c r="V324" s="107"/>
    </row>
    <row r="325" ht="15.75" customHeight="1">
      <c r="A325" s="89"/>
      <c r="B325" s="148"/>
      <c r="C325" s="107"/>
      <c r="D325" s="95"/>
      <c r="E325" s="150"/>
      <c r="F325" s="150"/>
      <c r="G325" s="95"/>
      <c r="H325" s="149"/>
      <c r="I325" s="95"/>
      <c r="J325" s="95"/>
      <c r="K325" s="155"/>
      <c r="L325" s="156"/>
      <c r="M325" s="100"/>
      <c r="N325" s="127"/>
      <c r="O325" s="128"/>
      <c r="P325" s="95"/>
      <c r="Q325" s="137"/>
      <c r="R325" s="129"/>
      <c r="S325" s="95"/>
      <c r="T325" s="95"/>
      <c r="V325" s="107"/>
    </row>
    <row r="326" ht="15.75" customHeight="1">
      <c r="A326" s="89"/>
      <c r="B326" s="148"/>
      <c r="C326" s="149"/>
      <c r="D326" s="95"/>
      <c r="E326" s="150"/>
      <c r="F326" s="150"/>
      <c r="G326" s="95"/>
      <c r="H326" s="149"/>
      <c r="I326" s="95"/>
      <c r="J326" s="95"/>
      <c r="K326" s="153"/>
      <c r="L326" s="154"/>
      <c r="M326" s="100"/>
      <c r="N326" s="127"/>
      <c r="O326" s="128"/>
      <c r="P326" s="95"/>
      <c r="Q326" s="137"/>
      <c r="R326" s="129"/>
      <c r="S326" s="95"/>
      <c r="T326" s="95"/>
      <c r="V326" s="107"/>
    </row>
    <row r="327" ht="15.75" customHeight="1">
      <c r="A327" s="89"/>
      <c r="B327" s="148"/>
      <c r="C327" s="149"/>
      <c r="D327" s="95"/>
      <c r="E327" s="150"/>
      <c r="F327" s="150"/>
      <c r="G327" s="95"/>
      <c r="H327" s="149"/>
      <c r="I327" s="95"/>
      <c r="J327" s="95"/>
      <c r="K327" s="155"/>
      <c r="L327" s="156"/>
      <c r="M327" s="100"/>
      <c r="N327" s="127"/>
      <c r="O327" s="128"/>
      <c r="P327" s="95"/>
      <c r="Q327" s="137"/>
      <c r="R327" s="129"/>
      <c r="S327" s="95"/>
      <c r="T327" s="95"/>
      <c r="V327" s="107"/>
    </row>
    <row r="328" ht="15.75" customHeight="1">
      <c r="A328" s="89"/>
      <c r="B328" s="148"/>
      <c r="C328" s="149"/>
      <c r="D328" s="95"/>
      <c r="E328" s="150"/>
      <c r="F328" s="150"/>
      <c r="G328" s="95"/>
      <c r="H328" s="149"/>
      <c r="I328" s="95"/>
      <c r="J328" s="95"/>
      <c r="K328" s="157"/>
      <c r="L328" s="158"/>
      <c r="M328" s="100"/>
      <c r="N328" s="127"/>
      <c r="O328" s="128"/>
      <c r="P328" s="95"/>
      <c r="Q328" s="137"/>
      <c r="R328" s="129"/>
      <c r="S328" s="95"/>
      <c r="T328" s="95"/>
      <c r="V328" s="107"/>
    </row>
    <row r="329" ht="15.75" customHeight="1">
      <c r="A329" s="89"/>
      <c r="B329" s="148"/>
      <c r="C329" s="149"/>
      <c r="D329" s="95"/>
      <c r="E329" s="150"/>
      <c r="F329" s="150"/>
      <c r="G329" s="95"/>
      <c r="H329" s="149"/>
      <c r="I329" s="95"/>
      <c r="J329" s="95"/>
      <c r="K329" s="157"/>
      <c r="L329" s="158"/>
      <c r="M329" s="100"/>
      <c r="N329" s="127"/>
      <c r="O329" s="128"/>
      <c r="P329" s="95"/>
      <c r="Q329" s="137"/>
      <c r="R329" s="129"/>
      <c r="S329" s="95"/>
      <c r="T329" s="95"/>
      <c r="V329" s="107"/>
    </row>
    <row r="330" ht="15.75" customHeight="1">
      <c r="A330" s="89"/>
      <c r="B330" s="148"/>
      <c r="C330" s="149"/>
      <c r="D330" s="95"/>
      <c r="E330" s="150"/>
      <c r="F330" s="150"/>
      <c r="G330" s="95"/>
      <c r="H330" s="149"/>
      <c r="I330" s="95"/>
      <c r="J330" s="95"/>
      <c r="K330" s="157"/>
      <c r="L330" s="158"/>
      <c r="M330" s="100"/>
      <c r="N330" s="127"/>
      <c r="O330" s="128"/>
      <c r="P330" s="95"/>
      <c r="Q330" s="137"/>
      <c r="R330" s="129"/>
      <c r="S330" s="95"/>
      <c r="T330" s="95"/>
      <c r="V330" s="107"/>
    </row>
    <row r="331" ht="15.75" customHeight="1">
      <c r="A331" s="89"/>
      <c r="B331" s="148"/>
      <c r="C331" s="107"/>
      <c r="D331" s="95"/>
      <c r="E331" s="150"/>
      <c r="F331" s="150"/>
      <c r="G331" s="95"/>
      <c r="H331" s="149"/>
      <c r="I331" s="95"/>
      <c r="J331" s="95"/>
      <c r="K331" s="157"/>
      <c r="L331" s="158"/>
      <c r="M331" s="100"/>
      <c r="N331" s="127"/>
      <c r="O331" s="128"/>
      <c r="P331" s="95"/>
      <c r="Q331" s="137"/>
      <c r="R331" s="129"/>
      <c r="S331" s="95"/>
      <c r="T331" s="95"/>
      <c r="V331" s="107"/>
    </row>
    <row r="332" ht="15.75" customHeight="1">
      <c r="A332" s="89"/>
      <c r="B332" s="148"/>
      <c r="C332" s="149"/>
      <c r="D332" s="95"/>
      <c r="E332" s="150"/>
      <c r="F332" s="150"/>
      <c r="G332" s="95"/>
      <c r="H332" s="149"/>
      <c r="I332" s="95"/>
      <c r="J332" s="95"/>
      <c r="K332" s="157"/>
      <c r="L332" s="158"/>
      <c r="M332" s="100"/>
      <c r="N332" s="127"/>
      <c r="O332" s="128"/>
      <c r="P332" s="95"/>
      <c r="Q332" s="137"/>
      <c r="R332" s="129"/>
      <c r="S332" s="95"/>
      <c r="T332" s="95"/>
      <c r="V332" s="107"/>
    </row>
    <row r="333" ht="15.75" customHeight="1">
      <c r="A333" s="89"/>
      <c r="B333" s="148"/>
      <c r="C333" s="149"/>
      <c r="D333" s="95"/>
      <c r="E333" s="150"/>
      <c r="F333" s="150"/>
      <c r="G333" s="95"/>
      <c r="H333" s="149"/>
      <c r="I333" s="95"/>
      <c r="J333" s="95"/>
      <c r="K333" s="157"/>
      <c r="L333" s="158"/>
      <c r="M333" s="100"/>
      <c r="N333" s="127"/>
      <c r="O333" s="128"/>
      <c r="P333" s="95"/>
      <c r="Q333" s="137"/>
      <c r="R333" s="129"/>
      <c r="S333" s="95"/>
      <c r="T333" s="95"/>
      <c r="V333" s="107"/>
    </row>
    <row r="334" ht="15.75" customHeight="1">
      <c r="A334" s="89"/>
      <c r="B334" s="148"/>
      <c r="C334" s="149"/>
      <c r="D334" s="95"/>
      <c r="E334" s="150"/>
      <c r="F334" s="150"/>
      <c r="G334" s="95"/>
      <c r="H334" s="149"/>
      <c r="I334" s="95"/>
      <c r="J334" s="95"/>
      <c r="K334" s="157"/>
      <c r="L334" s="158"/>
      <c r="M334" s="100"/>
      <c r="N334" s="127"/>
      <c r="O334" s="128"/>
      <c r="P334" s="95"/>
      <c r="Q334" s="137"/>
      <c r="R334" s="129"/>
      <c r="S334" s="95"/>
      <c r="T334" s="95"/>
      <c r="V334" s="107"/>
    </row>
    <row r="335" ht="15.75" customHeight="1">
      <c r="A335" s="89"/>
      <c r="B335" s="148"/>
      <c r="C335" s="149"/>
      <c r="D335" s="95"/>
      <c r="E335" s="150"/>
      <c r="F335" s="150"/>
      <c r="G335" s="95"/>
      <c r="H335" s="149"/>
      <c r="I335" s="95"/>
      <c r="J335" s="95"/>
      <c r="K335" s="157"/>
      <c r="L335" s="158"/>
      <c r="M335" s="100"/>
      <c r="N335" s="127"/>
      <c r="O335" s="128"/>
      <c r="P335" s="95"/>
      <c r="Q335" s="137"/>
      <c r="R335" s="129"/>
      <c r="S335" s="95"/>
      <c r="T335" s="95"/>
      <c r="V335" s="107"/>
    </row>
    <row r="336" ht="15.75" customHeight="1">
      <c r="A336" s="89"/>
      <c r="B336" s="148"/>
      <c r="C336" s="149"/>
      <c r="D336" s="95"/>
      <c r="E336" s="150"/>
      <c r="F336" s="150"/>
      <c r="G336" s="95"/>
      <c r="H336" s="149"/>
      <c r="I336" s="95"/>
      <c r="J336" s="95"/>
      <c r="K336" s="157"/>
      <c r="L336" s="158"/>
      <c r="M336" s="100"/>
      <c r="N336" s="127"/>
      <c r="O336" s="128"/>
      <c r="P336" s="95"/>
      <c r="Q336" s="137"/>
      <c r="R336" s="129"/>
      <c r="S336" s="95"/>
      <c r="T336" s="95"/>
      <c r="V336" s="107"/>
    </row>
    <row r="337" ht="15.75" customHeight="1">
      <c r="A337" s="89"/>
      <c r="B337" s="148"/>
      <c r="C337" s="107"/>
      <c r="D337" s="95"/>
      <c r="E337" s="150"/>
      <c r="F337" s="150"/>
      <c r="G337" s="95"/>
      <c r="H337" s="149"/>
      <c r="I337" s="95"/>
      <c r="J337" s="95"/>
      <c r="K337" s="157"/>
      <c r="L337" s="158"/>
      <c r="M337" s="100"/>
      <c r="N337" s="127"/>
      <c r="O337" s="128"/>
      <c r="P337" s="95"/>
      <c r="Q337" s="137"/>
      <c r="R337" s="129"/>
      <c r="S337" s="95"/>
      <c r="T337" s="95"/>
      <c r="V337" s="107"/>
    </row>
    <row r="338" ht="15.75" customHeight="1">
      <c r="A338" s="89"/>
      <c r="B338" s="148"/>
      <c r="C338" s="149"/>
      <c r="D338" s="95"/>
      <c r="E338" s="150"/>
      <c r="F338" s="150"/>
      <c r="G338" s="95"/>
      <c r="H338" s="149"/>
      <c r="I338" s="95"/>
      <c r="J338" s="95"/>
      <c r="K338" s="157"/>
      <c r="L338" s="158"/>
      <c r="M338" s="100"/>
      <c r="N338" s="127"/>
      <c r="O338" s="128"/>
      <c r="P338" s="95"/>
      <c r="Q338" s="137"/>
      <c r="R338" s="129"/>
      <c r="S338" s="95"/>
      <c r="T338" s="95"/>
      <c r="V338" s="107"/>
    </row>
    <row r="339" ht="15.75" customHeight="1">
      <c r="A339" s="89"/>
      <c r="B339" s="148"/>
      <c r="C339" s="149"/>
      <c r="D339" s="95"/>
      <c r="E339" s="150"/>
      <c r="F339" s="150"/>
      <c r="G339" s="95"/>
      <c r="H339" s="149"/>
      <c r="I339" s="95"/>
      <c r="J339" s="95"/>
      <c r="K339" s="157"/>
      <c r="L339" s="158"/>
      <c r="M339" s="100"/>
      <c r="N339" s="127"/>
      <c r="O339" s="128"/>
      <c r="P339" s="95"/>
      <c r="Q339" s="137"/>
      <c r="R339" s="129"/>
      <c r="S339" s="95"/>
      <c r="T339" s="95"/>
      <c r="V339" s="107"/>
    </row>
    <row r="340" ht="15.75" customHeight="1">
      <c r="A340" s="89"/>
      <c r="B340" s="148"/>
      <c r="C340" s="149"/>
      <c r="D340" s="95"/>
      <c r="E340" s="150"/>
      <c r="F340" s="150"/>
      <c r="G340" s="95"/>
      <c r="H340" s="149"/>
      <c r="I340" s="95"/>
      <c r="J340" s="95"/>
      <c r="K340" s="157"/>
      <c r="L340" s="158"/>
      <c r="M340" s="100"/>
      <c r="N340" s="127"/>
      <c r="O340" s="128"/>
      <c r="P340" s="95"/>
      <c r="Q340" s="137"/>
      <c r="R340" s="129"/>
      <c r="S340" s="95"/>
      <c r="T340" s="95"/>
      <c r="V340" s="107"/>
    </row>
    <row r="341" ht="15.75" customHeight="1">
      <c r="A341" s="89"/>
      <c r="B341" s="148"/>
      <c r="C341" s="149"/>
      <c r="D341" s="95"/>
      <c r="E341" s="150"/>
      <c r="F341" s="150"/>
      <c r="G341" s="95"/>
      <c r="H341" s="149"/>
      <c r="I341" s="95"/>
      <c r="J341" s="95"/>
      <c r="K341" s="157"/>
      <c r="L341" s="158"/>
      <c r="M341" s="100"/>
      <c r="N341" s="127"/>
      <c r="O341" s="128"/>
      <c r="P341" s="95"/>
      <c r="Q341" s="137"/>
      <c r="R341" s="129"/>
      <c r="S341" s="95"/>
      <c r="T341" s="95"/>
      <c r="V341" s="107"/>
    </row>
    <row r="342" ht="15.75" customHeight="1">
      <c r="A342" s="89"/>
      <c r="B342" s="148"/>
      <c r="C342" s="149"/>
      <c r="D342" s="95"/>
      <c r="E342" s="150"/>
      <c r="F342" s="150"/>
      <c r="G342" s="95"/>
      <c r="H342" s="149"/>
      <c r="I342" s="95"/>
      <c r="J342" s="95"/>
      <c r="K342" s="157"/>
      <c r="L342" s="158"/>
      <c r="M342" s="100"/>
      <c r="N342" s="127"/>
      <c r="O342" s="128"/>
      <c r="P342" s="95"/>
      <c r="Q342" s="137"/>
      <c r="R342" s="129"/>
      <c r="S342" s="95"/>
      <c r="T342" s="95"/>
      <c r="V342" s="107"/>
    </row>
    <row r="343" ht="15.75" customHeight="1">
      <c r="A343" s="89"/>
      <c r="B343" s="148"/>
      <c r="C343" s="107"/>
      <c r="D343" s="95"/>
      <c r="E343" s="150"/>
      <c r="F343" s="150"/>
      <c r="G343" s="95"/>
      <c r="H343" s="149"/>
      <c r="I343" s="95"/>
      <c r="J343" s="95"/>
      <c r="K343" s="157"/>
      <c r="L343" s="158"/>
      <c r="M343" s="100"/>
      <c r="N343" s="127"/>
      <c r="O343" s="128"/>
      <c r="P343" s="95"/>
      <c r="Q343" s="137"/>
      <c r="R343" s="129"/>
      <c r="S343" s="95"/>
      <c r="T343" s="95"/>
      <c r="V343" s="107"/>
    </row>
    <row r="344" ht="15.75" customHeight="1">
      <c r="A344" s="89"/>
      <c r="B344" s="148"/>
      <c r="C344" s="149"/>
      <c r="D344" s="95"/>
      <c r="E344" s="150"/>
      <c r="F344" s="150"/>
      <c r="G344" s="95"/>
      <c r="H344" s="149"/>
      <c r="I344" s="95"/>
      <c r="J344" s="95"/>
      <c r="K344" s="157"/>
      <c r="L344" s="158"/>
      <c r="M344" s="100"/>
      <c r="N344" s="127"/>
      <c r="O344" s="128"/>
      <c r="P344" s="95"/>
      <c r="Q344" s="137"/>
      <c r="R344" s="129"/>
      <c r="S344" s="95"/>
      <c r="T344" s="95"/>
      <c r="V344" s="107"/>
    </row>
    <row r="345" ht="15.75" customHeight="1">
      <c r="A345" s="89"/>
      <c r="B345" s="148"/>
      <c r="C345" s="149"/>
      <c r="D345" s="95"/>
      <c r="E345" s="150"/>
      <c r="F345" s="150"/>
      <c r="G345" s="95"/>
      <c r="H345" s="149"/>
      <c r="I345" s="95"/>
      <c r="J345" s="95"/>
      <c r="K345" s="157"/>
      <c r="L345" s="158"/>
      <c r="M345" s="100"/>
      <c r="N345" s="127"/>
      <c r="O345" s="128"/>
      <c r="P345" s="95"/>
      <c r="Q345" s="137"/>
      <c r="R345" s="129"/>
      <c r="S345" s="95"/>
      <c r="T345" s="95"/>
      <c r="V345" s="107"/>
    </row>
    <row r="346" ht="15.75" customHeight="1">
      <c r="A346" s="89"/>
      <c r="B346" s="148"/>
      <c r="C346" s="149"/>
      <c r="D346" s="95"/>
      <c r="E346" s="150"/>
      <c r="F346" s="150"/>
      <c r="G346" s="95"/>
      <c r="H346" s="149"/>
      <c r="I346" s="95"/>
      <c r="J346" s="95"/>
      <c r="K346" s="157"/>
      <c r="L346" s="158"/>
      <c r="M346" s="100"/>
      <c r="N346" s="127"/>
      <c r="O346" s="128"/>
      <c r="P346" s="95"/>
      <c r="Q346" s="137"/>
      <c r="R346" s="129"/>
      <c r="S346" s="95"/>
      <c r="T346" s="95"/>
      <c r="V346" s="107"/>
    </row>
    <row r="347" ht="15.75" customHeight="1">
      <c r="A347" s="89"/>
      <c r="B347" s="148"/>
      <c r="C347" s="149"/>
      <c r="D347" s="95"/>
      <c r="E347" s="150"/>
      <c r="F347" s="150"/>
      <c r="G347" s="95"/>
      <c r="H347" s="149"/>
      <c r="I347" s="95"/>
      <c r="J347" s="95"/>
      <c r="K347" s="157"/>
      <c r="L347" s="158"/>
      <c r="M347" s="100"/>
      <c r="N347" s="127"/>
      <c r="O347" s="128"/>
      <c r="P347" s="95"/>
      <c r="Q347" s="137"/>
      <c r="R347" s="129"/>
      <c r="S347" s="95"/>
      <c r="T347" s="95"/>
      <c r="V347" s="107"/>
    </row>
    <row r="348" ht="15.75" customHeight="1">
      <c r="A348" s="89"/>
      <c r="B348" s="148"/>
      <c r="C348" s="149"/>
      <c r="D348" s="95"/>
      <c r="E348" s="150"/>
      <c r="F348" s="150"/>
      <c r="G348" s="95"/>
      <c r="H348" s="149"/>
      <c r="I348" s="95"/>
      <c r="J348" s="95"/>
      <c r="K348" s="157"/>
      <c r="L348" s="158"/>
      <c r="M348" s="100"/>
      <c r="N348" s="127"/>
      <c r="O348" s="128"/>
      <c r="P348" s="95"/>
      <c r="Q348" s="137"/>
      <c r="R348" s="129"/>
      <c r="S348" s="95"/>
      <c r="T348" s="95"/>
      <c r="V348" s="107"/>
    </row>
    <row r="349" ht="15.75" customHeight="1">
      <c r="A349" s="89"/>
      <c r="B349" s="148"/>
      <c r="C349" s="107"/>
      <c r="D349" s="95"/>
      <c r="E349" s="150"/>
      <c r="F349" s="150"/>
      <c r="G349" s="95"/>
      <c r="H349" s="149"/>
      <c r="I349" s="95"/>
      <c r="J349" s="95"/>
      <c r="K349" s="157"/>
      <c r="L349" s="158"/>
      <c r="M349" s="100"/>
      <c r="N349" s="127"/>
      <c r="O349" s="128"/>
      <c r="P349" s="95"/>
      <c r="Q349" s="137"/>
      <c r="R349" s="129"/>
      <c r="S349" s="95"/>
      <c r="T349" s="95"/>
      <c r="V349" s="107"/>
    </row>
    <row r="350" ht="15.75" customHeight="1">
      <c r="A350" s="89"/>
      <c r="B350" s="148"/>
      <c r="C350" s="149"/>
      <c r="D350" s="95"/>
      <c r="E350" s="150"/>
      <c r="F350" s="150"/>
      <c r="G350" s="95"/>
      <c r="H350" s="149"/>
      <c r="I350" s="95"/>
      <c r="J350" s="95"/>
      <c r="K350" s="157"/>
      <c r="L350" s="158"/>
      <c r="M350" s="100"/>
      <c r="N350" s="127"/>
      <c r="O350" s="128"/>
      <c r="P350" s="95"/>
      <c r="Q350" s="137"/>
      <c r="R350" s="129"/>
      <c r="S350" s="95"/>
      <c r="T350" s="95"/>
      <c r="V350" s="107"/>
    </row>
    <row r="351" ht="15.75" customHeight="1">
      <c r="A351" s="89"/>
      <c r="B351" s="148"/>
      <c r="C351" s="149"/>
      <c r="D351" s="95"/>
      <c r="E351" s="150"/>
      <c r="F351" s="150"/>
      <c r="G351" s="95"/>
      <c r="H351" s="149"/>
      <c r="I351" s="95"/>
      <c r="J351" s="95"/>
      <c r="K351" s="157"/>
      <c r="L351" s="158"/>
      <c r="M351" s="100"/>
      <c r="N351" s="127"/>
      <c r="O351" s="128"/>
      <c r="P351" s="95"/>
      <c r="Q351" s="137"/>
      <c r="R351" s="129"/>
      <c r="S351" s="95"/>
      <c r="T351" s="95"/>
      <c r="V351" s="107"/>
    </row>
    <row r="352" ht="15.75" customHeight="1">
      <c r="A352" s="89"/>
      <c r="B352" s="148"/>
      <c r="C352" s="149"/>
      <c r="D352" s="95"/>
      <c r="E352" s="150"/>
      <c r="F352" s="150"/>
      <c r="G352" s="95"/>
      <c r="H352" s="149"/>
      <c r="I352" s="95"/>
      <c r="J352" s="95"/>
      <c r="K352" s="157"/>
      <c r="L352" s="158"/>
      <c r="M352" s="100"/>
      <c r="N352" s="127"/>
      <c r="O352" s="128"/>
      <c r="P352" s="95"/>
      <c r="Q352" s="137"/>
      <c r="R352" s="129"/>
      <c r="S352" s="95"/>
      <c r="T352" s="95"/>
      <c r="V352" s="107"/>
    </row>
    <row r="353" ht="15.75" customHeight="1">
      <c r="A353" s="89"/>
      <c r="B353" s="148"/>
      <c r="C353" s="149"/>
      <c r="D353" s="95"/>
      <c r="E353" s="150"/>
      <c r="F353" s="150"/>
      <c r="G353" s="95"/>
      <c r="H353" s="149"/>
      <c r="I353" s="95"/>
      <c r="J353" s="95"/>
      <c r="K353" s="157"/>
      <c r="L353" s="158"/>
      <c r="M353" s="100"/>
      <c r="N353" s="127"/>
      <c r="O353" s="128"/>
      <c r="P353" s="95"/>
      <c r="Q353" s="137"/>
      <c r="R353" s="129"/>
      <c r="S353" s="95"/>
      <c r="T353" s="95"/>
      <c r="V353" s="107"/>
    </row>
    <row r="354" ht="15.75" customHeight="1">
      <c r="A354" s="89"/>
      <c r="B354" s="148"/>
      <c r="C354" s="149"/>
      <c r="D354" s="95"/>
      <c r="E354" s="150"/>
      <c r="F354" s="150"/>
      <c r="G354" s="95"/>
      <c r="H354" s="149"/>
      <c r="I354" s="95"/>
      <c r="J354" s="95"/>
      <c r="K354" s="157"/>
      <c r="L354" s="158"/>
      <c r="M354" s="100"/>
      <c r="N354" s="127"/>
      <c r="O354" s="128"/>
      <c r="P354" s="95"/>
      <c r="Q354" s="137"/>
      <c r="R354" s="129"/>
      <c r="S354" s="95"/>
      <c r="T354" s="95"/>
      <c r="V354" s="107"/>
    </row>
    <row r="355" ht="15.75" customHeight="1">
      <c r="A355" s="89"/>
      <c r="B355" s="148"/>
      <c r="C355" s="107"/>
      <c r="D355" s="95"/>
      <c r="E355" s="150"/>
      <c r="F355" s="150"/>
      <c r="G355" s="95"/>
      <c r="H355" s="149"/>
      <c r="I355" s="95"/>
      <c r="J355" s="95"/>
      <c r="K355" s="157"/>
      <c r="L355" s="158"/>
      <c r="M355" s="100"/>
      <c r="N355" s="127"/>
      <c r="O355" s="128"/>
      <c r="P355" s="95"/>
      <c r="Q355" s="137"/>
      <c r="R355" s="129"/>
      <c r="S355" s="95"/>
      <c r="T355" s="95"/>
      <c r="V355" s="107"/>
    </row>
    <row r="356" ht="15.75" customHeight="1">
      <c r="A356" s="89"/>
      <c r="B356" s="148"/>
      <c r="C356" s="149"/>
      <c r="D356" s="95"/>
      <c r="E356" s="150"/>
      <c r="F356" s="150"/>
      <c r="G356" s="95"/>
      <c r="H356" s="149"/>
      <c r="I356" s="95"/>
      <c r="J356" s="95"/>
      <c r="K356" s="157"/>
      <c r="L356" s="158"/>
      <c r="M356" s="100"/>
      <c r="N356" s="127"/>
      <c r="O356" s="128"/>
      <c r="P356" s="95"/>
      <c r="Q356" s="137"/>
      <c r="R356" s="129"/>
      <c r="S356" s="95"/>
      <c r="T356" s="95"/>
      <c r="V356" s="107"/>
    </row>
    <row r="357" ht="15.75" customHeight="1">
      <c r="A357" s="89"/>
      <c r="B357" s="148"/>
      <c r="C357" s="149"/>
      <c r="D357" s="95"/>
      <c r="E357" s="150"/>
      <c r="F357" s="150"/>
      <c r="G357" s="95"/>
      <c r="H357" s="149"/>
      <c r="I357" s="95"/>
      <c r="J357" s="95"/>
      <c r="K357" s="157"/>
      <c r="L357" s="158"/>
      <c r="M357" s="100"/>
      <c r="N357" s="127"/>
      <c r="O357" s="128"/>
      <c r="P357" s="95"/>
      <c r="Q357" s="137"/>
      <c r="R357" s="129"/>
      <c r="S357" s="95"/>
      <c r="T357" s="95"/>
      <c r="V357" s="107"/>
    </row>
    <row r="358" ht="15.75" customHeight="1">
      <c r="A358" s="89"/>
      <c r="B358" s="148"/>
      <c r="C358" s="149"/>
      <c r="D358" s="95"/>
      <c r="E358" s="150"/>
      <c r="F358" s="150"/>
      <c r="G358" s="95"/>
      <c r="H358" s="149"/>
      <c r="I358" s="95"/>
      <c r="J358" s="95"/>
      <c r="K358" s="157"/>
      <c r="L358" s="158"/>
      <c r="M358" s="100"/>
      <c r="N358" s="127"/>
      <c r="O358" s="128"/>
      <c r="P358" s="95"/>
      <c r="Q358" s="137"/>
      <c r="R358" s="129"/>
      <c r="S358" s="95"/>
      <c r="T358" s="95"/>
      <c r="V358" s="107"/>
    </row>
    <row r="359" ht="15.75" customHeight="1">
      <c r="A359" s="89"/>
      <c r="B359" s="148"/>
      <c r="C359" s="149"/>
      <c r="D359" s="95"/>
      <c r="E359" s="150"/>
      <c r="F359" s="150"/>
      <c r="G359" s="95"/>
      <c r="H359" s="149"/>
      <c r="I359" s="95"/>
      <c r="J359" s="95"/>
      <c r="K359" s="157"/>
      <c r="L359" s="158"/>
      <c r="M359" s="100"/>
      <c r="N359" s="127"/>
      <c r="O359" s="128"/>
      <c r="P359" s="95"/>
      <c r="Q359" s="137"/>
      <c r="R359" s="129"/>
      <c r="S359" s="95"/>
      <c r="T359" s="95"/>
      <c r="V359" s="107"/>
    </row>
    <row r="360" ht="15.75" customHeight="1">
      <c r="A360" s="89"/>
      <c r="B360" s="148"/>
      <c r="C360" s="149"/>
      <c r="D360" s="95"/>
      <c r="E360" s="150"/>
      <c r="F360" s="150"/>
      <c r="G360" s="95"/>
      <c r="H360" s="149"/>
      <c r="I360" s="95"/>
      <c r="J360" s="95"/>
      <c r="K360" s="157"/>
      <c r="L360" s="158"/>
      <c r="M360" s="100"/>
      <c r="N360" s="127"/>
      <c r="O360" s="128"/>
      <c r="P360" s="95"/>
      <c r="Q360" s="137"/>
      <c r="R360" s="129"/>
      <c r="S360" s="95"/>
      <c r="T360" s="95"/>
      <c r="V360" s="107"/>
    </row>
  </sheetData>
  <autoFilter ref="$A$12:$V$109"/>
  <customSheetViews>
    <customSheetView guid="{3D5205AB-724F-426F-9D73-83BFCBF63977}" filter="1" showAutoFilter="1">
      <autoFilter ref="$R$17:$R$22"/>
    </customSheetView>
  </customSheetViews>
  <mergeCells count="344">
    <mergeCell ref="T9:U9"/>
    <mergeCell ref="T10:U10"/>
    <mergeCell ref="T11:U11"/>
    <mergeCell ref="T12:U12"/>
    <mergeCell ref="T16:U16"/>
    <mergeCell ref="T20:U20"/>
    <mergeCell ref="T21:U21"/>
    <mergeCell ref="T22:U22"/>
    <mergeCell ref="T23:U23"/>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5">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4 I15 I16:J19 I20 I21: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hyperlinks>
    <hyperlink r:id="rId2" ref="R13"/>
    <hyperlink r:id="rId3" ref="R14"/>
    <hyperlink r:id="rId4" ref="R16"/>
    <hyperlink r:id="rId5" ref="R17"/>
    <hyperlink r:id="rId6" ref="R18"/>
    <hyperlink r:id="rId7" ref="R19"/>
    <hyperlink r:id="rId8" ref="R20"/>
    <hyperlink r:id="rId9" ref="R21"/>
    <hyperlink r:id="rId10" ref="R22"/>
    <hyperlink r:id="rId11" ref="R23"/>
    <hyperlink r:id="rId12" ref="R24"/>
    <hyperlink r:id="rId13" ref="R25"/>
    <hyperlink r:id="rId14" ref="R26"/>
    <hyperlink r:id="rId15" ref="R27"/>
  </hyperlinks>
  <drawing r:id="rId16"/>
  <legacy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31.63"/>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5"/>
      <c r="B1" s="87" t="s">
        <v>31</v>
      </c>
      <c r="C1" s="87" t="s">
        <v>77</v>
      </c>
      <c r="D1" s="35"/>
      <c r="E1" s="38" t="s">
        <v>33</v>
      </c>
      <c r="F1" s="39"/>
      <c r="G1" s="35"/>
      <c r="H1" s="38" t="s">
        <v>34</v>
      </c>
      <c r="I1" s="39"/>
      <c r="J1" s="13"/>
      <c r="K1" s="159" t="s">
        <v>35</v>
      </c>
      <c r="L1" s="41"/>
      <c r="M1" s="13"/>
      <c r="N1" s="38" t="s">
        <v>36</v>
      </c>
      <c r="O1" s="42"/>
      <c r="P1" s="35"/>
      <c r="Q1" s="38" t="s">
        <v>37</v>
      </c>
      <c r="R1" s="43"/>
      <c r="S1" s="39"/>
      <c r="T1" s="39"/>
      <c r="U1" s="35" t="s">
        <v>38</v>
      </c>
      <c r="V1" s="35"/>
    </row>
    <row r="2">
      <c r="A2" s="35"/>
      <c r="B2" s="39"/>
      <c r="C2" s="39"/>
      <c r="D2" s="13"/>
      <c r="E2" s="160" t="s">
        <v>26</v>
      </c>
      <c r="F2" s="161">
        <f>IFERROR(COUNTIFS(I13:I287, "Full-Pay"),"")</f>
        <v>7</v>
      </c>
      <c r="G2" s="13"/>
      <c r="H2" s="46" t="s">
        <v>16</v>
      </c>
      <c r="I2" s="47">
        <f>iferror(I10/I8,"")</f>
        <v>0.5714285714</v>
      </c>
      <c r="J2" s="12"/>
      <c r="K2" s="162" t="s">
        <v>39</v>
      </c>
      <c r="L2" s="49">
        <f>iferror(F8/I6,"")</f>
        <v>0</v>
      </c>
      <c r="M2" s="12"/>
      <c r="N2" s="50" t="s">
        <v>40</v>
      </c>
      <c r="O2" s="51">
        <f>IFERROR(COUNTIFS(N13:N286, "think about it"),"")</f>
        <v>2</v>
      </c>
      <c r="P2" s="13"/>
      <c r="Q2" s="52" t="s">
        <v>41</v>
      </c>
      <c r="R2" s="53">
        <f>IFERROR(COUNTIF(H13:H286,Q2),"")</f>
        <v>0</v>
      </c>
      <c r="S2" s="52" t="s">
        <v>42</v>
      </c>
      <c r="T2" s="54">
        <f>IFERROR(COUNTIF(H13:H286,S2),"")</f>
        <v>0</v>
      </c>
      <c r="U2" s="35"/>
      <c r="V2" s="55"/>
    </row>
    <row r="3">
      <c r="A3" s="13"/>
      <c r="B3" s="163" t="s">
        <v>43</v>
      </c>
      <c r="C3" s="57">
        <f>IFERROR(SUM(K13:K283),"")</f>
        <v>38994</v>
      </c>
      <c r="D3" s="58"/>
      <c r="E3" s="160" t="s">
        <v>27</v>
      </c>
      <c r="F3" s="161">
        <f>IFERROR(COUNTIFS(I13:I287, "Split-Pay"),"")</f>
        <v>1</v>
      </c>
      <c r="G3" s="13"/>
      <c r="H3" s="46" t="s">
        <v>17</v>
      </c>
      <c r="I3" s="47">
        <f>IFERROR(I10/I9,"")</f>
        <v>0.5714285714</v>
      </c>
      <c r="J3" s="12"/>
      <c r="K3" s="162" t="s">
        <v>44</v>
      </c>
      <c r="L3" s="49">
        <f>iferror(F9/I6,"")</f>
        <v>0</v>
      </c>
      <c r="M3" s="12"/>
      <c r="N3" s="50" t="s">
        <v>45</v>
      </c>
      <c r="O3" s="59">
        <f>IFERROR(COUNTIFS(N13:N286, "money"),"")</f>
        <v>7</v>
      </c>
      <c r="P3" s="13"/>
      <c r="Q3" s="52" t="s">
        <v>46</v>
      </c>
      <c r="R3" s="53">
        <f>IFERROR(COUNTIF(H13:H286,Q3),"")</f>
        <v>0</v>
      </c>
      <c r="S3" s="52" t="s">
        <v>47</v>
      </c>
      <c r="T3" s="54">
        <f>IFERROR(COUNTIF(H13:H286,S3),"")</f>
        <v>0</v>
      </c>
      <c r="U3" s="35"/>
      <c r="V3" s="55"/>
    </row>
    <row r="4">
      <c r="A4" s="13"/>
      <c r="B4" s="164" t="s">
        <v>48</v>
      </c>
      <c r="C4" s="61">
        <f>IFERROR(SUM(L13:L284),"")</f>
        <v>31498</v>
      </c>
      <c r="D4" s="58"/>
      <c r="E4" s="160" t="s">
        <v>28</v>
      </c>
      <c r="F4" s="161">
        <f>IFERROR(COUNTIFS(I13:I287, "Deposit"),"")</f>
        <v>0</v>
      </c>
      <c r="G4" s="13"/>
      <c r="H4" s="46" t="s">
        <v>18</v>
      </c>
      <c r="I4" s="47">
        <f>IFERROR(I9/I8,"")</f>
        <v>1</v>
      </c>
      <c r="J4" s="12"/>
      <c r="K4" s="162" t="s">
        <v>49</v>
      </c>
      <c r="L4" s="49">
        <f>iferror(F10/I6,"")</f>
        <v>0</v>
      </c>
      <c r="M4" s="12"/>
      <c r="N4" s="50" t="s">
        <v>50</v>
      </c>
      <c r="O4" s="51">
        <f>IFERROR(COUNTIFS(N13:N286, "time"),"")</f>
        <v>2</v>
      </c>
      <c r="P4" s="13"/>
      <c r="Q4" s="52" t="s">
        <v>51</v>
      </c>
      <c r="R4" s="53">
        <f>IFERROR(COUNTIF(H13:H286,Q4),"")</f>
        <v>0</v>
      </c>
      <c r="S4" s="52" t="s">
        <v>52</v>
      </c>
      <c r="T4" s="54">
        <f>IFERROR(COUNTIF(H13:H286,S4),"")</f>
        <v>0</v>
      </c>
      <c r="U4" s="35"/>
      <c r="V4" s="35"/>
    </row>
    <row r="5">
      <c r="A5" s="35"/>
      <c r="B5" s="39"/>
      <c r="C5" s="39"/>
      <c r="D5" s="13"/>
      <c r="E5" s="160" t="s">
        <v>53</v>
      </c>
      <c r="F5" s="161">
        <f>IFERROR(COUNTIFS(I13:I287, "Offer &amp; Didn't Buy"),"")</f>
        <v>6</v>
      </c>
      <c r="G5" s="13"/>
      <c r="H5" s="46" t="s">
        <v>54</v>
      </c>
      <c r="I5" s="47">
        <f>IFERROR(F7/(C6+F7+F8),"")</f>
        <v>0</v>
      </c>
      <c r="J5" s="13"/>
      <c r="K5" s="162" t="s">
        <v>54</v>
      </c>
      <c r="L5" s="49">
        <f>iferror(F7/I6,"")</f>
        <v>0</v>
      </c>
      <c r="M5" s="12"/>
      <c r="N5" s="50" t="s">
        <v>55</v>
      </c>
      <c r="O5" s="51">
        <f>IFERROR(COUNTIFS(N13:N286, "partner"),"")</f>
        <v>0</v>
      </c>
      <c r="P5" s="13"/>
      <c r="Q5" s="52" t="s">
        <v>56</v>
      </c>
      <c r="R5" s="53">
        <f>IFERROR(COUNTIF(H13:H286,Q5),"")</f>
        <v>0</v>
      </c>
      <c r="S5" s="52" t="s">
        <v>57</v>
      </c>
      <c r="T5" s="54">
        <f>IFERROR(COUNTIF(H13:H286,S5),"")</f>
        <v>0</v>
      </c>
      <c r="U5" s="35"/>
      <c r="V5" s="55"/>
    </row>
    <row r="6">
      <c r="A6" s="13"/>
      <c r="B6" s="165" t="s">
        <v>58</v>
      </c>
      <c r="C6" s="63">
        <f>IFERROR(SUM(F2:F6),"")</f>
        <v>14</v>
      </c>
      <c r="D6" s="13"/>
      <c r="E6" s="160" t="s">
        <v>59</v>
      </c>
      <c r="F6" s="161">
        <f>IFERROR(COUNTIFS(I13:I287, "Bad Fit &amp; No Offer"),"")</f>
        <v>0</v>
      </c>
      <c r="G6" s="13"/>
      <c r="H6" s="46" t="s">
        <v>21</v>
      </c>
      <c r="I6" s="64">
        <f>IFERROR(SUM(F2:F10),"")</f>
        <v>14</v>
      </c>
      <c r="J6" s="13"/>
      <c r="K6" s="166" t="s">
        <v>29</v>
      </c>
      <c r="L6" s="49">
        <f>iferror(I7/I6,"")</f>
        <v>1</v>
      </c>
      <c r="M6" s="12"/>
      <c r="N6" s="50" t="s">
        <v>60</v>
      </c>
      <c r="O6" s="51">
        <f>IFERROR(COUNTIFS(N13:N286, "fear"),"")</f>
        <v>1</v>
      </c>
      <c r="P6" s="13"/>
      <c r="Q6" s="52" t="s">
        <v>61</v>
      </c>
      <c r="R6" s="53">
        <f>IFERROR(COUNTIF(H13:H286,Q6),"")</f>
        <v>0</v>
      </c>
      <c r="S6" s="52" t="s">
        <v>62</v>
      </c>
      <c r="T6" s="54">
        <f>IFERROR(COUNTIF(H13:H286,S6),"")</f>
        <v>0</v>
      </c>
      <c r="U6" s="35"/>
      <c r="V6" s="55"/>
    </row>
    <row r="7">
      <c r="A7" s="13"/>
      <c r="B7" s="165" t="s">
        <v>63</v>
      </c>
      <c r="C7" s="66">
        <f>IFERROR(F2+F3,"")</f>
        <v>8</v>
      </c>
      <c r="D7" s="13"/>
      <c r="E7" s="160" t="s">
        <v>64</v>
      </c>
      <c r="F7" s="161">
        <f>IFERROR(COUNTIFS(I13:I287, "Drag Over &amp; Show"),"")</f>
        <v>0</v>
      </c>
      <c r="G7" s="13"/>
      <c r="H7" s="46" t="s">
        <v>22</v>
      </c>
      <c r="I7" s="64">
        <f>IFERROR(SUM(F2:F7),"")</f>
        <v>14</v>
      </c>
      <c r="J7" s="13"/>
      <c r="K7" s="167" t="s">
        <v>30</v>
      </c>
      <c r="L7" s="68">
        <f>IFERROR(I8/I6,"")</f>
        <v>1</v>
      </c>
      <c r="M7" s="12"/>
      <c r="N7" s="69" t="s">
        <v>65</v>
      </c>
      <c r="O7" s="70">
        <f>IFERROR(COUNTIFS(N14:N287, "value"),"")</f>
        <v>0</v>
      </c>
      <c r="P7" s="13"/>
      <c r="Q7" s="52" t="s">
        <v>66</v>
      </c>
      <c r="R7" s="53">
        <f>IFERROR(COUNTIF(H13:H286,Q7),"")</f>
        <v>0</v>
      </c>
      <c r="S7" s="52" t="s">
        <v>67</v>
      </c>
      <c r="T7" s="54">
        <f>IFERROR(COUNTIF(H13:H286,S7),"")</f>
        <v>0</v>
      </c>
      <c r="U7" s="35"/>
      <c r="V7" s="35"/>
    </row>
    <row r="8">
      <c r="A8" s="13"/>
      <c r="B8" s="165" t="s">
        <v>68</v>
      </c>
      <c r="C8" s="71">
        <f>COUNTIF(I13:I286,"offer &amp; didn't buy")+countif(I13:I286,"deposit")+countif(I13:I286,"bad fit &amp; no offer")</f>
        <v>6</v>
      </c>
      <c r="D8" s="72"/>
      <c r="E8" s="160" t="s">
        <v>69</v>
      </c>
      <c r="F8" s="161">
        <f>IFERROR(COUNTIFS(I13:I287, "Rescheduled"),"")</f>
        <v>0</v>
      </c>
      <c r="G8" s="13"/>
      <c r="H8" s="46" t="s">
        <v>23</v>
      </c>
      <c r="I8" s="64">
        <f>IFERROR(SUM(F2:F6),"")</f>
        <v>14</v>
      </c>
      <c r="J8" s="35"/>
      <c r="K8" s="35"/>
      <c r="L8" s="35"/>
      <c r="M8" s="35"/>
      <c r="N8" s="35"/>
      <c r="O8" s="74"/>
      <c r="P8" s="13"/>
      <c r="Q8" s="75" t="s">
        <v>70</v>
      </c>
      <c r="R8" s="76">
        <f>IFERROR(COUNTIF(H13:H286,Q8),"")</f>
        <v>0</v>
      </c>
      <c r="S8" s="75" t="s">
        <v>71</v>
      </c>
      <c r="T8" s="77">
        <f>IFERROR(COUNTIF(H13:H286,S8),"")</f>
        <v>0</v>
      </c>
      <c r="U8" s="35"/>
      <c r="V8" s="35"/>
    </row>
    <row r="9">
      <c r="A9" s="13"/>
      <c r="B9" s="165" t="s">
        <v>72</v>
      </c>
      <c r="C9" s="78">
        <f>iferror(SUM(C7/C6),"")</f>
        <v>0.5714285714</v>
      </c>
      <c r="D9" s="12"/>
      <c r="E9" s="160" t="s">
        <v>73</v>
      </c>
      <c r="F9" s="161">
        <f>IFERROR(COUNTIFS(I13:I287, "Cancelled"),"")</f>
        <v>0</v>
      </c>
      <c r="G9" s="13"/>
      <c r="H9" s="46" t="s">
        <v>24</v>
      </c>
      <c r="I9" s="64">
        <f>IFERROR(sum(F2:F5),"")</f>
        <v>14</v>
      </c>
      <c r="J9" s="35"/>
      <c r="K9" s="35"/>
      <c r="L9" s="35"/>
      <c r="M9" s="35"/>
      <c r="N9" s="35"/>
      <c r="O9" s="74"/>
      <c r="P9" s="35"/>
      <c r="Q9" s="35"/>
      <c r="R9" s="35"/>
      <c r="S9" s="35"/>
      <c r="T9" s="35"/>
      <c r="V9" s="35"/>
    </row>
    <row r="10">
      <c r="A10" s="35"/>
      <c r="B10" s="35"/>
      <c r="C10" s="35"/>
      <c r="D10" s="13"/>
      <c r="E10" s="168" t="s">
        <v>74</v>
      </c>
      <c r="F10" s="169">
        <f>IFERROR(COUNTIFS(I13:I287, "No-Show"),"")</f>
        <v>0</v>
      </c>
      <c r="G10" s="13"/>
      <c r="H10" s="81" t="s">
        <v>75</v>
      </c>
      <c r="I10" s="82">
        <f>F2+F3</f>
        <v>8</v>
      </c>
      <c r="J10" s="35"/>
      <c r="K10" s="35"/>
      <c r="L10" s="35"/>
      <c r="M10" s="35"/>
      <c r="N10" s="35"/>
      <c r="O10" s="74"/>
      <c r="P10" s="35"/>
      <c r="Q10" s="35"/>
      <c r="R10" s="35"/>
      <c r="S10" s="35"/>
      <c r="T10" s="35"/>
      <c r="V10" s="35"/>
    </row>
    <row r="11" ht="6.0" customHeight="1">
      <c r="A11" s="35"/>
      <c r="B11" s="35"/>
      <c r="C11" s="35"/>
      <c r="D11" s="35"/>
      <c r="E11" s="35"/>
      <c r="F11" s="35"/>
      <c r="G11" s="35"/>
      <c r="H11" s="35"/>
      <c r="I11" s="35"/>
      <c r="J11" s="35"/>
      <c r="K11" s="35"/>
      <c r="L11" s="35"/>
      <c r="M11" s="35"/>
      <c r="N11" s="35"/>
      <c r="O11" s="74"/>
      <c r="P11" s="35"/>
      <c r="Q11" s="35"/>
      <c r="R11" s="35"/>
      <c r="S11" s="35"/>
      <c r="T11" s="35"/>
      <c r="V11" s="35"/>
    </row>
    <row r="12">
      <c r="A12" s="35"/>
      <c r="B12" s="85" t="s">
        <v>76</v>
      </c>
      <c r="C12" s="85" t="s">
        <v>77</v>
      </c>
      <c r="D12" s="35"/>
      <c r="E12" s="87" t="s">
        <v>78</v>
      </c>
      <c r="F12" s="87" t="s">
        <v>56</v>
      </c>
      <c r="G12" s="35"/>
      <c r="H12" s="87" t="s">
        <v>37</v>
      </c>
      <c r="I12" s="87" t="s">
        <v>33</v>
      </c>
      <c r="J12" s="35"/>
      <c r="K12" s="87" t="s">
        <v>79</v>
      </c>
      <c r="L12" s="87" t="s">
        <v>48</v>
      </c>
      <c r="M12" s="35"/>
      <c r="N12" s="87" t="s">
        <v>80</v>
      </c>
      <c r="O12" s="88" t="s">
        <v>81</v>
      </c>
      <c r="P12" s="35"/>
      <c r="Q12" s="87" t="s">
        <v>82</v>
      </c>
      <c r="R12" s="87" t="s">
        <v>83</v>
      </c>
      <c r="S12" s="87" t="s">
        <v>84</v>
      </c>
      <c r="T12" s="87" t="s">
        <v>85</v>
      </c>
      <c r="V12" s="55"/>
    </row>
    <row r="13" ht="15.75" customHeight="1">
      <c r="A13" s="89"/>
      <c r="B13" s="90" t="s">
        <v>202</v>
      </c>
      <c r="C13" s="122" t="s">
        <v>203</v>
      </c>
      <c r="D13" s="95"/>
      <c r="E13" s="130" t="s">
        <v>204</v>
      </c>
      <c r="F13" s="109" t="s">
        <v>205</v>
      </c>
      <c r="G13" s="95"/>
      <c r="H13" s="96" t="s">
        <v>89</v>
      </c>
      <c r="I13" s="103" t="s">
        <v>110</v>
      </c>
      <c r="J13" s="95"/>
      <c r="K13" s="98">
        <v>2247.0</v>
      </c>
      <c r="L13" s="99">
        <v>749.0</v>
      </c>
      <c r="M13" s="100"/>
      <c r="N13" s="101" t="s">
        <v>91</v>
      </c>
      <c r="O13" s="102" t="s">
        <v>206</v>
      </c>
      <c r="P13" s="95"/>
      <c r="Q13" s="103" t="s">
        <v>207</v>
      </c>
      <c r="R13" s="170" t="s">
        <v>208</v>
      </c>
      <c r="S13" s="103" t="s">
        <v>113</v>
      </c>
      <c r="T13" s="103" t="s">
        <v>192</v>
      </c>
      <c r="V13" s="107"/>
    </row>
    <row r="14" ht="15.75" customHeight="1">
      <c r="A14" s="89"/>
      <c r="B14" s="90" t="s">
        <v>209</v>
      </c>
      <c r="C14" s="122" t="s">
        <v>210</v>
      </c>
      <c r="D14" s="95"/>
      <c r="E14" s="130" t="s">
        <v>211</v>
      </c>
      <c r="F14" s="109" t="s">
        <v>212</v>
      </c>
      <c r="G14" s="95"/>
      <c r="H14" s="96" t="s">
        <v>89</v>
      </c>
      <c r="I14" s="103" t="s">
        <v>110</v>
      </c>
      <c r="J14" s="95"/>
      <c r="K14" s="98">
        <v>3000.0</v>
      </c>
      <c r="L14" s="99">
        <v>3000.0</v>
      </c>
      <c r="M14" s="100"/>
      <c r="N14" s="101" t="s">
        <v>45</v>
      </c>
      <c r="O14" s="128"/>
      <c r="P14" s="95"/>
      <c r="Q14" s="103" t="s">
        <v>213</v>
      </c>
      <c r="R14" s="171" t="s">
        <v>214</v>
      </c>
      <c r="S14" s="103" t="s">
        <v>113</v>
      </c>
      <c r="T14" s="103" t="s">
        <v>193</v>
      </c>
      <c r="V14" s="107"/>
    </row>
    <row r="15" ht="15.75" customHeight="1">
      <c r="A15" s="95"/>
      <c r="B15" s="90" t="s">
        <v>215</v>
      </c>
      <c r="C15" s="172" t="s">
        <v>216</v>
      </c>
      <c r="D15" s="95"/>
      <c r="E15" s="130" t="s">
        <v>217</v>
      </c>
      <c r="F15" s="109" t="s">
        <v>218</v>
      </c>
      <c r="G15" s="95"/>
      <c r="H15" s="96" t="s">
        <v>89</v>
      </c>
      <c r="I15" s="103" t="s">
        <v>90</v>
      </c>
      <c r="J15" s="95"/>
      <c r="K15" s="98"/>
      <c r="L15" s="99"/>
      <c r="M15" s="100"/>
      <c r="N15" s="101" t="s">
        <v>45</v>
      </c>
      <c r="O15" s="102" t="s">
        <v>219</v>
      </c>
      <c r="P15" s="95"/>
      <c r="Q15" s="114"/>
      <c r="R15" s="171" t="s">
        <v>220</v>
      </c>
      <c r="S15" s="103" t="s">
        <v>94</v>
      </c>
      <c r="T15" s="103" t="s">
        <v>194</v>
      </c>
      <c r="V15" s="107"/>
    </row>
    <row r="16" ht="15.75" customHeight="1">
      <c r="A16" s="95"/>
      <c r="B16" s="90" t="s">
        <v>221</v>
      </c>
      <c r="C16" s="122" t="s">
        <v>222</v>
      </c>
      <c r="D16" s="95"/>
      <c r="E16" s="130" t="s">
        <v>223</v>
      </c>
      <c r="F16" s="109" t="s">
        <v>224</v>
      </c>
      <c r="G16" s="95"/>
      <c r="H16" s="96" t="s">
        <v>89</v>
      </c>
      <c r="I16" s="103" t="s">
        <v>90</v>
      </c>
      <c r="J16" s="95"/>
      <c r="K16" s="112"/>
      <c r="L16" s="113"/>
      <c r="M16" s="100"/>
      <c r="N16" s="101" t="s">
        <v>50</v>
      </c>
      <c r="O16" s="102" t="s">
        <v>225</v>
      </c>
      <c r="P16" s="95"/>
      <c r="Q16" s="95"/>
      <c r="R16" s="171" t="s">
        <v>226</v>
      </c>
      <c r="S16" s="103" t="s">
        <v>157</v>
      </c>
      <c r="T16" s="103" t="s">
        <v>195</v>
      </c>
      <c r="V16" s="107"/>
    </row>
    <row r="17" ht="15.75" customHeight="1">
      <c r="A17" s="95"/>
      <c r="B17" s="90" t="s">
        <v>227</v>
      </c>
      <c r="C17" s="173" t="s">
        <v>228</v>
      </c>
      <c r="D17" s="95"/>
      <c r="E17" s="130" t="s">
        <v>229</v>
      </c>
      <c r="F17" s="109" t="s">
        <v>230</v>
      </c>
      <c r="G17" s="95"/>
      <c r="H17" s="96" t="s">
        <v>89</v>
      </c>
      <c r="I17" s="103" t="s">
        <v>110</v>
      </c>
      <c r="J17" s="95"/>
      <c r="K17" s="98">
        <v>6000.0</v>
      </c>
      <c r="L17" s="99">
        <v>6000.0</v>
      </c>
      <c r="M17" s="100"/>
      <c r="N17" s="101"/>
      <c r="O17" s="102"/>
      <c r="P17" s="95"/>
      <c r="Q17" s="103" t="s">
        <v>213</v>
      </c>
      <c r="R17" s="171" t="s">
        <v>231</v>
      </c>
      <c r="S17" s="103" t="s">
        <v>113</v>
      </c>
      <c r="T17" s="103" t="s">
        <v>196</v>
      </c>
      <c r="V17" s="107"/>
    </row>
    <row r="18" ht="15.75" customHeight="1">
      <c r="A18" s="95"/>
      <c r="B18" s="90" t="s">
        <v>232</v>
      </c>
      <c r="C18" s="122" t="s">
        <v>233</v>
      </c>
      <c r="D18" s="95"/>
      <c r="E18" s="130" t="s">
        <v>234</v>
      </c>
      <c r="F18" s="109" t="s">
        <v>235</v>
      </c>
      <c r="G18" s="95"/>
      <c r="H18" s="96" t="s">
        <v>89</v>
      </c>
      <c r="I18" s="103" t="s">
        <v>90</v>
      </c>
      <c r="J18" s="95"/>
      <c r="K18" s="112"/>
      <c r="L18" s="113"/>
      <c r="M18" s="100"/>
      <c r="N18" s="101" t="s">
        <v>60</v>
      </c>
      <c r="O18" s="128"/>
      <c r="P18" s="95"/>
      <c r="Q18" s="95"/>
      <c r="R18" s="171" t="s">
        <v>236</v>
      </c>
      <c r="S18" s="103" t="s">
        <v>157</v>
      </c>
      <c r="T18" s="103" t="s">
        <v>197</v>
      </c>
      <c r="V18" s="107"/>
    </row>
    <row r="19" ht="15.75" customHeight="1">
      <c r="A19" s="95"/>
      <c r="B19" s="90" t="s">
        <v>237</v>
      </c>
      <c r="C19" s="122" t="s">
        <v>238</v>
      </c>
      <c r="D19" s="95"/>
      <c r="E19" s="130" t="s">
        <v>239</v>
      </c>
      <c r="F19" s="109" t="s">
        <v>240</v>
      </c>
      <c r="G19" s="95"/>
      <c r="H19" s="96" t="s">
        <v>89</v>
      </c>
      <c r="I19" s="103" t="s">
        <v>110</v>
      </c>
      <c r="J19" s="95"/>
      <c r="K19" s="98">
        <v>2247.0</v>
      </c>
      <c r="L19" s="99">
        <v>749.0</v>
      </c>
      <c r="M19" s="100"/>
      <c r="N19" s="101" t="s">
        <v>91</v>
      </c>
      <c r="O19" s="128"/>
      <c r="P19" s="95"/>
      <c r="Q19" s="103" t="s">
        <v>207</v>
      </c>
      <c r="R19" s="171" t="s">
        <v>241</v>
      </c>
      <c r="S19" s="103" t="s">
        <v>113</v>
      </c>
      <c r="T19" s="103" t="s">
        <v>198</v>
      </c>
      <c r="V19" s="107"/>
    </row>
    <row r="20" ht="15.75" customHeight="1">
      <c r="A20" s="95"/>
      <c r="B20" s="119" t="s">
        <v>242</v>
      </c>
      <c r="C20" s="174" t="s">
        <v>243</v>
      </c>
      <c r="D20" s="95"/>
      <c r="E20" s="130" t="s">
        <v>244</v>
      </c>
      <c r="F20" s="109" t="s">
        <v>245</v>
      </c>
      <c r="G20" s="95"/>
      <c r="H20" s="96" t="s">
        <v>89</v>
      </c>
      <c r="I20" s="97" t="s">
        <v>110</v>
      </c>
      <c r="J20" s="95"/>
      <c r="K20" s="99">
        <v>6000.0</v>
      </c>
      <c r="L20" s="99">
        <v>6000.0</v>
      </c>
      <c r="M20" s="100"/>
      <c r="N20" s="127"/>
      <c r="O20" s="102" t="s">
        <v>246</v>
      </c>
      <c r="P20" s="95"/>
      <c r="Q20" s="103" t="s">
        <v>213</v>
      </c>
      <c r="R20" s="171" t="s">
        <v>247</v>
      </c>
      <c r="S20" s="103" t="s">
        <v>113</v>
      </c>
      <c r="T20" s="119" t="s">
        <v>248</v>
      </c>
      <c r="U20" s="95"/>
      <c r="V20" s="107"/>
    </row>
    <row r="21" ht="15.75" customHeight="1">
      <c r="A21" s="89"/>
      <c r="B21" s="96" t="s">
        <v>249</v>
      </c>
      <c r="C21" s="108" t="s">
        <v>250</v>
      </c>
      <c r="D21" s="95"/>
      <c r="E21" s="130" t="s">
        <v>251</v>
      </c>
      <c r="F21" s="109" t="s">
        <v>252</v>
      </c>
      <c r="G21" s="95"/>
      <c r="H21" s="96" t="s">
        <v>89</v>
      </c>
      <c r="I21" s="97" t="s">
        <v>90</v>
      </c>
      <c r="J21" s="95"/>
      <c r="K21" s="99"/>
      <c r="L21" s="99"/>
      <c r="M21" s="100"/>
      <c r="N21" s="101" t="s">
        <v>45</v>
      </c>
      <c r="O21" s="102" t="s">
        <v>253</v>
      </c>
      <c r="P21" s="95"/>
      <c r="Q21" s="114"/>
      <c r="R21" s="175" t="s">
        <v>254</v>
      </c>
      <c r="S21" s="103" t="s">
        <v>94</v>
      </c>
      <c r="T21" s="103" t="s">
        <v>255</v>
      </c>
      <c r="V21" s="107"/>
    </row>
    <row r="22" ht="15.75" customHeight="1">
      <c r="A22" s="89"/>
      <c r="B22" s="96" t="s">
        <v>256</v>
      </c>
      <c r="C22" s="122" t="s">
        <v>257</v>
      </c>
      <c r="D22" s="95"/>
      <c r="E22" s="130" t="s">
        <v>258</v>
      </c>
      <c r="F22" s="109" t="s">
        <v>259</v>
      </c>
      <c r="G22" s="95"/>
      <c r="H22" s="96" t="s">
        <v>89</v>
      </c>
      <c r="I22" s="97" t="s">
        <v>110</v>
      </c>
      <c r="J22" s="95"/>
      <c r="K22" s="99">
        <v>6000.0</v>
      </c>
      <c r="L22" s="99">
        <v>6000.0</v>
      </c>
      <c r="M22" s="100"/>
      <c r="N22" s="101" t="s">
        <v>45</v>
      </c>
      <c r="O22" s="102"/>
      <c r="P22" s="95"/>
      <c r="Q22" s="103"/>
      <c r="R22" s="175" t="s">
        <v>260</v>
      </c>
      <c r="S22" s="103" t="s">
        <v>113</v>
      </c>
      <c r="T22" s="103" t="s">
        <v>261</v>
      </c>
      <c r="V22" s="107"/>
    </row>
    <row r="23" ht="15.75" customHeight="1">
      <c r="A23" s="89"/>
      <c r="B23" s="96" t="s">
        <v>256</v>
      </c>
      <c r="C23" s="122" t="s">
        <v>262</v>
      </c>
      <c r="D23" s="95"/>
      <c r="E23" s="130" t="s">
        <v>263</v>
      </c>
      <c r="F23" s="109" t="s">
        <v>264</v>
      </c>
      <c r="G23" s="95"/>
      <c r="H23" s="96" t="s">
        <v>89</v>
      </c>
      <c r="I23" s="103" t="s">
        <v>90</v>
      </c>
      <c r="J23" s="95"/>
      <c r="K23" s="113"/>
      <c r="L23" s="113"/>
      <c r="M23" s="100"/>
      <c r="N23" s="101" t="s">
        <v>50</v>
      </c>
      <c r="O23" s="128"/>
      <c r="P23" s="95"/>
      <c r="Q23" s="103" t="s">
        <v>207</v>
      </c>
      <c r="R23" s="129"/>
      <c r="S23" s="103" t="s">
        <v>157</v>
      </c>
      <c r="T23" s="103" t="s">
        <v>265</v>
      </c>
      <c r="V23" s="107"/>
    </row>
    <row r="24" ht="15.75" customHeight="1">
      <c r="A24" s="89"/>
      <c r="B24" s="96" t="s">
        <v>266</v>
      </c>
      <c r="C24" s="122" t="s">
        <v>267</v>
      </c>
      <c r="D24" s="95"/>
      <c r="E24" s="130" t="s">
        <v>268</v>
      </c>
      <c r="F24" s="109" t="s">
        <v>269</v>
      </c>
      <c r="G24" s="95"/>
      <c r="H24" s="96" t="s">
        <v>89</v>
      </c>
      <c r="I24" s="103" t="s">
        <v>90</v>
      </c>
      <c r="J24" s="95"/>
      <c r="K24" s="99"/>
      <c r="L24" s="99"/>
      <c r="M24" s="100"/>
      <c r="N24" s="101" t="s">
        <v>45</v>
      </c>
      <c r="O24" s="102"/>
      <c r="P24" s="95"/>
      <c r="Q24" s="114"/>
      <c r="R24" s="171" t="s">
        <v>270</v>
      </c>
      <c r="S24" s="103" t="s">
        <v>157</v>
      </c>
      <c r="T24" s="103" t="s">
        <v>271</v>
      </c>
      <c r="V24" s="107"/>
    </row>
    <row r="25" ht="15.75" customHeight="1">
      <c r="A25" s="89"/>
      <c r="B25" s="96" t="s">
        <v>272</v>
      </c>
      <c r="C25" s="122" t="s">
        <v>273</v>
      </c>
      <c r="D25" s="95"/>
      <c r="E25" s="130" t="s">
        <v>274</v>
      </c>
      <c r="F25" s="109" t="s">
        <v>275</v>
      </c>
      <c r="G25" s="95"/>
      <c r="H25" s="96" t="s">
        <v>89</v>
      </c>
      <c r="I25" s="103" t="s">
        <v>276</v>
      </c>
      <c r="J25" s="95"/>
      <c r="K25" s="99">
        <v>6000.0</v>
      </c>
      <c r="L25" s="99">
        <v>1500.0</v>
      </c>
      <c r="M25" s="100"/>
      <c r="N25" s="101" t="s">
        <v>45</v>
      </c>
      <c r="O25" s="102" t="s">
        <v>277</v>
      </c>
      <c r="P25" s="95"/>
      <c r="Q25" s="95"/>
      <c r="R25" s="171" t="s">
        <v>278</v>
      </c>
      <c r="S25" s="103" t="s">
        <v>113</v>
      </c>
      <c r="T25" s="103" t="s">
        <v>279</v>
      </c>
      <c r="V25" s="107"/>
    </row>
    <row r="26" ht="15.75" customHeight="1">
      <c r="A26" s="89"/>
      <c r="B26" s="96" t="s">
        <v>280</v>
      </c>
      <c r="C26" s="122" t="s">
        <v>281</v>
      </c>
      <c r="D26" s="95"/>
      <c r="E26" s="130" t="s">
        <v>282</v>
      </c>
      <c r="F26" s="109" t="s">
        <v>283</v>
      </c>
      <c r="G26" s="95"/>
      <c r="H26" s="96" t="s">
        <v>89</v>
      </c>
      <c r="I26" s="103" t="s">
        <v>110</v>
      </c>
      <c r="J26" s="95"/>
      <c r="K26" s="99">
        <v>7500.0</v>
      </c>
      <c r="L26" s="99">
        <v>7500.0</v>
      </c>
      <c r="M26" s="100"/>
      <c r="N26" s="101" t="s">
        <v>45</v>
      </c>
      <c r="O26" s="102"/>
      <c r="P26" s="95"/>
      <c r="Q26" s="114"/>
      <c r="R26" s="171" t="s">
        <v>284</v>
      </c>
      <c r="S26" s="103" t="s">
        <v>113</v>
      </c>
      <c r="T26" s="103" t="s">
        <v>285</v>
      </c>
      <c r="V26" s="107"/>
    </row>
    <row r="27" ht="15.75" customHeight="1">
      <c r="A27" s="89"/>
      <c r="B27" s="96"/>
      <c r="C27" s="131"/>
      <c r="D27" s="95"/>
      <c r="E27" s="176"/>
      <c r="F27" s="109"/>
      <c r="G27" s="95"/>
      <c r="H27" s="96"/>
      <c r="I27" s="103"/>
      <c r="J27" s="95"/>
      <c r="K27" s="113"/>
      <c r="L27" s="113"/>
      <c r="M27" s="100"/>
      <c r="N27" s="101"/>
      <c r="O27" s="102"/>
      <c r="P27" s="95"/>
      <c r="Q27" s="114"/>
      <c r="S27" s="103"/>
      <c r="T27" s="103"/>
      <c r="V27" s="107"/>
    </row>
    <row r="28" ht="15.75" customHeight="1">
      <c r="A28" s="89"/>
      <c r="B28" s="96"/>
      <c r="C28" s="97"/>
      <c r="D28" s="95"/>
      <c r="E28" s="130"/>
      <c r="F28" s="109"/>
      <c r="G28" s="95"/>
      <c r="H28" s="96"/>
      <c r="I28" s="103"/>
      <c r="J28" s="95"/>
      <c r="K28" s="99"/>
      <c r="L28" s="99"/>
      <c r="M28" s="100"/>
      <c r="N28" s="101"/>
      <c r="O28" s="102"/>
      <c r="P28" s="95"/>
      <c r="Q28" s="114"/>
      <c r="R28" s="106"/>
      <c r="S28" s="103"/>
      <c r="T28" s="103"/>
      <c r="V28" s="107"/>
    </row>
    <row r="29" ht="15.75" customHeight="1">
      <c r="A29" s="89"/>
      <c r="B29" s="177"/>
      <c r="C29" s="103"/>
      <c r="D29" s="95"/>
      <c r="E29" s="176"/>
      <c r="F29" s="146"/>
      <c r="G29" s="95"/>
      <c r="H29" s="96"/>
      <c r="I29" s="103"/>
      <c r="J29" s="95"/>
      <c r="K29" s="99"/>
      <c r="L29" s="99"/>
      <c r="M29" s="100"/>
      <c r="N29" s="127"/>
      <c r="O29" s="128"/>
      <c r="P29" s="95"/>
      <c r="Q29" s="95"/>
      <c r="R29" s="129"/>
      <c r="S29" s="95"/>
      <c r="T29" s="95"/>
      <c r="V29" s="107"/>
    </row>
    <row r="30" ht="15.75" customHeight="1">
      <c r="A30" s="89"/>
      <c r="B30" s="177"/>
      <c r="C30" s="97"/>
      <c r="D30" s="95"/>
      <c r="E30" s="176"/>
      <c r="F30" s="144"/>
      <c r="G30" s="95"/>
      <c r="H30" s="96"/>
      <c r="I30" s="103"/>
      <c r="J30" s="95"/>
      <c r="K30" s="113"/>
      <c r="L30" s="113"/>
      <c r="M30" s="100"/>
      <c r="N30" s="127"/>
      <c r="O30" s="128"/>
      <c r="P30" s="95"/>
      <c r="Q30" s="95"/>
      <c r="R30" s="129"/>
      <c r="S30" s="95"/>
      <c r="T30" s="95"/>
      <c r="V30" s="107"/>
    </row>
    <row r="31" ht="15.75" customHeight="1">
      <c r="A31" s="89"/>
      <c r="B31" s="177"/>
      <c r="C31" s="97"/>
      <c r="D31" s="95"/>
      <c r="E31" s="176"/>
      <c r="F31" s="144"/>
      <c r="G31" s="95"/>
      <c r="H31" s="96"/>
      <c r="I31" s="103"/>
      <c r="J31" s="95"/>
      <c r="K31" s="99"/>
      <c r="L31" s="99"/>
      <c r="M31" s="100"/>
      <c r="N31" s="101"/>
      <c r="O31" s="102"/>
      <c r="P31" s="95"/>
      <c r="Q31" s="114"/>
      <c r="R31" s="106"/>
      <c r="S31" s="103"/>
      <c r="T31" s="103"/>
      <c r="V31" s="107"/>
    </row>
    <row r="32" ht="15.75" customHeight="1">
      <c r="A32" s="89"/>
      <c r="B32" s="177"/>
      <c r="C32" s="97"/>
      <c r="D32" s="95"/>
      <c r="E32" s="176"/>
      <c r="F32" s="144"/>
      <c r="G32" s="95"/>
      <c r="H32" s="96"/>
      <c r="I32" s="103"/>
      <c r="J32" s="95"/>
      <c r="K32" s="113"/>
      <c r="L32" s="113"/>
      <c r="M32" s="100"/>
      <c r="N32" s="127"/>
      <c r="O32" s="128"/>
      <c r="P32" s="95"/>
      <c r="Q32" s="95"/>
      <c r="R32" s="129"/>
      <c r="S32" s="95"/>
      <c r="T32" s="95"/>
      <c r="V32" s="107"/>
    </row>
    <row r="33" ht="15.75" customHeight="1">
      <c r="A33" s="89"/>
      <c r="B33" s="177"/>
      <c r="C33" s="97"/>
      <c r="D33" s="95"/>
      <c r="E33" s="176"/>
      <c r="F33" s="146"/>
      <c r="G33" s="95"/>
      <c r="H33" s="96"/>
      <c r="I33" s="103"/>
      <c r="J33" s="95"/>
      <c r="K33" s="99"/>
      <c r="L33" s="99"/>
      <c r="M33" s="100"/>
      <c r="N33" s="101"/>
      <c r="O33" s="102"/>
      <c r="P33" s="95"/>
      <c r="Q33" s="114"/>
      <c r="R33" s="106"/>
      <c r="S33" s="103"/>
      <c r="T33" s="103"/>
      <c r="V33" s="107"/>
    </row>
    <row r="34" ht="15.75" customHeight="1">
      <c r="A34" s="89"/>
      <c r="B34" s="177"/>
      <c r="C34" s="97"/>
      <c r="D34" s="95"/>
      <c r="E34" s="176"/>
      <c r="F34" s="144"/>
      <c r="G34" s="95"/>
      <c r="H34" s="96"/>
      <c r="I34" s="103"/>
      <c r="J34" s="95"/>
      <c r="K34" s="113"/>
      <c r="L34" s="113"/>
      <c r="M34" s="100"/>
      <c r="N34" s="127"/>
      <c r="O34" s="128"/>
      <c r="P34" s="95"/>
      <c r="Q34" s="95"/>
      <c r="R34" s="129"/>
      <c r="S34" s="95"/>
      <c r="T34" s="95"/>
      <c r="V34" s="107"/>
    </row>
    <row r="35" ht="15.75" customHeight="1">
      <c r="A35" s="89"/>
      <c r="B35" s="177"/>
      <c r="C35" s="103"/>
      <c r="D35" s="95"/>
      <c r="E35" s="176"/>
      <c r="F35" s="144"/>
      <c r="G35" s="95"/>
      <c r="H35" s="96"/>
      <c r="I35" s="103"/>
      <c r="J35" s="95"/>
      <c r="K35" s="99"/>
      <c r="L35" s="99"/>
      <c r="M35" s="100"/>
      <c r="N35" s="127"/>
      <c r="O35" s="128"/>
      <c r="P35" s="95"/>
      <c r="Q35" s="95"/>
      <c r="R35" s="129"/>
      <c r="S35" s="95"/>
      <c r="T35" s="95"/>
      <c r="V35" s="107"/>
    </row>
    <row r="36" ht="15.75" customHeight="1">
      <c r="A36" s="89"/>
      <c r="B36" s="177"/>
      <c r="C36" s="103"/>
      <c r="D36" s="95"/>
      <c r="E36" s="176"/>
      <c r="F36" s="146"/>
      <c r="G36" s="95"/>
      <c r="H36" s="96"/>
      <c r="I36" s="103"/>
      <c r="J36" s="95"/>
      <c r="K36" s="113"/>
      <c r="L36" s="113"/>
      <c r="M36" s="100"/>
      <c r="N36" s="127"/>
      <c r="O36" s="128"/>
      <c r="P36" s="95"/>
      <c r="Q36" s="95"/>
      <c r="R36" s="129"/>
      <c r="S36" s="95"/>
      <c r="T36" s="103"/>
      <c r="V36" s="107"/>
    </row>
    <row r="37" ht="15.75" customHeight="1">
      <c r="A37" s="89"/>
      <c r="B37" s="177"/>
      <c r="C37" s="97"/>
      <c r="D37" s="95"/>
      <c r="E37" s="176"/>
      <c r="F37" s="144"/>
      <c r="G37" s="95"/>
      <c r="H37" s="96"/>
      <c r="I37" s="103"/>
      <c r="J37" s="95"/>
      <c r="K37" s="99"/>
      <c r="L37" s="99"/>
      <c r="M37" s="100"/>
      <c r="N37" s="101"/>
      <c r="O37" s="102"/>
      <c r="P37" s="95"/>
      <c r="Q37" s="114"/>
      <c r="R37" s="106"/>
      <c r="S37" s="103"/>
      <c r="T37" s="103"/>
      <c r="V37" s="107"/>
    </row>
    <row r="38" ht="15.75" customHeight="1">
      <c r="A38" s="89"/>
      <c r="B38" s="177"/>
      <c r="C38" s="97"/>
      <c r="D38" s="95"/>
      <c r="E38" s="176"/>
      <c r="F38" s="144"/>
      <c r="G38" s="95"/>
      <c r="H38" s="96"/>
      <c r="I38" s="103"/>
      <c r="J38" s="95"/>
      <c r="K38" s="113"/>
      <c r="L38" s="113"/>
      <c r="M38" s="100"/>
      <c r="N38" s="127"/>
      <c r="O38" s="128"/>
      <c r="P38" s="95"/>
      <c r="Q38" s="135"/>
      <c r="R38" s="106"/>
      <c r="S38" s="95"/>
      <c r="V38" s="107"/>
    </row>
    <row r="39" ht="15.75" customHeight="1">
      <c r="A39" s="89"/>
      <c r="B39" s="177"/>
      <c r="C39" s="97"/>
      <c r="D39" s="95"/>
      <c r="E39" s="176"/>
      <c r="F39" s="178"/>
      <c r="G39" s="95"/>
      <c r="H39" s="96"/>
      <c r="I39" s="103"/>
      <c r="J39" s="95"/>
      <c r="K39" s="99"/>
      <c r="L39" s="99"/>
      <c r="M39" s="100"/>
      <c r="N39" s="127"/>
      <c r="O39" s="128"/>
      <c r="P39" s="95"/>
      <c r="Q39" s="114"/>
      <c r="R39" s="106"/>
      <c r="S39" s="95"/>
      <c r="T39" s="103"/>
      <c r="V39" s="107"/>
    </row>
    <row r="40" ht="15.75" customHeight="1">
      <c r="A40" s="89"/>
      <c r="B40" s="177"/>
      <c r="C40" s="97"/>
      <c r="D40" s="95"/>
      <c r="E40" s="176"/>
      <c r="F40" s="144"/>
      <c r="G40" s="95"/>
      <c r="H40" s="96"/>
      <c r="I40" s="103"/>
      <c r="J40" s="95"/>
      <c r="K40" s="113"/>
      <c r="L40" s="113"/>
      <c r="M40" s="100"/>
      <c r="N40" s="101"/>
      <c r="O40" s="102"/>
      <c r="P40" s="95"/>
      <c r="Q40" s="114"/>
      <c r="R40" s="106"/>
      <c r="S40" s="103"/>
      <c r="T40" s="103"/>
      <c r="V40" s="107"/>
    </row>
    <row r="41" ht="15.75" customHeight="1">
      <c r="A41" s="89"/>
      <c r="B41" s="177"/>
      <c r="C41" s="97"/>
      <c r="D41" s="95"/>
      <c r="E41" s="96"/>
      <c r="F41" s="146"/>
      <c r="G41" s="95"/>
      <c r="H41" s="96"/>
      <c r="I41" s="103"/>
      <c r="J41" s="95"/>
      <c r="K41" s="99"/>
      <c r="L41" s="99"/>
      <c r="M41" s="100"/>
      <c r="N41" s="127"/>
      <c r="O41" s="128"/>
      <c r="P41" s="95"/>
      <c r="Q41" s="95"/>
      <c r="R41" s="129"/>
      <c r="S41" s="95"/>
      <c r="T41" s="95"/>
      <c r="V41" s="107"/>
    </row>
    <row r="42" ht="15.75" customHeight="1">
      <c r="A42" s="89"/>
      <c r="B42" s="177"/>
      <c r="C42" s="103"/>
      <c r="D42" s="95"/>
      <c r="E42" s="176"/>
      <c r="F42" s="96"/>
      <c r="G42" s="95"/>
      <c r="H42" s="96"/>
      <c r="I42" s="103"/>
      <c r="J42" s="95"/>
      <c r="K42" s="113"/>
      <c r="L42" s="113"/>
      <c r="M42" s="100"/>
      <c r="N42" s="101"/>
      <c r="O42" s="102"/>
      <c r="P42" s="95"/>
      <c r="Q42" s="114"/>
      <c r="R42" s="106"/>
      <c r="S42" s="103"/>
      <c r="T42" s="103"/>
      <c r="V42" s="107"/>
    </row>
    <row r="43" ht="15.75" customHeight="1">
      <c r="A43" s="89"/>
      <c r="B43" s="177"/>
      <c r="C43" s="103"/>
      <c r="D43" s="95"/>
      <c r="E43" s="176"/>
      <c r="F43" s="144"/>
      <c r="G43" s="95"/>
      <c r="H43" s="96"/>
      <c r="I43" s="103"/>
      <c r="J43" s="95"/>
      <c r="K43" s="99"/>
      <c r="L43" s="99"/>
      <c r="M43" s="100"/>
      <c r="N43" s="127"/>
      <c r="O43" s="128"/>
      <c r="P43" s="95"/>
      <c r="Q43" s="137"/>
      <c r="R43" s="129"/>
      <c r="S43" s="95"/>
      <c r="T43" s="95"/>
      <c r="V43" s="107"/>
    </row>
    <row r="44" ht="15.75" customHeight="1">
      <c r="A44" s="89"/>
      <c r="B44" s="177"/>
      <c r="C44" s="103"/>
      <c r="D44" s="95"/>
      <c r="E44" s="176"/>
      <c r="F44" s="144"/>
      <c r="G44" s="95"/>
      <c r="H44" s="96"/>
      <c r="I44" s="103"/>
      <c r="J44" s="95"/>
      <c r="K44" s="113"/>
      <c r="L44" s="113"/>
      <c r="M44" s="100"/>
      <c r="N44" s="127"/>
      <c r="O44" s="128"/>
      <c r="P44" s="95"/>
      <c r="Q44" s="95"/>
      <c r="R44" s="129"/>
      <c r="S44" s="95"/>
      <c r="T44" s="95"/>
      <c r="V44" s="107"/>
    </row>
    <row r="45" ht="15.75" customHeight="1">
      <c r="A45" s="89"/>
      <c r="B45" s="177"/>
      <c r="C45" s="97"/>
      <c r="D45" s="95"/>
      <c r="E45" s="176"/>
      <c r="F45" s="144"/>
      <c r="G45" s="95"/>
      <c r="H45" s="96"/>
      <c r="I45" s="103"/>
      <c r="J45" s="95"/>
      <c r="K45" s="99"/>
      <c r="L45" s="99"/>
      <c r="M45" s="100"/>
      <c r="N45" s="127"/>
      <c r="O45" s="128"/>
      <c r="P45" s="95"/>
      <c r="Q45" s="95"/>
      <c r="R45" s="129"/>
      <c r="S45" s="95"/>
      <c r="T45" s="95"/>
      <c r="V45" s="107"/>
    </row>
    <row r="46" ht="15.75" customHeight="1">
      <c r="A46" s="89"/>
      <c r="B46" s="177"/>
      <c r="C46" s="97"/>
      <c r="D46" s="95"/>
      <c r="E46" s="176"/>
      <c r="F46" s="144"/>
      <c r="G46" s="95"/>
      <c r="H46" s="96"/>
      <c r="I46" s="103"/>
      <c r="J46" s="95"/>
      <c r="K46" s="113"/>
      <c r="L46" s="113"/>
      <c r="M46" s="100"/>
      <c r="N46" s="127"/>
      <c r="O46" s="128"/>
      <c r="P46" s="95"/>
      <c r="Q46" s="95"/>
      <c r="R46" s="129"/>
      <c r="S46" s="95"/>
      <c r="T46" s="95"/>
      <c r="V46" s="107"/>
    </row>
    <row r="47" ht="15.75" customHeight="1">
      <c r="A47" s="89"/>
      <c r="B47" s="177"/>
      <c r="C47" s="97"/>
      <c r="D47" s="95"/>
      <c r="E47" s="176"/>
      <c r="F47" s="144"/>
      <c r="G47" s="95"/>
      <c r="H47" s="96"/>
      <c r="I47" s="103"/>
      <c r="J47" s="95"/>
      <c r="K47" s="99"/>
      <c r="L47" s="99"/>
      <c r="M47" s="100"/>
      <c r="N47" s="101"/>
      <c r="O47" s="102"/>
      <c r="P47" s="95"/>
      <c r="Q47" s="114"/>
      <c r="R47" s="115"/>
      <c r="S47" s="103"/>
      <c r="T47" s="103"/>
      <c r="V47" s="107"/>
    </row>
    <row r="48" ht="15.75" customHeight="1">
      <c r="A48" s="89"/>
      <c r="B48" s="177"/>
      <c r="C48" s="97"/>
      <c r="D48" s="95"/>
      <c r="E48" s="176"/>
      <c r="F48" s="144"/>
      <c r="G48" s="95"/>
      <c r="H48" s="96"/>
      <c r="I48" s="103"/>
      <c r="J48" s="95"/>
      <c r="K48" s="113"/>
      <c r="L48" s="113"/>
      <c r="M48" s="100"/>
      <c r="N48" s="101"/>
      <c r="O48" s="102"/>
      <c r="P48" s="95"/>
      <c r="Q48" s="135"/>
      <c r="R48" s="106"/>
      <c r="S48" s="103"/>
      <c r="T48" s="103"/>
      <c r="V48" s="107"/>
    </row>
    <row r="49" ht="15.75" customHeight="1">
      <c r="A49" s="89"/>
      <c r="B49" s="177"/>
      <c r="C49" s="97"/>
      <c r="D49" s="95"/>
      <c r="E49" s="176"/>
      <c r="F49" s="144"/>
      <c r="G49" s="95"/>
      <c r="H49" s="96"/>
      <c r="I49" s="103"/>
      <c r="J49" s="95"/>
      <c r="K49" s="99"/>
      <c r="L49" s="99"/>
      <c r="M49" s="100"/>
      <c r="N49" s="101"/>
      <c r="O49" s="102"/>
      <c r="P49" s="95"/>
      <c r="Q49" s="135"/>
      <c r="R49" s="106"/>
      <c r="S49" s="103"/>
      <c r="T49" s="103"/>
      <c r="V49" s="107"/>
    </row>
    <row r="50" ht="15.75" customHeight="1">
      <c r="A50" s="89"/>
      <c r="B50" s="177"/>
      <c r="C50" s="103"/>
      <c r="D50" s="95"/>
      <c r="E50" s="176"/>
      <c r="F50" s="146"/>
      <c r="G50" s="95"/>
      <c r="H50" s="96"/>
      <c r="I50" s="103"/>
      <c r="J50" s="95"/>
      <c r="K50" s="113"/>
      <c r="L50" s="113"/>
      <c r="M50" s="100"/>
      <c r="N50" s="127"/>
      <c r="O50" s="128"/>
      <c r="P50" s="95"/>
      <c r="Q50" s="95"/>
      <c r="R50" s="129"/>
      <c r="S50" s="95"/>
      <c r="T50" s="103"/>
      <c r="V50" s="107"/>
    </row>
    <row r="51" ht="15.75" customHeight="1">
      <c r="A51" s="89"/>
      <c r="B51" s="177"/>
      <c r="C51" s="103"/>
      <c r="D51" s="95"/>
      <c r="E51" s="176"/>
      <c r="F51" s="179"/>
      <c r="G51" s="95"/>
      <c r="H51" s="96"/>
      <c r="I51" s="103"/>
      <c r="J51" s="95"/>
      <c r="K51" s="99"/>
      <c r="L51" s="99"/>
      <c r="M51" s="100"/>
      <c r="N51" s="101"/>
      <c r="O51" s="102"/>
      <c r="P51" s="95"/>
      <c r="Q51" s="137"/>
      <c r="R51" s="129"/>
      <c r="S51" s="103"/>
      <c r="T51" s="103"/>
      <c r="V51" s="107"/>
    </row>
    <row r="52" ht="15.75" customHeight="1">
      <c r="A52" s="89"/>
      <c r="B52" s="177"/>
      <c r="C52" s="103"/>
      <c r="D52" s="95"/>
      <c r="E52" s="176"/>
      <c r="F52" s="144"/>
      <c r="G52" s="95"/>
      <c r="H52" s="96"/>
      <c r="I52" s="103"/>
      <c r="J52" s="95"/>
      <c r="K52" s="113"/>
      <c r="L52" s="113"/>
      <c r="M52" s="100"/>
      <c r="N52" s="127"/>
      <c r="O52" s="128"/>
      <c r="P52" s="95"/>
      <c r="Q52" s="137"/>
      <c r="R52" s="129"/>
      <c r="S52" s="95"/>
      <c r="T52" s="95"/>
      <c r="V52" s="107"/>
    </row>
    <row r="53" ht="15.75" customHeight="1">
      <c r="A53" s="89"/>
      <c r="B53" s="177"/>
      <c r="C53" s="97"/>
      <c r="D53" s="95"/>
      <c r="E53" s="176"/>
      <c r="F53" s="144"/>
      <c r="G53" s="95"/>
      <c r="H53" s="96"/>
      <c r="I53" s="103"/>
      <c r="J53" s="95"/>
      <c r="K53" s="99"/>
      <c r="L53" s="99"/>
      <c r="M53" s="100"/>
      <c r="N53" s="127"/>
      <c r="O53" s="128"/>
      <c r="P53" s="95"/>
      <c r="Q53" s="135"/>
      <c r="R53" s="106"/>
      <c r="S53" s="95"/>
      <c r="T53" s="103"/>
      <c r="V53" s="107"/>
    </row>
    <row r="54" ht="15.75" customHeight="1">
      <c r="A54" s="89"/>
      <c r="B54" s="177"/>
      <c r="C54" s="96"/>
      <c r="D54" s="95"/>
      <c r="E54" s="176"/>
      <c r="F54" s="144"/>
      <c r="G54" s="95"/>
      <c r="H54" s="96"/>
      <c r="I54" s="103"/>
      <c r="J54" s="95"/>
      <c r="K54" s="113"/>
      <c r="L54" s="113"/>
      <c r="M54" s="100"/>
      <c r="N54" s="101"/>
      <c r="O54" s="102"/>
      <c r="P54" s="95"/>
      <c r="Q54" s="135"/>
      <c r="R54" s="139"/>
      <c r="S54" s="103"/>
      <c r="T54" s="103"/>
      <c r="V54" s="107"/>
    </row>
    <row r="55" ht="15.75" customHeight="1">
      <c r="A55" s="89"/>
      <c r="B55" s="177"/>
      <c r="C55" s="96"/>
      <c r="D55" s="95"/>
      <c r="E55" s="176"/>
      <c r="F55" s="146"/>
      <c r="G55" s="95"/>
      <c r="H55" s="96"/>
      <c r="I55" s="103"/>
      <c r="J55" s="95"/>
      <c r="K55" s="99"/>
      <c r="L55" s="99"/>
      <c r="M55" s="100"/>
      <c r="N55" s="101"/>
      <c r="O55" s="102"/>
      <c r="P55" s="95"/>
      <c r="Q55" s="135"/>
      <c r="R55" s="106"/>
      <c r="S55" s="103"/>
      <c r="T55" s="103"/>
      <c r="V55" s="107"/>
    </row>
    <row r="56" ht="15.75" customHeight="1">
      <c r="A56" s="89"/>
      <c r="B56" s="177"/>
      <c r="C56" s="96"/>
      <c r="D56" s="95"/>
      <c r="E56" s="176"/>
      <c r="F56" s="144"/>
      <c r="G56" s="95"/>
      <c r="H56" s="96"/>
      <c r="I56" s="103"/>
      <c r="J56" s="95"/>
      <c r="K56" s="113"/>
      <c r="L56" s="113"/>
      <c r="M56" s="100"/>
      <c r="N56" s="127"/>
      <c r="O56" s="128"/>
      <c r="P56" s="95"/>
      <c r="Q56" s="114"/>
      <c r="R56" s="106"/>
      <c r="S56" s="95"/>
      <c r="T56" s="103"/>
      <c r="V56" s="107"/>
    </row>
    <row r="57" ht="15.75" customHeight="1">
      <c r="A57" s="89"/>
      <c r="B57" s="177"/>
      <c r="C57" s="96"/>
      <c r="D57" s="95"/>
      <c r="E57" s="176"/>
      <c r="F57" s="144"/>
      <c r="G57" s="95"/>
      <c r="H57" s="96"/>
      <c r="I57" s="103"/>
      <c r="J57" s="95"/>
      <c r="K57" s="99"/>
      <c r="L57" s="99"/>
      <c r="M57" s="100"/>
      <c r="N57" s="127"/>
      <c r="O57" s="128"/>
      <c r="P57" s="95"/>
      <c r="Q57" s="137"/>
      <c r="R57" s="129"/>
      <c r="S57" s="95"/>
      <c r="T57" s="103"/>
      <c r="V57" s="107"/>
    </row>
    <row r="58" ht="15.75" customHeight="1">
      <c r="A58" s="89"/>
      <c r="B58" s="177"/>
      <c r="C58" s="106"/>
      <c r="D58" s="95"/>
      <c r="E58" s="176"/>
      <c r="F58" s="144"/>
      <c r="G58" s="95"/>
      <c r="H58" s="96"/>
      <c r="I58" s="103"/>
      <c r="J58" s="95"/>
      <c r="K58" s="113"/>
      <c r="L58" s="113"/>
      <c r="M58" s="100"/>
      <c r="N58" s="101"/>
      <c r="O58" s="102"/>
      <c r="P58" s="95"/>
      <c r="Q58" s="114"/>
      <c r="R58" s="106"/>
      <c r="S58" s="103"/>
      <c r="T58" s="103"/>
      <c r="V58" s="107"/>
    </row>
    <row r="59" ht="15.75" customHeight="1">
      <c r="A59" s="89"/>
      <c r="B59" s="177"/>
      <c r="C59" s="106"/>
      <c r="D59" s="95"/>
      <c r="E59" s="176"/>
      <c r="F59" s="144"/>
      <c r="G59" s="95"/>
      <c r="H59" s="96"/>
      <c r="I59" s="103"/>
      <c r="J59" s="95"/>
      <c r="K59" s="99"/>
      <c r="L59" s="99"/>
      <c r="M59" s="100"/>
      <c r="N59" s="127"/>
      <c r="O59" s="128"/>
      <c r="P59" s="95"/>
      <c r="Q59" s="95"/>
      <c r="R59" s="129"/>
      <c r="S59" s="95"/>
      <c r="T59" s="95"/>
      <c r="V59" s="107"/>
    </row>
    <row r="60" ht="15.75" customHeight="1">
      <c r="A60" s="89"/>
      <c r="B60" s="177"/>
      <c r="C60" s="106"/>
      <c r="D60" s="95"/>
      <c r="E60" s="96"/>
      <c r="F60" s="144"/>
      <c r="G60" s="95"/>
      <c r="H60" s="96"/>
      <c r="I60" s="103"/>
      <c r="J60" s="95"/>
      <c r="K60" s="113"/>
      <c r="L60" s="113"/>
      <c r="M60" s="100"/>
      <c r="N60" s="127"/>
      <c r="O60" s="128"/>
      <c r="P60" s="95"/>
      <c r="Q60" s="114"/>
      <c r="R60" s="106"/>
      <c r="S60" s="95"/>
      <c r="T60" s="103"/>
      <c r="V60" s="107"/>
    </row>
    <row r="61" ht="15.75" customHeight="1">
      <c r="A61" s="89"/>
      <c r="B61" s="177"/>
      <c r="C61" s="96"/>
      <c r="D61" s="95"/>
      <c r="E61" s="176"/>
      <c r="F61" s="146"/>
      <c r="G61" s="95"/>
      <c r="H61" s="96"/>
      <c r="I61" s="103"/>
      <c r="J61" s="95"/>
      <c r="K61" s="99"/>
      <c r="L61" s="99"/>
      <c r="M61" s="100"/>
      <c r="N61" s="127"/>
      <c r="O61" s="128"/>
      <c r="P61" s="95"/>
      <c r="Q61" s="95"/>
      <c r="R61" s="129"/>
      <c r="S61" s="95"/>
      <c r="T61" s="95"/>
      <c r="V61" s="107"/>
    </row>
    <row r="62" ht="15.75" customHeight="1">
      <c r="A62" s="89"/>
      <c r="B62" s="177"/>
      <c r="C62" s="96"/>
      <c r="D62" s="95"/>
      <c r="E62" s="176"/>
      <c r="F62" s="144"/>
      <c r="G62" s="95"/>
      <c r="H62" s="96"/>
      <c r="I62" s="103"/>
      <c r="J62" s="95"/>
      <c r="K62" s="113"/>
      <c r="L62" s="113"/>
      <c r="M62" s="100"/>
      <c r="N62" s="127"/>
      <c r="O62" s="128"/>
      <c r="P62" s="95"/>
      <c r="Q62" s="95"/>
      <c r="R62" s="129"/>
      <c r="S62" s="95"/>
      <c r="T62" s="95"/>
      <c r="V62" s="107"/>
    </row>
    <row r="63" ht="15.75" customHeight="1">
      <c r="A63" s="89"/>
      <c r="B63" s="177"/>
      <c r="C63" s="140"/>
      <c r="D63" s="95"/>
      <c r="E63" s="176"/>
      <c r="F63" s="146"/>
      <c r="G63" s="95"/>
      <c r="H63" s="96"/>
      <c r="I63" s="103"/>
      <c r="J63" s="95"/>
      <c r="K63" s="99"/>
      <c r="L63" s="99"/>
      <c r="M63" s="100"/>
      <c r="N63" s="127"/>
      <c r="O63" s="128"/>
      <c r="P63" s="95"/>
      <c r="Q63" s="95"/>
      <c r="R63" s="129"/>
      <c r="S63" s="95"/>
      <c r="T63" s="95"/>
      <c r="V63" s="107"/>
    </row>
    <row r="64" ht="15.75" customHeight="1">
      <c r="A64" s="89"/>
      <c r="B64" s="177"/>
      <c r="C64" s="141"/>
      <c r="D64" s="95"/>
      <c r="E64" s="176"/>
      <c r="F64" s="144"/>
      <c r="G64" s="95"/>
      <c r="H64" s="96"/>
      <c r="I64" s="103"/>
      <c r="J64" s="95"/>
      <c r="K64" s="113"/>
      <c r="L64" s="113"/>
      <c r="M64" s="100"/>
      <c r="N64" s="101"/>
      <c r="O64" s="102"/>
      <c r="P64" s="95"/>
      <c r="Q64" s="114"/>
      <c r="R64" s="115"/>
      <c r="S64" s="103"/>
      <c r="T64" s="103"/>
      <c r="V64" s="107"/>
    </row>
    <row r="65" ht="15.75" customHeight="1">
      <c r="A65" s="89"/>
      <c r="B65" s="177"/>
      <c r="C65" s="97"/>
      <c r="D65" s="95"/>
      <c r="E65" s="176"/>
      <c r="F65" s="144"/>
      <c r="G65" s="95"/>
      <c r="H65" s="96"/>
      <c r="I65" s="103"/>
      <c r="J65" s="95"/>
      <c r="K65" s="99"/>
      <c r="L65" s="99"/>
      <c r="M65" s="100"/>
      <c r="N65" s="101"/>
      <c r="O65" s="102"/>
      <c r="P65" s="95"/>
      <c r="Q65" s="135"/>
      <c r="R65" s="115"/>
      <c r="S65" s="103"/>
      <c r="T65" s="103"/>
      <c r="V65" s="107"/>
    </row>
    <row r="66" ht="15.75" customHeight="1">
      <c r="A66" s="89"/>
      <c r="B66" s="177"/>
      <c r="C66" s="106"/>
      <c r="D66" s="95"/>
      <c r="E66" s="176"/>
      <c r="F66" s="144"/>
      <c r="G66" s="95"/>
      <c r="H66" s="96"/>
      <c r="I66" s="103"/>
      <c r="J66" s="95"/>
      <c r="K66" s="113"/>
      <c r="L66" s="113"/>
      <c r="M66" s="100"/>
      <c r="N66" s="127"/>
      <c r="O66" s="128"/>
      <c r="P66" s="95"/>
      <c r="Q66" s="95"/>
      <c r="R66" s="129"/>
      <c r="S66" s="95"/>
      <c r="T66" s="95"/>
      <c r="V66" s="107"/>
    </row>
    <row r="67" ht="15.75" customHeight="1">
      <c r="A67" s="89"/>
      <c r="B67" s="177"/>
      <c r="C67" s="106"/>
      <c r="D67" s="95"/>
      <c r="E67" s="96"/>
      <c r="F67" s="144"/>
      <c r="G67" s="95"/>
      <c r="H67" s="96"/>
      <c r="I67" s="103"/>
      <c r="J67" s="95"/>
      <c r="K67" s="99"/>
      <c r="L67" s="99"/>
      <c r="M67" s="100"/>
      <c r="N67" s="127"/>
      <c r="O67" s="128"/>
      <c r="P67" s="95"/>
      <c r="Q67" s="135"/>
      <c r="R67" s="106"/>
      <c r="S67" s="103"/>
      <c r="T67" s="103"/>
      <c r="V67" s="107"/>
    </row>
    <row r="68" ht="15.75" customHeight="1">
      <c r="A68" s="89"/>
      <c r="B68" s="177"/>
      <c r="C68" s="106"/>
      <c r="D68" s="95"/>
      <c r="E68" s="96"/>
      <c r="F68" s="144"/>
      <c r="G68" s="95"/>
      <c r="H68" s="96"/>
      <c r="I68" s="103"/>
      <c r="J68" s="95"/>
      <c r="K68" s="113"/>
      <c r="L68" s="113"/>
      <c r="M68" s="100"/>
      <c r="N68" s="127"/>
      <c r="O68" s="128"/>
      <c r="P68" s="95"/>
      <c r="Q68" s="135"/>
      <c r="R68" s="129"/>
      <c r="S68" s="95"/>
      <c r="T68" s="103"/>
      <c r="V68" s="107"/>
    </row>
    <row r="69" ht="15.75" customHeight="1">
      <c r="A69" s="89"/>
      <c r="B69" s="177"/>
      <c r="C69" s="96"/>
      <c r="D69" s="95"/>
      <c r="E69" s="96"/>
      <c r="F69" s="146"/>
      <c r="G69" s="95"/>
      <c r="H69" s="96"/>
      <c r="I69" s="103"/>
      <c r="J69" s="95"/>
      <c r="K69" s="99"/>
      <c r="L69" s="99"/>
      <c r="M69" s="100"/>
      <c r="N69" s="127"/>
      <c r="O69" s="128"/>
      <c r="P69" s="95"/>
      <c r="Q69" s="114"/>
      <c r="R69" s="106"/>
      <c r="S69" s="103"/>
      <c r="T69" s="103"/>
      <c r="V69" s="107"/>
    </row>
    <row r="70" ht="15.75" customHeight="1">
      <c r="A70" s="89"/>
      <c r="B70" s="177"/>
      <c r="C70" s="96"/>
      <c r="D70" s="95"/>
      <c r="E70" s="96"/>
      <c r="F70" s="144"/>
      <c r="G70" s="95"/>
      <c r="H70" s="96"/>
      <c r="I70" s="103"/>
      <c r="J70" s="95"/>
      <c r="K70" s="113"/>
      <c r="L70" s="113"/>
      <c r="M70" s="100"/>
      <c r="N70" s="127"/>
      <c r="O70" s="128"/>
      <c r="P70" s="95"/>
      <c r="Q70" s="137"/>
      <c r="R70" s="129"/>
      <c r="S70" s="95"/>
      <c r="T70" s="95"/>
      <c r="V70" s="107"/>
    </row>
    <row r="71" ht="15.75" customHeight="1">
      <c r="A71" s="89"/>
      <c r="B71" s="177"/>
      <c r="C71" s="96"/>
      <c r="D71" s="95"/>
      <c r="E71" s="96"/>
      <c r="F71" s="144"/>
      <c r="G71" s="95"/>
      <c r="H71" s="96"/>
      <c r="I71" s="103"/>
      <c r="J71" s="95"/>
      <c r="K71" s="99"/>
      <c r="L71" s="99"/>
      <c r="M71" s="100"/>
      <c r="N71" s="127"/>
      <c r="O71" s="128"/>
      <c r="P71" s="95"/>
      <c r="Q71" s="135"/>
      <c r="R71" s="106"/>
      <c r="S71" s="103"/>
      <c r="T71" s="103"/>
      <c r="V71" s="107"/>
    </row>
    <row r="72" ht="15.75" customHeight="1">
      <c r="A72" s="89"/>
      <c r="B72" s="177"/>
      <c r="C72" s="96"/>
      <c r="D72" s="95"/>
      <c r="E72" s="176"/>
      <c r="F72" s="144"/>
      <c r="G72" s="95"/>
      <c r="H72" s="96"/>
      <c r="I72" s="103"/>
      <c r="J72" s="95"/>
      <c r="K72" s="113"/>
      <c r="L72" s="113"/>
      <c r="M72" s="100"/>
      <c r="N72" s="101"/>
      <c r="O72" s="128"/>
      <c r="P72" s="95"/>
      <c r="Q72" s="135"/>
      <c r="R72" s="106"/>
      <c r="S72" s="103"/>
      <c r="T72" s="103"/>
      <c r="V72" s="107"/>
    </row>
    <row r="73" ht="15.75" customHeight="1">
      <c r="A73" s="89"/>
      <c r="B73" s="177"/>
      <c r="C73" s="96"/>
      <c r="D73" s="95"/>
      <c r="E73" s="176"/>
      <c r="F73" s="146"/>
      <c r="G73" s="95"/>
      <c r="H73" s="96"/>
      <c r="I73" s="103"/>
      <c r="J73" s="95"/>
      <c r="K73" s="99"/>
      <c r="L73" s="99"/>
      <c r="M73" s="100"/>
      <c r="N73" s="101"/>
      <c r="O73" s="128"/>
      <c r="P73" s="95"/>
      <c r="Q73" s="114"/>
      <c r="R73" s="106"/>
      <c r="S73" s="103"/>
      <c r="T73" s="103"/>
      <c r="V73" s="107"/>
    </row>
    <row r="74" ht="15.75" customHeight="1">
      <c r="A74" s="89"/>
      <c r="B74" s="177"/>
      <c r="C74" s="106"/>
      <c r="D74" s="95"/>
      <c r="E74" s="176"/>
      <c r="F74" s="144"/>
      <c r="G74" s="95"/>
      <c r="H74" s="96"/>
      <c r="I74" s="103"/>
      <c r="J74" s="95"/>
      <c r="K74" s="113"/>
      <c r="L74" s="113"/>
      <c r="M74" s="100"/>
      <c r="N74" s="101"/>
      <c r="O74" s="128"/>
      <c r="P74" s="95"/>
      <c r="Q74" s="114"/>
      <c r="R74" s="106"/>
      <c r="S74" s="103"/>
      <c r="T74" s="103"/>
      <c r="V74" s="107"/>
    </row>
    <row r="75" ht="15.75" customHeight="1">
      <c r="A75" s="89"/>
      <c r="B75" s="177"/>
      <c r="C75" s="106"/>
      <c r="D75" s="95"/>
      <c r="E75" s="176"/>
      <c r="F75" s="144"/>
      <c r="G75" s="95"/>
      <c r="H75" s="96"/>
      <c r="I75" s="103"/>
      <c r="J75" s="95"/>
      <c r="K75" s="99"/>
      <c r="L75" s="99"/>
      <c r="M75" s="100"/>
      <c r="N75" s="127"/>
      <c r="O75" s="128"/>
      <c r="P75" s="95"/>
      <c r="Q75" s="137"/>
      <c r="R75" s="129"/>
      <c r="S75" s="95"/>
      <c r="T75" s="95"/>
      <c r="V75" s="107"/>
    </row>
    <row r="76" ht="15.75" customHeight="1">
      <c r="A76" s="89"/>
      <c r="B76" s="177"/>
      <c r="C76" s="96"/>
      <c r="D76" s="95"/>
      <c r="E76" s="176"/>
      <c r="F76" s="144"/>
      <c r="G76" s="95"/>
      <c r="H76" s="96"/>
      <c r="I76" s="103"/>
      <c r="J76" s="95"/>
      <c r="K76" s="113"/>
      <c r="L76" s="113"/>
      <c r="M76" s="100"/>
      <c r="N76" s="101"/>
      <c r="O76" s="128"/>
      <c r="P76" s="95"/>
      <c r="Q76" s="114"/>
      <c r="R76" s="106"/>
      <c r="S76" s="103"/>
      <c r="T76" s="103"/>
      <c r="V76" s="107"/>
    </row>
    <row r="77" ht="15.75" customHeight="1">
      <c r="A77" s="89"/>
      <c r="B77" s="177"/>
      <c r="C77" s="96"/>
      <c r="D77" s="95"/>
      <c r="E77" s="96"/>
      <c r="F77" s="144"/>
      <c r="G77" s="95"/>
      <c r="H77" s="96"/>
      <c r="I77" s="103"/>
      <c r="J77" s="95"/>
      <c r="K77" s="99"/>
      <c r="L77" s="99"/>
      <c r="M77" s="100"/>
      <c r="N77" s="127"/>
      <c r="O77" s="128"/>
      <c r="P77" s="95"/>
      <c r="Q77" s="137"/>
      <c r="R77" s="129"/>
      <c r="S77" s="95"/>
      <c r="T77" s="95"/>
      <c r="V77" s="107"/>
    </row>
    <row r="78" ht="15.75" customHeight="1">
      <c r="A78" s="89"/>
      <c r="B78" s="177"/>
      <c r="C78" s="96"/>
      <c r="D78" s="95"/>
      <c r="E78" s="176"/>
      <c r="F78" s="144"/>
      <c r="G78" s="95"/>
      <c r="H78" s="96"/>
      <c r="I78" s="103"/>
      <c r="J78" s="95"/>
      <c r="K78" s="113"/>
      <c r="L78" s="113"/>
      <c r="M78" s="100"/>
      <c r="N78" s="101"/>
      <c r="O78" s="128"/>
      <c r="P78" s="95"/>
      <c r="Q78" s="114"/>
      <c r="R78" s="106"/>
      <c r="S78" s="103"/>
      <c r="T78" s="103"/>
      <c r="V78" s="107"/>
    </row>
    <row r="79" ht="15.75" customHeight="1">
      <c r="A79" s="89"/>
      <c r="B79" s="177"/>
      <c r="C79" s="96"/>
      <c r="D79" s="95"/>
      <c r="E79" s="176"/>
      <c r="F79" s="144"/>
      <c r="G79" s="95"/>
      <c r="H79" s="96"/>
      <c r="I79" s="103"/>
      <c r="J79" s="95"/>
      <c r="K79" s="99"/>
      <c r="L79" s="99"/>
      <c r="M79" s="100"/>
      <c r="N79" s="127"/>
      <c r="O79" s="128"/>
      <c r="P79" s="95"/>
      <c r="Q79" s="137"/>
      <c r="R79" s="129"/>
      <c r="S79" s="95"/>
      <c r="T79" s="95"/>
      <c r="V79" s="107"/>
    </row>
    <row r="80" ht="15.75" customHeight="1">
      <c r="A80" s="89"/>
      <c r="B80" s="177"/>
      <c r="C80" s="96"/>
      <c r="D80" s="95"/>
      <c r="E80" s="176"/>
      <c r="F80" s="144"/>
      <c r="G80" s="95"/>
      <c r="H80" s="96"/>
      <c r="I80" s="103"/>
      <c r="J80" s="95"/>
      <c r="K80" s="113"/>
      <c r="L80" s="113"/>
      <c r="M80" s="100"/>
      <c r="N80" s="101"/>
      <c r="O80" s="102"/>
      <c r="P80" s="95"/>
      <c r="Q80" s="135"/>
      <c r="R80" s="106"/>
      <c r="S80" s="103"/>
      <c r="T80" s="103"/>
      <c r="V80" s="107"/>
    </row>
    <row r="81" ht="15.75" customHeight="1">
      <c r="A81" s="89"/>
      <c r="B81" s="177"/>
      <c r="C81" s="106"/>
      <c r="D81" s="95"/>
      <c r="E81" s="176"/>
      <c r="F81" s="144"/>
      <c r="G81" s="95"/>
      <c r="H81" s="96"/>
      <c r="I81" s="103"/>
      <c r="J81" s="95"/>
      <c r="K81" s="99"/>
      <c r="L81" s="99"/>
      <c r="M81" s="100"/>
      <c r="N81" s="101"/>
      <c r="O81" s="102"/>
      <c r="P81" s="95"/>
      <c r="Q81" s="114"/>
      <c r="R81" s="142"/>
      <c r="S81" s="103"/>
      <c r="T81" s="103"/>
      <c r="V81" s="107"/>
    </row>
    <row r="82" ht="15.75" customHeight="1">
      <c r="A82" s="89"/>
      <c r="B82" s="177"/>
      <c r="C82" s="106"/>
      <c r="D82" s="95"/>
      <c r="E82" s="176"/>
      <c r="F82" s="144"/>
      <c r="G82" s="95"/>
      <c r="H82" s="96"/>
      <c r="I82" s="103"/>
      <c r="J82" s="95"/>
      <c r="K82" s="113"/>
      <c r="L82" s="113"/>
      <c r="M82" s="100"/>
      <c r="N82" s="101"/>
      <c r="O82" s="102"/>
      <c r="P82" s="95"/>
      <c r="Q82" s="114"/>
      <c r="R82" s="106"/>
      <c r="S82" s="103"/>
      <c r="T82" s="103"/>
      <c r="V82" s="107"/>
    </row>
    <row r="83" ht="15.75" customHeight="1">
      <c r="A83" s="89"/>
      <c r="B83" s="177"/>
      <c r="C83" s="96"/>
      <c r="D83" s="95"/>
      <c r="E83" s="176"/>
      <c r="F83" s="144"/>
      <c r="G83" s="95"/>
      <c r="H83" s="96"/>
      <c r="I83" s="103"/>
      <c r="J83" s="95"/>
      <c r="K83" s="99"/>
      <c r="L83" s="99"/>
      <c r="M83" s="100"/>
      <c r="N83" s="127"/>
      <c r="O83" s="128"/>
      <c r="P83" s="95"/>
      <c r="Q83" s="137"/>
      <c r="R83" s="129"/>
      <c r="S83" s="95"/>
      <c r="T83" s="95"/>
      <c r="V83" s="107"/>
    </row>
    <row r="84" ht="15.75" customHeight="1">
      <c r="A84" s="89"/>
      <c r="B84" s="177"/>
      <c r="C84" s="96"/>
      <c r="D84" s="95"/>
      <c r="E84" s="176"/>
      <c r="F84" s="144"/>
      <c r="G84" s="95"/>
      <c r="H84" s="96"/>
      <c r="I84" s="103"/>
      <c r="J84" s="95"/>
      <c r="K84" s="113"/>
      <c r="L84" s="113"/>
      <c r="M84" s="100"/>
      <c r="N84" s="127"/>
      <c r="O84" s="128"/>
      <c r="P84" s="95"/>
      <c r="Q84" s="95"/>
      <c r="R84" s="129"/>
      <c r="S84" s="95"/>
      <c r="T84" s="95"/>
      <c r="V84" s="107"/>
    </row>
    <row r="85" ht="15.75" customHeight="1">
      <c r="A85" s="89"/>
      <c r="B85" s="177"/>
      <c r="C85" s="143"/>
      <c r="D85" s="95"/>
      <c r="E85" s="176"/>
      <c r="F85" s="144"/>
      <c r="G85" s="95"/>
      <c r="H85" s="96"/>
      <c r="I85" s="103"/>
      <c r="J85" s="95"/>
      <c r="K85" s="99"/>
      <c r="L85" s="99"/>
      <c r="M85" s="100"/>
      <c r="N85" s="127"/>
      <c r="O85" s="128"/>
      <c r="P85" s="95"/>
      <c r="Q85" s="137"/>
      <c r="R85" s="129"/>
      <c r="S85" s="95"/>
      <c r="T85" s="95"/>
      <c r="V85" s="107"/>
    </row>
    <row r="86" ht="15.75" customHeight="1">
      <c r="A86" s="89"/>
      <c r="B86" s="177"/>
      <c r="C86" s="97"/>
      <c r="D86" s="95"/>
      <c r="E86" s="176"/>
      <c r="F86" s="144"/>
      <c r="G86" s="95"/>
      <c r="H86" s="96"/>
      <c r="I86" s="103"/>
      <c r="J86" s="95"/>
      <c r="K86" s="113"/>
      <c r="L86" s="113"/>
      <c r="M86" s="100"/>
      <c r="N86" s="101"/>
      <c r="O86" s="102"/>
      <c r="P86" s="95"/>
      <c r="Q86" s="135"/>
      <c r="R86" s="115"/>
      <c r="S86" s="103"/>
      <c r="T86" s="103"/>
      <c r="V86" s="107"/>
    </row>
    <row r="87" ht="15.75" customHeight="1">
      <c r="A87" s="89"/>
      <c r="B87" s="177"/>
      <c r="C87" s="96"/>
      <c r="D87" s="95"/>
      <c r="E87" s="176"/>
      <c r="F87" s="144"/>
      <c r="G87" s="95"/>
      <c r="H87" s="96"/>
      <c r="I87" s="103"/>
      <c r="J87" s="95"/>
      <c r="K87" s="99"/>
      <c r="L87" s="99"/>
      <c r="M87" s="100"/>
      <c r="N87" s="127"/>
      <c r="O87" s="102"/>
      <c r="P87" s="95"/>
      <c r="Q87" s="137"/>
      <c r="R87" s="106"/>
      <c r="S87" s="103"/>
      <c r="T87" s="103"/>
      <c r="V87" s="107"/>
    </row>
    <row r="88" ht="15.75" customHeight="1">
      <c r="A88" s="89"/>
      <c r="B88" s="177"/>
      <c r="C88" s="96"/>
      <c r="D88" s="95"/>
      <c r="E88" s="176"/>
      <c r="F88" s="144"/>
      <c r="G88" s="95"/>
      <c r="H88" s="96"/>
      <c r="I88" s="103"/>
      <c r="J88" s="95"/>
      <c r="K88" s="113"/>
      <c r="L88" s="113"/>
      <c r="M88" s="100"/>
      <c r="N88" s="101"/>
      <c r="O88" s="102"/>
      <c r="P88" s="95"/>
      <c r="Q88" s="114"/>
      <c r="R88" s="106"/>
      <c r="S88" s="103"/>
      <c r="T88" s="103"/>
      <c r="V88" s="107"/>
    </row>
    <row r="89" ht="15.75" customHeight="1">
      <c r="A89" s="89"/>
      <c r="B89" s="177"/>
      <c r="C89" s="96"/>
      <c r="D89" s="95"/>
      <c r="E89" s="176"/>
      <c r="F89" s="144"/>
      <c r="G89" s="95"/>
      <c r="H89" s="96"/>
      <c r="I89" s="103"/>
      <c r="J89" s="95"/>
      <c r="K89" s="99"/>
      <c r="L89" s="99"/>
      <c r="M89" s="100"/>
      <c r="N89" s="127"/>
      <c r="O89" s="128"/>
      <c r="P89" s="95"/>
      <c r="Q89" s="95"/>
      <c r="R89" s="129"/>
      <c r="S89" s="95"/>
      <c r="T89" s="95"/>
      <c r="V89" s="107"/>
    </row>
    <row r="90" ht="15.75" customHeight="1">
      <c r="A90" s="89"/>
      <c r="B90" s="177"/>
      <c r="C90" s="144"/>
      <c r="D90" s="95"/>
      <c r="E90" s="176"/>
      <c r="F90" s="180"/>
      <c r="G90" s="95"/>
      <c r="H90" s="96"/>
      <c r="I90" s="103"/>
      <c r="J90" s="95"/>
      <c r="K90" s="113"/>
      <c r="L90" s="113"/>
      <c r="M90" s="100"/>
      <c r="N90" s="101"/>
      <c r="O90" s="102"/>
      <c r="P90" s="95"/>
      <c r="Q90" s="103"/>
      <c r="R90" s="106"/>
      <c r="S90" s="103"/>
      <c r="T90" s="103"/>
      <c r="V90" s="107"/>
    </row>
    <row r="91" ht="15.75" customHeight="1">
      <c r="A91" s="89"/>
      <c r="B91" s="177"/>
      <c r="C91" s="146"/>
      <c r="D91" s="95"/>
      <c r="E91" s="176"/>
      <c r="F91" s="144"/>
      <c r="G91" s="95"/>
      <c r="H91" s="96"/>
      <c r="I91" s="103"/>
      <c r="J91" s="95"/>
      <c r="K91" s="99"/>
      <c r="L91" s="99"/>
      <c r="M91" s="100"/>
      <c r="N91" s="127"/>
      <c r="O91" s="128"/>
      <c r="P91" s="95"/>
      <c r="Q91" s="95"/>
      <c r="R91" s="129"/>
      <c r="S91" s="95"/>
      <c r="T91" s="95"/>
      <c r="V91" s="107"/>
    </row>
    <row r="92" ht="15.75" customHeight="1">
      <c r="A92" s="89"/>
      <c r="B92" s="177"/>
      <c r="C92" s="144"/>
      <c r="D92" s="95"/>
      <c r="E92" s="176"/>
      <c r="F92" s="144"/>
      <c r="G92" s="95"/>
      <c r="H92" s="96"/>
      <c r="I92" s="103"/>
      <c r="J92" s="95"/>
      <c r="K92" s="113"/>
      <c r="L92" s="113"/>
      <c r="M92" s="100"/>
      <c r="N92" s="101"/>
      <c r="O92" s="102"/>
      <c r="P92" s="95"/>
      <c r="Q92" s="135"/>
      <c r="R92" s="106"/>
      <c r="S92" s="103"/>
      <c r="T92" s="103"/>
      <c r="V92" s="107"/>
    </row>
    <row r="93" ht="15.75" customHeight="1">
      <c r="A93" s="89"/>
      <c r="B93" s="177"/>
      <c r="C93" s="146"/>
      <c r="D93" s="95"/>
      <c r="E93" s="144"/>
      <c r="F93" s="144"/>
      <c r="G93" s="95"/>
      <c r="H93" s="96"/>
      <c r="I93" s="103"/>
      <c r="J93" s="95"/>
      <c r="K93" s="99"/>
      <c r="L93" s="99"/>
      <c r="M93" s="100"/>
      <c r="N93" s="127"/>
      <c r="O93" s="128"/>
      <c r="P93" s="95"/>
      <c r="Q93" s="137"/>
      <c r="R93" s="129"/>
      <c r="S93" s="95"/>
      <c r="T93" s="95"/>
      <c r="V93" s="107"/>
    </row>
    <row r="94" ht="15.75" customHeight="1">
      <c r="A94" s="89"/>
      <c r="B94" s="177"/>
      <c r="C94" s="96"/>
      <c r="D94" s="95"/>
      <c r="E94" s="176"/>
      <c r="F94" s="144"/>
      <c r="G94" s="95"/>
      <c r="H94" s="96"/>
      <c r="I94" s="103"/>
      <c r="J94" s="95"/>
      <c r="K94" s="113"/>
      <c r="L94" s="113"/>
      <c r="M94" s="100"/>
      <c r="N94" s="127"/>
      <c r="O94" s="128"/>
      <c r="P94" s="95"/>
      <c r="Q94" s="95"/>
      <c r="R94" s="129"/>
      <c r="S94" s="95"/>
      <c r="T94" s="95"/>
      <c r="V94" s="107"/>
    </row>
    <row r="95" ht="15.75" customHeight="1">
      <c r="A95" s="89"/>
      <c r="B95" s="177"/>
      <c r="C95" s="96"/>
      <c r="D95" s="95"/>
      <c r="E95" s="176"/>
      <c r="F95" s="144"/>
      <c r="G95" s="95"/>
      <c r="H95" s="96"/>
      <c r="I95" s="103"/>
      <c r="J95" s="95"/>
      <c r="K95" s="99"/>
      <c r="L95" s="99"/>
      <c r="M95" s="100"/>
      <c r="N95" s="101"/>
      <c r="O95" s="102"/>
      <c r="P95" s="95"/>
      <c r="Q95" s="114"/>
      <c r="R95" s="106"/>
      <c r="S95" s="103"/>
      <c r="T95" s="103"/>
      <c r="V95" s="107"/>
    </row>
    <row r="96" ht="15.75" customHeight="1">
      <c r="A96" s="89"/>
      <c r="B96" s="177"/>
      <c r="C96" s="96"/>
      <c r="D96" s="95"/>
      <c r="E96" s="176"/>
      <c r="F96" s="144"/>
      <c r="G96" s="95"/>
      <c r="H96" s="96"/>
      <c r="I96" s="103"/>
      <c r="J96" s="95"/>
      <c r="K96" s="113"/>
      <c r="L96" s="113"/>
      <c r="M96" s="100"/>
      <c r="N96" s="127"/>
      <c r="O96" s="128"/>
      <c r="P96" s="95"/>
      <c r="Q96" s="95"/>
      <c r="R96" s="129"/>
      <c r="S96" s="95"/>
      <c r="T96" s="95"/>
      <c r="V96" s="107"/>
    </row>
    <row r="97" ht="15.75" customHeight="1">
      <c r="A97" s="89"/>
      <c r="B97" s="177"/>
      <c r="C97" s="96"/>
      <c r="D97" s="95"/>
      <c r="E97" s="181"/>
      <c r="F97" s="144"/>
      <c r="G97" s="95"/>
      <c r="H97" s="96"/>
      <c r="I97" s="103"/>
      <c r="J97" s="95"/>
      <c r="K97" s="99"/>
      <c r="L97" s="99"/>
      <c r="M97" s="100"/>
      <c r="N97" s="127"/>
      <c r="O97" s="128"/>
      <c r="P97" s="95"/>
      <c r="Q97" s="137"/>
      <c r="R97" s="129"/>
      <c r="S97" s="95"/>
      <c r="T97" s="95"/>
      <c r="V97" s="107"/>
    </row>
    <row r="98" ht="15.75" customHeight="1">
      <c r="A98" s="89"/>
      <c r="B98" s="177"/>
      <c r="C98" s="106"/>
      <c r="D98" s="95"/>
      <c r="E98" s="176"/>
      <c r="F98" s="144"/>
      <c r="G98" s="95"/>
      <c r="H98" s="96"/>
      <c r="I98" s="103"/>
      <c r="J98" s="95"/>
      <c r="K98" s="113"/>
      <c r="L98" s="113"/>
      <c r="M98" s="100"/>
      <c r="N98" s="127"/>
      <c r="O98" s="128"/>
      <c r="P98" s="95"/>
      <c r="Q98" s="135"/>
      <c r="R98" s="106"/>
      <c r="S98" s="95"/>
      <c r="T98" s="103"/>
      <c r="V98" s="107"/>
    </row>
    <row r="99" ht="15.75" customHeight="1">
      <c r="A99" s="89"/>
      <c r="B99" s="177"/>
      <c r="C99" s="106"/>
      <c r="D99" s="95"/>
      <c r="E99" s="176"/>
      <c r="F99" s="144"/>
      <c r="G99" s="95"/>
      <c r="H99" s="96"/>
      <c r="I99" s="103"/>
      <c r="J99" s="95"/>
      <c r="K99" s="99"/>
      <c r="L99" s="99"/>
      <c r="M99" s="100"/>
      <c r="N99" s="127"/>
      <c r="O99" s="128"/>
      <c r="P99" s="95"/>
      <c r="Q99" s="135"/>
      <c r="R99" s="106"/>
      <c r="S99" s="95"/>
      <c r="T99" s="103"/>
      <c r="V99" s="107"/>
    </row>
    <row r="100" ht="15.75" customHeight="1">
      <c r="A100" s="89"/>
      <c r="B100" s="177"/>
      <c r="C100" s="96"/>
      <c r="D100" s="95"/>
      <c r="E100" s="96"/>
      <c r="F100" s="146"/>
      <c r="G100" s="95"/>
      <c r="H100" s="96"/>
      <c r="I100" s="103"/>
      <c r="J100" s="95"/>
      <c r="K100" s="113"/>
      <c r="L100" s="113"/>
      <c r="M100" s="100"/>
      <c r="N100" s="127"/>
      <c r="O100" s="128"/>
      <c r="P100" s="95"/>
      <c r="Q100" s="137"/>
      <c r="R100" s="129"/>
      <c r="S100" s="95"/>
      <c r="T100" s="95"/>
      <c r="V100" s="107"/>
    </row>
    <row r="101" ht="15.75" customHeight="1">
      <c r="A101" s="89"/>
      <c r="B101" s="177"/>
      <c r="C101" s="96"/>
      <c r="D101" s="95"/>
      <c r="E101" s="176"/>
      <c r="F101" s="144"/>
      <c r="G101" s="95"/>
      <c r="H101" s="96"/>
      <c r="I101" s="103"/>
      <c r="J101" s="95"/>
      <c r="K101" s="99"/>
      <c r="L101" s="99"/>
      <c r="M101" s="100"/>
      <c r="N101" s="127"/>
      <c r="O101" s="128"/>
      <c r="P101" s="95"/>
      <c r="Q101" s="95"/>
      <c r="R101" s="129"/>
      <c r="S101" s="95"/>
      <c r="T101" s="95"/>
      <c r="V101" s="107"/>
    </row>
    <row r="102" ht="15.75" customHeight="1">
      <c r="A102" s="89"/>
      <c r="B102" s="177"/>
      <c r="C102" s="96"/>
      <c r="D102" s="95"/>
      <c r="E102" s="176"/>
      <c r="F102" s="144"/>
      <c r="G102" s="95"/>
      <c r="H102" s="96"/>
      <c r="I102" s="103"/>
      <c r="J102" s="95"/>
      <c r="K102" s="113"/>
      <c r="L102" s="113"/>
      <c r="M102" s="100"/>
      <c r="N102" s="101"/>
      <c r="O102" s="102"/>
      <c r="P102" s="95"/>
      <c r="Q102" s="114"/>
      <c r="R102" s="115"/>
      <c r="S102" s="103"/>
      <c r="T102" s="103"/>
      <c r="V102" s="107"/>
    </row>
    <row r="103" ht="15.75" customHeight="1">
      <c r="A103" s="89"/>
      <c r="B103" s="182"/>
      <c r="C103" s="149"/>
      <c r="D103" s="95"/>
      <c r="E103" s="149"/>
      <c r="F103" s="180"/>
      <c r="G103" s="95"/>
      <c r="H103" s="96"/>
      <c r="I103" s="103"/>
      <c r="J103" s="95"/>
      <c r="K103" s="99"/>
      <c r="L103" s="99"/>
      <c r="M103" s="100"/>
      <c r="N103" s="101"/>
      <c r="O103" s="128"/>
      <c r="P103" s="95"/>
      <c r="Q103" s="137"/>
      <c r="R103" s="129"/>
      <c r="S103" s="103"/>
      <c r="T103" s="95"/>
      <c r="V103" s="107"/>
    </row>
    <row r="104" ht="15.75" customHeight="1">
      <c r="A104" s="89"/>
      <c r="B104" s="182"/>
      <c r="C104" s="149"/>
      <c r="D104" s="95"/>
      <c r="E104" s="149"/>
      <c r="F104" s="149"/>
      <c r="G104" s="95"/>
      <c r="H104" s="96"/>
      <c r="I104" s="103"/>
      <c r="J104" s="95"/>
      <c r="K104" s="113"/>
      <c r="L104" s="113"/>
      <c r="M104" s="100"/>
      <c r="N104" s="101"/>
      <c r="O104" s="128"/>
      <c r="P104" s="95"/>
      <c r="Q104" s="95"/>
      <c r="R104" s="129"/>
      <c r="S104" s="103"/>
      <c r="T104" s="95"/>
      <c r="V104" s="107"/>
    </row>
    <row r="105" ht="15.75" customHeight="1">
      <c r="A105" s="89"/>
      <c r="B105" s="182"/>
      <c r="C105" s="107"/>
      <c r="D105" s="95"/>
      <c r="E105" s="149"/>
      <c r="F105" s="149"/>
      <c r="G105" s="95"/>
      <c r="H105" s="96"/>
      <c r="I105" s="103"/>
      <c r="J105" s="95"/>
      <c r="K105" s="99"/>
      <c r="L105" s="99"/>
      <c r="M105" s="100"/>
      <c r="N105" s="101"/>
      <c r="O105" s="128"/>
      <c r="P105" s="95"/>
      <c r="Q105" s="137"/>
      <c r="R105" s="129"/>
      <c r="S105" s="103"/>
      <c r="T105" s="95"/>
      <c r="V105" s="107"/>
    </row>
    <row r="106" ht="15.75" customHeight="1">
      <c r="A106" s="89"/>
      <c r="B106" s="182"/>
      <c r="C106" s="107"/>
      <c r="D106" s="95"/>
      <c r="E106" s="149"/>
      <c r="F106" s="149"/>
      <c r="G106" s="95"/>
      <c r="H106" s="96"/>
      <c r="I106" s="103"/>
      <c r="J106" s="95"/>
      <c r="K106" s="113"/>
      <c r="L106" s="113"/>
      <c r="M106" s="100"/>
      <c r="N106" s="101"/>
      <c r="O106" s="128"/>
      <c r="P106" s="95"/>
      <c r="Q106" s="137"/>
      <c r="R106" s="129"/>
      <c r="S106" s="103"/>
      <c r="T106" s="95"/>
      <c r="V106" s="107"/>
    </row>
    <row r="107" ht="15.75" customHeight="1">
      <c r="A107" s="89"/>
      <c r="B107" s="182"/>
      <c r="C107" s="149"/>
      <c r="D107" s="95"/>
      <c r="E107" s="149"/>
      <c r="F107" s="149"/>
      <c r="G107" s="95"/>
      <c r="H107" s="96"/>
      <c r="I107" s="103"/>
      <c r="J107" s="95"/>
      <c r="K107" s="99"/>
      <c r="L107" s="99"/>
      <c r="M107" s="100"/>
      <c r="N107" s="101"/>
      <c r="O107" s="128"/>
      <c r="P107" s="95"/>
      <c r="Q107" s="137"/>
      <c r="R107" s="129"/>
      <c r="S107" s="103"/>
      <c r="T107" s="95"/>
      <c r="V107" s="107"/>
    </row>
    <row r="108" ht="15.75" customHeight="1">
      <c r="A108" s="89"/>
      <c r="B108" s="182"/>
      <c r="C108" s="149"/>
      <c r="D108" s="95"/>
      <c r="E108" s="149"/>
      <c r="F108" s="149"/>
      <c r="G108" s="95"/>
      <c r="H108" s="96"/>
      <c r="I108" s="103"/>
      <c r="J108" s="95"/>
      <c r="K108" s="113"/>
      <c r="L108" s="113"/>
      <c r="M108" s="100"/>
      <c r="N108" s="101"/>
      <c r="O108" s="128"/>
      <c r="P108" s="95"/>
      <c r="Q108" s="95"/>
      <c r="R108" s="129"/>
      <c r="S108" s="103"/>
      <c r="T108" s="95"/>
      <c r="V108" s="107"/>
    </row>
    <row r="109" ht="15.75" customHeight="1">
      <c r="A109" s="89"/>
      <c r="B109" s="182"/>
      <c r="C109" s="149"/>
      <c r="D109" s="95"/>
      <c r="E109" s="149"/>
      <c r="F109" s="149"/>
      <c r="G109" s="95"/>
      <c r="H109" s="96"/>
      <c r="I109" s="103"/>
      <c r="J109" s="95"/>
      <c r="K109" s="99"/>
      <c r="L109" s="99"/>
      <c r="M109" s="100"/>
      <c r="N109" s="101"/>
      <c r="O109" s="128"/>
      <c r="P109" s="95"/>
      <c r="Q109" s="137"/>
      <c r="R109" s="129"/>
      <c r="S109" s="103"/>
      <c r="T109" s="95"/>
      <c r="V109" s="107"/>
    </row>
    <row r="110" ht="15.75" customHeight="1">
      <c r="A110" s="89"/>
      <c r="B110" s="182"/>
      <c r="C110" s="149"/>
      <c r="D110" s="95"/>
      <c r="E110" s="149"/>
      <c r="F110" s="149"/>
      <c r="G110" s="95"/>
      <c r="H110" s="149"/>
      <c r="I110" s="151"/>
      <c r="J110" s="95"/>
      <c r="K110" s="113"/>
      <c r="L110" s="113"/>
      <c r="M110" s="100"/>
      <c r="N110" s="127"/>
      <c r="O110" s="128"/>
      <c r="P110" s="95"/>
      <c r="Q110" s="95"/>
      <c r="R110" s="129"/>
      <c r="S110" s="95"/>
      <c r="T110" s="95"/>
      <c r="V110" s="107"/>
    </row>
    <row r="111" ht="15.75" customHeight="1">
      <c r="A111" s="89"/>
      <c r="B111" s="182"/>
      <c r="C111" s="149"/>
      <c r="D111" s="95"/>
      <c r="E111" s="149"/>
      <c r="F111" s="149"/>
      <c r="G111" s="95"/>
      <c r="H111" s="149"/>
      <c r="I111" s="95"/>
      <c r="J111" s="95"/>
      <c r="K111" s="99"/>
      <c r="L111" s="99"/>
      <c r="M111" s="100"/>
      <c r="N111" s="127"/>
      <c r="O111" s="128"/>
      <c r="P111" s="95"/>
      <c r="Q111" s="137"/>
      <c r="R111" s="129"/>
      <c r="S111" s="95"/>
      <c r="T111" s="95"/>
      <c r="V111" s="107"/>
    </row>
    <row r="112" ht="15.75" customHeight="1">
      <c r="A112" s="89"/>
      <c r="B112" s="182"/>
      <c r="C112" s="107"/>
      <c r="D112" s="95"/>
      <c r="E112" s="149"/>
      <c r="F112" s="149"/>
      <c r="G112" s="95"/>
      <c r="H112" s="149"/>
      <c r="I112" s="95"/>
      <c r="J112" s="95"/>
      <c r="K112" s="113"/>
      <c r="L112" s="113"/>
      <c r="M112" s="100"/>
      <c r="N112" s="127"/>
      <c r="O112" s="128"/>
      <c r="P112" s="95"/>
      <c r="Q112" s="95"/>
      <c r="R112" s="129"/>
      <c r="S112" s="95"/>
      <c r="T112" s="95"/>
      <c r="V112" s="107"/>
    </row>
    <row r="113" ht="15.75" customHeight="1">
      <c r="A113" s="89"/>
      <c r="B113" s="182"/>
      <c r="C113" s="107"/>
      <c r="D113" s="95"/>
      <c r="E113" s="149"/>
      <c r="F113" s="149"/>
      <c r="G113" s="95"/>
      <c r="H113" s="149"/>
      <c r="I113" s="95"/>
      <c r="J113" s="95"/>
      <c r="K113" s="99"/>
      <c r="L113" s="99"/>
      <c r="M113" s="100"/>
      <c r="N113" s="127"/>
      <c r="O113" s="128"/>
      <c r="P113" s="95"/>
      <c r="Q113" s="95"/>
      <c r="R113" s="129"/>
      <c r="S113" s="95"/>
      <c r="T113" s="95"/>
      <c r="V113" s="107"/>
    </row>
    <row r="114" ht="15.75" customHeight="1">
      <c r="A114" s="89"/>
      <c r="B114" s="182"/>
      <c r="C114" s="107"/>
      <c r="D114" s="95"/>
      <c r="E114" s="149"/>
      <c r="F114" s="149"/>
      <c r="G114" s="95"/>
      <c r="H114" s="149"/>
      <c r="I114" s="95"/>
      <c r="J114" s="95"/>
      <c r="K114" s="113"/>
      <c r="L114" s="113"/>
      <c r="M114" s="100"/>
      <c r="N114" s="127"/>
      <c r="O114" s="128"/>
      <c r="P114" s="95"/>
      <c r="Q114" s="95"/>
      <c r="R114" s="129"/>
      <c r="S114" s="95"/>
      <c r="T114" s="95"/>
      <c r="V114" s="107"/>
    </row>
    <row r="115" ht="15.75" customHeight="1">
      <c r="A115" s="89"/>
      <c r="B115" s="182"/>
      <c r="C115" s="149"/>
      <c r="D115" s="95"/>
      <c r="E115" s="149"/>
      <c r="F115" s="149"/>
      <c r="G115" s="95"/>
      <c r="H115" s="149"/>
      <c r="I115" s="95"/>
      <c r="J115" s="95"/>
      <c r="K115" s="99"/>
      <c r="L115" s="99"/>
      <c r="M115" s="100"/>
      <c r="N115" s="127"/>
      <c r="O115" s="128"/>
      <c r="P115" s="95"/>
      <c r="Q115" s="95"/>
      <c r="R115" s="129"/>
      <c r="S115" s="95"/>
      <c r="T115" s="95"/>
      <c r="V115" s="107"/>
    </row>
    <row r="116" ht="15.75" customHeight="1">
      <c r="A116" s="89"/>
      <c r="B116" s="182"/>
      <c r="C116" s="149"/>
      <c r="D116" s="95"/>
      <c r="E116" s="149"/>
      <c r="F116" s="149"/>
      <c r="G116" s="95"/>
      <c r="H116" s="149"/>
      <c r="I116" s="95"/>
      <c r="J116" s="95"/>
      <c r="K116" s="113"/>
      <c r="L116" s="113"/>
      <c r="M116" s="100"/>
      <c r="N116" s="127"/>
      <c r="O116" s="128"/>
      <c r="P116" s="95"/>
      <c r="Q116" s="95"/>
      <c r="R116" s="129"/>
      <c r="S116" s="95"/>
      <c r="T116" s="95"/>
      <c r="V116" s="107"/>
    </row>
    <row r="117" ht="15.75" customHeight="1">
      <c r="A117" s="89"/>
      <c r="B117" s="182"/>
      <c r="C117" s="149"/>
      <c r="D117" s="95"/>
      <c r="E117" s="149"/>
      <c r="F117" s="149"/>
      <c r="G117" s="95"/>
      <c r="H117" s="149"/>
      <c r="I117" s="95"/>
      <c r="J117" s="95"/>
      <c r="K117" s="99"/>
      <c r="L117" s="99"/>
      <c r="M117" s="100"/>
      <c r="N117" s="127"/>
      <c r="O117" s="128"/>
      <c r="P117" s="95"/>
      <c r="Q117" s="95"/>
      <c r="R117" s="129"/>
      <c r="S117" s="95"/>
      <c r="T117" s="95"/>
      <c r="V117" s="107"/>
    </row>
    <row r="118" ht="15.75" customHeight="1">
      <c r="A118" s="89"/>
      <c r="B118" s="182"/>
      <c r="C118" s="149"/>
      <c r="D118" s="95"/>
      <c r="E118" s="149"/>
      <c r="F118" s="149"/>
      <c r="G118" s="95"/>
      <c r="H118" s="149"/>
      <c r="I118" s="95"/>
      <c r="J118" s="95"/>
      <c r="K118" s="113"/>
      <c r="L118" s="113"/>
      <c r="M118" s="100"/>
      <c r="N118" s="127"/>
      <c r="O118" s="128"/>
      <c r="P118" s="95"/>
      <c r="Q118" s="95"/>
      <c r="R118" s="129"/>
      <c r="S118" s="95"/>
      <c r="T118" s="95"/>
      <c r="V118" s="107"/>
    </row>
    <row r="119" ht="15.75" customHeight="1">
      <c r="A119" s="89"/>
      <c r="B119" s="182"/>
      <c r="C119" s="149"/>
      <c r="D119" s="95"/>
      <c r="E119" s="149"/>
      <c r="F119" s="149"/>
      <c r="G119" s="95"/>
      <c r="H119" s="149"/>
      <c r="I119" s="95"/>
      <c r="J119" s="95"/>
      <c r="K119" s="99"/>
      <c r="L119" s="99"/>
      <c r="M119" s="100"/>
      <c r="N119" s="127"/>
      <c r="O119" s="128"/>
      <c r="P119" s="95"/>
      <c r="Q119" s="137"/>
      <c r="R119" s="129"/>
      <c r="S119" s="95"/>
      <c r="T119" s="95"/>
      <c r="V119" s="107"/>
    </row>
    <row r="120" ht="15.75" customHeight="1">
      <c r="A120" s="89"/>
      <c r="B120" s="182"/>
      <c r="C120" s="107"/>
      <c r="D120" s="95"/>
      <c r="E120" s="149"/>
      <c r="F120" s="149"/>
      <c r="G120" s="95"/>
      <c r="H120" s="149"/>
      <c r="I120" s="95"/>
      <c r="J120" s="95"/>
      <c r="K120" s="113"/>
      <c r="L120" s="113"/>
      <c r="M120" s="100"/>
      <c r="N120" s="127"/>
      <c r="O120" s="128"/>
      <c r="P120" s="95"/>
      <c r="Q120" s="95"/>
      <c r="R120" s="129"/>
      <c r="S120" s="95"/>
      <c r="T120" s="95"/>
      <c r="V120" s="107"/>
    </row>
    <row r="121" ht="15.75" customHeight="1">
      <c r="A121" s="89"/>
      <c r="B121" s="182"/>
      <c r="C121" s="107"/>
      <c r="D121" s="95"/>
      <c r="E121" s="149"/>
      <c r="F121" s="149"/>
      <c r="G121" s="95"/>
      <c r="H121" s="149"/>
      <c r="I121" s="95"/>
      <c r="J121" s="95"/>
      <c r="K121" s="99"/>
      <c r="L121" s="99"/>
      <c r="M121" s="100"/>
      <c r="N121" s="127"/>
      <c r="O121" s="128"/>
      <c r="P121" s="95"/>
      <c r="Q121" s="95"/>
      <c r="R121" s="129"/>
      <c r="S121" s="95"/>
      <c r="T121" s="95"/>
      <c r="V121" s="107"/>
    </row>
    <row r="122" ht="15.75" customHeight="1">
      <c r="A122" s="89"/>
      <c r="B122" s="182"/>
      <c r="C122" s="107"/>
      <c r="D122" s="95"/>
      <c r="E122" s="149"/>
      <c r="F122" s="149"/>
      <c r="G122" s="95"/>
      <c r="H122" s="149"/>
      <c r="I122" s="95"/>
      <c r="J122" s="95"/>
      <c r="K122" s="113"/>
      <c r="L122" s="113"/>
      <c r="M122" s="100"/>
      <c r="N122" s="127"/>
      <c r="O122" s="128"/>
      <c r="P122" s="95"/>
      <c r="Q122" s="137"/>
      <c r="R122" s="129"/>
      <c r="S122" s="95"/>
      <c r="T122" s="95"/>
      <c r="V122" s="107"/>
    </row>
    <row r="123" ht="15.75" customHeight="1">
      <c r="A123" s="89"/>
      <c r="B123" s="182"/>
      <c r="C123" s="149"/>
      <c r="D123" s="95"/>
      <c r="E123" s="149"/>
      <c r="F123" s="149"/>
      <c r="G123" s="95"/>
      <c r="H123" s="149"/>
      <c r="I123" s="95"/>
      <c r="J123" s="95"/>
      <c r="K123" s="99"/>
      <c r="L123" s="99"/>
      <c r="M123" s="100"/>
      <c r="N123" s="127"/>
      <c r="O123" s="128"/>
      <c r="P123" s="95"/>
      <c r="Q123" s="137"/>
      <c r="R123" s="129"/>
      <c r="S123" s="95"/>
      <c r="T123" s="95"/>
      <c r="V123" s="107"/>
    </row>
    <row r="124" ht="15.75" customHeight="1">
      <c r="A124" s="89"/>
      <c r="B124" s="182"/>
      <c r="C124" s="149"/>
      <c r="D124" s="95"/>
      <c r="E124" s="149"/>
      <c r="F124" s="149"/>
      <c r="G124" s="95"/>
      <c r="H124" s="149"/>
      <c r="I124" s="95"/>
      <c r="J124" s="95"/>
      <c r="K124" s="113"/>
      <c r="L124" s="113"/>
      <c r="M124" s="100"/>
      <c r="N124" s="127"/>
      <c r="O124" s="128"/>
      <c r="P124" s="95"/>
      <c r="Q124" s="137"/>
      <c r="R124" s="129"/>
      <c r="S124" s="95"/>
      <c r="T124" s="95"/>
      <c r="V124" s="107"/>
    </row>
    <row r="125" ht="15.75" customHeight="1">
      <c r="A125" s="89"/>
      <c r="B125" s="182"/>
      <c r="C125" s="149"/>
      <c r="D125" s="95"/>
      <c r="E125" s="149"/>
      <c r="F125" s="149"/>
      <c r="G125" s="95"/>
      <c r="H125" s="149"/>
      <c r="I125" s="95"/>
      <c r="J125" s="95"/>
      <c r="K125" s="99"/>
      <c r="L125" s="99"/>
      <c r="M125" s="100"/>
      <c r="N125" s="127"/>
      <c r="O125" s="128"/>
      <c r="P125" s="95"/>
      <c r="Q125" s="137"/>
      <c r="R125" s="129"/>
      <c r="S125" s="95"/>
      <c r="T125" s="95"/>
      <c r="V125" s="107"/>
    </row>
    <row r="126" ht="15.75" customHeight="1">
      <c r="A126" s="89"/>
      <c r="B126" s="182"/>
      <c r="C126" s="149"/>
      <c r="D126" s="95"/>
      <c r="E126" s="149"/>
      <c r="F126" s="149"/>
      <c r="G126" s="95"/>
      <c r="H126" s="149"/>
      <c r="I126" s="95"/>
      <c r="J126" s="95"/>
      <c r="K126" s="113"/>
      <c r="L126" s="113"/>
      <c r="M126" s="100"/>
      <c r="N126" s="127"/>
      <c r="O126" s="128"/>
      <c r="P126" s="95"/>
      <c r="Q126" s="137"/>
      <c r="R126" s="129"/>
      <c r="S126" s="95"/>
      <c r="T126" s="95"/>
      <c r="V126" s="107"/>
    </row>
    <row r="127" ht="15.75" customHeight="1">
      <c r="A127" s="89"/>
      <c r="B127" s="182"/>
      <c r="C127" s="149"/>
      <c r="D127" s="95"/>
      <c r="E127" s="149"/>
      <c r="F127" s="149"/>
      <c r="G127" s="95"/>
      <c r="H127" s="149"/>
      <c r="I127" s="95"/>
      <c r="J127" s="95"/>
      <c r="K127" s="99"/>
      <c r="L127" s="99"/>
      <c r="M127" s="100"/>
      <c r="N127" s="127"/>
      <c r="O127" s="128"/>
      <c r="P127" s="95"/>
      <c r="Q127" s="137"/>
      <c r="R127" s="129"/>
      <c r="S127" s="95"/>
      <c r="T127" s="95"/>
      <c r="V127" s="107"/>
    </row>
    <row r="128" ht="15.75" customHeight="1">
      <c r="A128" s="89"/>
      <c r="B128" s="182"/>
      <c r="C128" s="107"/>
      <c r="D128" s="95"/>
      <c r="E128" s="149"/>
      <c r="F128" s="149"/>
      <c r="G128" s="95"/>
      <c r="H128" s="149"/>
      <c r="I128" s="95"/>
      <c r="J128" s="95"/>
      <c r="K128" s="113"/>
      <c r="L128" s="113"/>
      <c r="M128" s="100"/>
      <c r="N128" s="127"/>
      <c r="O128" s="128"/>
      <c r="P128" s="95"/>
      <c r="Q128" s="95"/>
      <c r="R128" s="129"/>
      <c r="S128" s="95"/>
      <c r="T128" s="95"/>
      <c r="V128" s="107"/>
    </row>
    <row r="129" ht="15.75" customHeight="1">
      <c r="A129" s="89"/>
      <c r="B129" s="182"/>
      <c r="C129" s="107"/>
      <c r="D129" s="95"/>
      <c r="E129" s="149"/>
      <c r="F129" s="149"/>
      <c r="G129" s="95"/>
      <c r="H129" s="149"/>
      <c r="I129" s="95"/>
      <c r="J129" s="95"/>
      <c r="K129" s="99"/>
      <c r="L129" s="99"/>
      <c r="M129" s="100"/>
      <c r="N129" s="127"/>
      <c r="O129" s="128"/>
      <c r="P129" s="95"/>
      <c r="Q129" s="137"/>
      <c r="R129" s="129"/>
      <c r="S129" s="95"/>
      <c r="T129" s="95"/>
      <c r="V129" s="107"/>
    </row>
    <row r="130" ht="15.75" customHeight="1">
      <c r="A130" s="89"/>
      <c r="B130" s="182"/>
      <c r="C130" s="107"/>
      <c r="D130" s="95"/>
      <c r="E130" s="149"/>
      <c r="F130" s="149"/>
      <c r="G130" s="95"/>
      <c r="H130" s="149"/>
      <c r="I130" s="95"/>
      <c r="J130" s="95"/>
      <c r="K130" s="113"/>
      <c r="L130" s="113"/>
      <c r="M130" s="100"/>
      <c r="N130" s="127"/>
      <c r="O130" s="128"/>
      <c r="P130" s="95"/>
      <c r="Q130" s="95"/>
      <c r="R130" s="129"/>
      <c r="S130" s="95"/>
      <c r="T130" s="95"/>
      <c r="V130" s="107"/>
    </row>
    <row r="131" ht="15.75" customHeight="1">
      <c r="A131" s="89"/>
      <c r="B131" s="182"/>
      <c r="C131" s="149"/>
      <c r="D131" s="95"/>
      <c r="E131" s="149"/>
      <c r="F131" s="149"/>
      <c r="G131" s="95"/>
      <c r="H131" s="149"/>
      <c r="I131" s="95"/>
      <c r="J131" s="95"/>
      <c r="K131" s="99"/>
      <c r="L131" s="99"/>
      <c r="M131" s="100"/>
      <c r="N131" s="127"/>
      <c r="O131" s="128"/>
      <c r="P131" s="95"/>
      <c r="Q131" s="95"/>
      <c r="R131" s="129"/>
      <c r="S131" s="95"/>
      <c r="T131" s="95"/>
      <c r="V131" s="107"/>
    </row>
    <row r="132" ht="15.75" customHeight="1">
      <c r="A132" s="89"/>
      <c r="B132" s="182"/>
      <c r="C132" s="149"/>
      <c r="D132" s="95"/>
      <c r="E132" s="149"/>
      <c r="F132" s="149"/>
      <c r="G132" s="95"/>
      <c r="H132" s="149"/>
      <c r="I132" s="95"/>
      <c r="J132" s="95"/>
      <c r="K132" s="113"/>
      <c r="L132" s="113"/>
      <c r="M132" s="100"/>
      <c r="N132" s="127"/>
      <c r="O132" s="128"/>
      <c r="P132" s="95"/>
      <c r="Q132" s="137"/>
      <c r="R132" s="129"/>
      <c r="S132" s="95"/>
      <c r="T132" s="95"/>
      <c r="V132" s="107"/>
    </row>
    <row r="133" ht="15.75" customHeight="1">
      <c r="A133" s="89"/>
      <c r="B133" s="182"/>
      <c r="C133" s="149"/>
      <c r="D133" s="95"/>
      <c r="E133" s="149"/>
      <c r="F133" s="149"/>
      <c r="G133" s="95"/>
      <c r="H133" s="149"/>
      <c r="I133" s="95"/>
      <c r="J133" s="95"/>
      <c r="K133" s="99"/>
      <c r="L133" s="99"/>
      <c r="M133" s="100"/>
      <c r="N133" s="127"/>
      <c r="O133" s="128"/>
      <c r="P133" s="95"/>
      <c r="Q133" s="95"/>
      <c r="R133" s="129"/>
      <c r="S133" s="95"/>
      <c r="T133" s="95"/>
      <c r="V133" s="107"/>
    </row>
    <row r="134" ht="15.75" customHeight="1">
      <c r="A134" s="89"/>
      <c r="B134" s="182"/>
      <c r="C134" s="149"/>
      <c r="D134" s="95"/>
      <c r="E134" s="149"/>
      <c r="F134" s="149"/>
      <c r="G134" s="95"/>
      <c r="H134" s="149"/>
      <c r="I134" s="95"/>
      <c r="J134" s="95"/>
      <c r="K134" s="113"/>
      <c r="L134" s="113"/>
      <c r="M134" s="100"/>
      <c r="N134" s="127"/>
      <c r="O134" s="128"/>
      <c r="P134" s="95"/>
      <c r="Q134" s="95"/>
      <c r="R134" s="129"/>
      <c r="S134" s="95"/>
      <c r="T134" s="95"/>
      <c r="V134" s="107"/>
    </row>
    <row r="135" ht="15.75" customHeight="1">
      <c r="A135" s="89"/>
      <c r="B135" s="182"/>
      <c r="C135" s="149"/>
      <c r="D135" s="95"/>
      <c r="E135" s="149"/>
      <c r="F135" s="149"/>
      <c r="G135" s="95"/>
      <c r="H135" s="149"/>
      <c r="I135" s="95"/>
      <c r="J135" s="95"/>
      <c r="K135" s="99"/>
      <c r="L135" s="99"/>
      <c r="M135" s="100"/>
      <c r="N135" s="127"/>
      <c r="O135" s="128"/>
      <c r="P135" s="95"/>
      <c r="Q135" s="137"/>
      <c r="R135" s="129"/>
      <c r="S135" s="95"/>
      <c r="T135" s="95"/>
      <c r="V135" s="107"/>
    </row>
    <row r="136" ht="15.75" customHeight="1">
      <c r="A136" s="89"/>
      <c r="B136" s="182"/>
      <c r="C136" s="107"/>
      <c r="D136" s="95"/>
      <c r="E136" s="149"/>
      <c r="F136" s="149"/>
      <c r="G136" s="95"/>
      <c r="H136" s="149"/>
      <c r="I136" s="95"/>
      <c r="J136" s="95"/>
      <c r="K136" s="113"/>
      <c r="L136" s="113"/>
      <c r="M136" s="100"/>
      <c r="N136" s="127"/>
      <c r="O136" s="128"/>
      <c r="P136" s="95"/>
      <c r="Q136" s="95"/>
      <c r="R136" s="129"/>
      <c r="S136" s="95"/>
      <c r="T136" s="95"/>
      <c r="V136" s="107"/>
    </row>
    <row r="137" ht="15.75" customHeight="1">
      <c r="A137" s="89"/>
      <c r="B137" s="182"/>
      <c r="C137" s="107"/>
      <c r="D137" s="95"/>
      <c r="E137" s="149"/>
      <c r="F137" s="149"/>
      <c r="G137" s="95"/>
      <c r="H137" s="149"/>
      <c r="I137" s="95"/>
      <c r="J137" s="95"/>
      <c r="K137" s="99"/>
      <c r="L137" s="99"/>
      <c r="M137" s="100"/>
      <c r="N137" s="127"/>
      <c r="O137" s="128"/>
      <c r="P137" s="95"/>
      <c r="Q137" s="137"/>
      <c r="R137" s="129"/>
      <c r="S137" s="95"/>
      <c r="T137" s="95"/>
      <c r="V137" s="107"/>
    </row>
    <row r="138" ht="15.75" customHeight="1">
      <c r="A138" s="89"/>
      <c r="B138" s="182"/>
      <c r="C138" s="107"/>
      <c r="D138" s="95"/>
      <c r="E138" s="149"/>
      <c r="F138" s="149"/>
      <c r="G138" s="95"/>
      <c r="H138" s="149"/>
      <c r="I138" s="95"/>
      <c r="J138" s="95"/>
      <c r="K138" s="113"/>
      <c r="L138" s="113"/>
      <c r="M138" s="100"/>
      <c r="N138" s="127"/>
      <c r="O138" s="128"/>
      <c r="P138" s="95"/>
      <c r="Q138" s="137"/>
      <c r="R138" s="129"/>
      <c r="S138" s="95"/>
      <c r="T138" s="95"/>
      <c r="V138" s="107"/>
    </row>
    <row r="139" ht="15.75" customHeight="1">
      <c r="A139" s="89"/>
      <c r="B139" s="182"/>
      <c r="C139" s="149"/>
      <c r="D139" s="95"/>
      <c r="E139" s="149"/>
      <c r="F139" s="149"/>
      <c r="G139" s="95"/>
      <c r="H139" s="149"/>
      <c r="I139" s="95"/>
      <c r="J139" s="95"/>
      <c r="K139" s="99"/>
      <c r="L139" s="99"/>
      <c r="M139" s="100"/>
      <c r="N139" s="127"/>
      <c r="O139" s="128"/>
      <c r="P139" s="95"/>
      <c r="Q139" s="137"/>
      <c r="R139" s="129"/>
      <c r="S139" s="95"/>
      <c r="T139" s="95"/>
      <c r="V139" s="107"/>
    </row>
    <row r="140" ht="15.75" customHeight="1">
      <c r="A140" s="89"/>
      <c r="B140" s="182"/>
      <c r="C140" s="149"/>
      <c r="D140" s="95"/>
      <c r="E140" s="149"/>
      <c r="F140" s="149"/>
      <c r="G140" s="95"/>
      <c r="H140" s="149"/>
      <c r="I140" s="95"/>
      <c r="J140" s="95"/>
      <c r="K140" s="113"/>
      <c r="L140" s="113"/>
      <c r="M140" s="100"/>
      <c r="N140" s="127"/>
      <c r="O140" s="128"/>
      <c r="P140" s="95"/>
      <c r="Q140" s="95"/>
      <c r="R140" s="129"/>
      <c r="S140" s="95"/>
      <c r="T140" s="95"/>
      <c r="V140" s="107"/>
    </row>
    <row r="141" ht="15.75" customHeight="1">
      <c r="A141" s="89"/>
      <c r="B141" s="182"/>
      <c r="C141" s="149"/>
      <c r="D141" s="95"/>
      <c r="E141" s="149"/>
      <c r="F141" s="149"/>
      <c r="G141" s="95"/>
      <c r="H141" s="149"/>
      <c r="I141" s="95"/>
      <c r="J141" s="95"/>
      <c r="K141" s="99"/>
      <c r="L141" s="99"/>
      <c r="M141" s="100"/>
      <c r="N141" s="127"/>
      <c r="O141" s="128"/>
      <c r="P141" s="95"/>
      <c r="Q141" s="137"/>
      <c r="R141" s="129"/>
      <c r="S141" s="95"/>
      <c r="T141" s="95"/>
      <c r="V141" s="107"/>
    </row>
    <row r="142" ht="15.75" customHeight="1">
      <c r="A142" s="89"/>
      <c r="B142" s="182"/>
      <c r="C142" s="149"/>
      <c r="D142" s="95"/>
      <c r="E142" s="149"/>
      <c r="F142" s="149"/>
      <c r="G142" s="95"/>
      <c r="H142" s="149"/>
      <c r="I142" s="95"/>
      <c r="J142" s="95"/>
      <c r="K142" s="113"/>
      <c r="L142" s="113"/>
      <c r="M142" s="100"/>
      <c r="N142" s="127"/>
      <c r="O142" s="128"/>
      <c r="P142" s="95"/>
      <c r="Q142" s="95"/>
      <c r="R142" s="129"/>
      <c r="S142" s="95"/>
      <c r="T142" s="95"/>
      <c r="V142" s="107"/>
    </row>
    <row r="143" ht="15.75" customHeight="1">
      <c r="A143" s="89"/>
      <c r="B143" s="182"/>
      <c r="C143" s="149"/>
      <c r="D143" s="95"/>
      <c r="E143" s="149"/>
      <c r="F143" s="183"/>
      <c r="G143" s="95"/>
      <c r="H143" s="149"/>
      <c r="I143" s="95"/>
      <c r="J143" s="95"/>
      <c r="K143" s="99"/>
      <c r="L143" s="99"/>
      <c r="M143" s="100"/>
      <c r="N143" s="127"/>
      <c r="O143" s="128"/>
      <c r="P143" s="95"/>
      <c r="Q143" s="137"/>
      <c r="R143" s="129"/>
      <c r="S143" s="95"/>
      <c r="T143" s="95"/>
      <c r="V143" s="107"/>
    </row>
    <row r="144" ht="15.75" customHeight="1">
      <c r="A144" s="89"/>
      <c r="B144" s="182"/>
      <c r="C144" s="107"/>
      <c r="D144" s="95"/>
      <c r="E144" s="149"/>
      <c r="F144" s="149"/>
      <c r="G144" s="95"/>
      <c r="H144" s="149"/>
      <c r="I144" s="95"/>
      <c r="J144" s="95"/>
      <c r="K144" s="113"/>
      <c r="L144" s="113"/>
      <c r="M144" s="100"/>
      <c r="N144" s="127"/>
      <c r="O144" s="128"/>
      <c r="P144" s="95"/>
      <c r="Q144" s="95"/>
      <c r="R144" s="129"/>
      <c r="S144" s="95"/>
      <c r="T144" s="95"/>
      <c r="V144" s="107"/>
    </row>
    <row r="145" ht="15.75" customHeight="1">
      <c r="A145" s="89"/>
      <c r="B145" s="182"/>
      <c r="C145" s="107"/>
      <c r="D145" s="95"/>
      <c r="E145" s="149"/>
      <c r="F145" s="149"/>
      <c r="G145" s="95"/>
      <c r="H145" s="149"/>
      <c r="I145" s="95"/>
      <c r="J145" s="95"/>
      <c r="K145" s="99"/>
      <c r="L145" s="99"/>
      <c r="M145" s="100"/>
      <c r="N145" s="127"/>
      <c r="O145" s="128"/>
      <c r="P145" s="95"/>
      <c r="Q145" s="137"/>
      <c r="R145" s="129"/>
      <c r="S145" s="95"/>
      <c r="T145" s="95"/>
      <c r="V145" s="107"/>
    </row>
    <row r="146" ht="15.75" customHeight="1">
      <c r="A146" s="89"/>
      <c r="B146" s="182"/>
      <c r="C146" s="149"/>
      <c r="D146" s="95"/>
      <c r="E146" s="149"/>
      <c r="F146" s="149"/>
      <c r="G146" s="95"/>
      <c r="H146" s="149"/>
      <c r="I146" s="95"/>
      <c r="J146" s="95"/>
      <c r="K146" s="113"/>
      <c r="L146" s="113"/>
      <c r="M146" s="100"/>
      <c r="N146" s="127"/>
      <c r="O146" s="128"/>
      <c r="P146" s="95"/>
      <c r="Q146" s="137"/>
      <c r="R146" s="129"/>
      <c r="S146" s="95"/>
      <c r="T146" s="95"/>
      <c r="V146" s="107"/>
    </row>
    <row r="147" ht="15.75" customHeight="1">
      <c r="A147" s="89"/>
      <c r="B147" s="182"/>
      <c r="C147" s="149"/>
      <c r="D147" s="95"/>
      <c r="E147" s="149"/>
      <c r="F147" s="149"/>
      <c r="G147" s="95"/>
      <c r="H147" s="149"/>
      <c r="I147" s="95"/>
      <c r="J147" s="95"/>
      <c r="K147" s="99"/>
      <c r="L147" s="99"/>
      <c r="M147" s="100"/>
      <c r="N147" s="127"/>
      <c r="O147" s="128"/>
      <c r="P147" s="95"/>
      <c r="Q147" s="137"/>
      <c r="R147" s="129"/>
      <c r="S147" s="95"/>
      <c r="T147" s="95"/>
      <c r="V147" s="107"/>
    </row>
    <row r="148" ht="15.75" customHeight="1">
      <c r="A148" s="89"/>
      <c r="B148" s="182"/>
      <c r="C148" s="149"/>
      <c r="D148" s="95"/>
      <c r="E148" s="149"/>
      <c r="F148" s="149"/>
      <c r="G148" s="95"/>
      <c r="H148" s="149"/>
      <c r="I148" s="95"/>
      <c r="J148" s="95"/>
      <c r="K148" s="113"/>
      <c r="L148" s="113"/>
      <c r="M148" s="100"/>
      <c r="N148" s="127"/>
      <c r="O148" s="128"/>
      <c r="P148" s="95"/>
      <c r="Q148" s="137"/>
      <c r="R148" s="129"/>
      <c r="S148" s="95"/>
      <c r="T148" s="95"/>
      <c r="V148" s="107"/>
    </row>
    <row r="149" ht="15.75" customHeight="1">
      <c r="A149" s="89"/>
      <c r="B149" s="182"/>
      <c r="C149" s="149"/>
      <c r="D149" s="95"/>
      <c r="E149" s="149"/>
      <c r="F149" s="149"/>
      <c r="G149" s="95"/>
      <c r="H149" s="149"/>
      <c r="I149" s="95"/>
      <c r="J149" s="95"/>
      <c r="K149" s="99"/>
      <c r="L149" s="99"/>
      <c r="M149" s="100"/>
      <c r="N149" s="127"/>
      <c r="O149" s="128"/>
      <c r="P149" s="95"/>
      <c r="Q149" s="137"/>
      <c r="R149" s="129"/>
      <c r="S149" s="95"/>
      <c r="T149" s="95"/>
      <c r="V149" s="107"/>
    </row>
    <row r="150" ht="15.75" customHeight="1">
      <c r="A150" s="89"/>
      <c r="B150" s="182"/>
      <c r="C150" s="149"/>
      <c r="D150" s="95"/>
      <c r="E150" s="149"/>
      <c r="F150" s="149"/>
      <c r="G150" s="95"/>
      <c r="H150" s="149"/>
      <c r="I150" s="95"/>
      <c r="J150" s="95"/>
      <c r="K150" s="113"/>
      <c r="L150" s="113"/>
      <c r="M150" s="100"/>
      <c r="N150" s="127"/>
      <c r="O150" s="128"/>
      <c r="P150" s="95"/>
      <c r="Q150" s="137"/>
      <c r="R150" s="129"/>
      <c r="S150" s="95"/>
      <c r="T150" s="95"/>
      <c r="V150" s="107"/>
    </row>
    <row r="151" ht="15.75" customHeight="1">
      <c r="A151" s="89"/>
      <c r="B151" s="182"/>
      <c r="C151" s="107"/>
      <c r="D151" s="95"/>
      <c r="E151" s="149"/>
      <c r="F151" s="149"/>
      <c r="G151" s="95"/>
      <c r="H151" s="149"/>
      <c r="I151" s="95"/>
      <c r="J151" s="95"/>
      <c r="K151" s="99"/>
      <c r="L151" s="99"/>
      <c r="M151" s="100"/>
      <c r="N151" s="127"/>
      <c r="O151" s="128"/>
      <c r="P151" s="95"/>
      <c r="Q151" s="137"/>
      <c r="R151" s="129"/>
      <c r="S151" s="95"/>
      <c r="T151" s="95"/>
      <c r="V151" s="107"/>
    </row>
    <row r="152" ht="15.75" customHeight="1">
      <c r="A152" s="89"/>
      <c r="B152" s="182"/>
      <c r="C152" s="149"/>
      <c r="D152" s="95"/>
      <c r="E152" s="149"/>
      <c r="F152" s="149"/>
      <c r="G152" s="95"/>
      <c r="H152" s="149"/>
      <c r="I152" s="95"/>
      <c r="J152" s="95"/>
      <c r="K152" s="113"/>
      <c r="L152" s="113"/>
      <c r="M152" s="100"/>
      <c r="N152" s="127"/>
      <c r="O152" s="128"/>
      <c r="P152" s="95"/>
      <c r="Q152" s="137"/>
      <c r="R152" s="129"/>
      <c r="S152" s="95"/>
      <c r="T152" s="95"/>
      <c r="V152" s="107"/>
    </row>
    <row r="153" ht="15.75" customHeight="1">
      <c r="A153" s="89"/>
      <c r="B153" s="182"/>
      <c r="C153" s="149"/>
      <c r="D153" s="95"/>
      <c r="E153" s="149"/>
      <c r="F153" s="149"/>
      <c r="G153" s="95"/>
      <c r="H153" s="149"/>
      <c r="I153" s="95"/>
      <c r="J153" s="95"/>
      <c r="K153" s="99"/>
      <c r="L153" s="99"/>
      <c r="M153" s="100"/>
      <c r="N153" s="127"/>
      <c r="O153" s="128"/>
      <c r="P153" s="95"/>
      <c r="Q153" s="137"/>
      <c r="R153" s="129"/>
      <c r="S153" s="95"/>
      <c r="T153" s="95"/>
      <c r="V153" s="107"/>
    </row>
    <row r="154" ht="15.75" customHeight="1">
      <c r="A154" s="89"/>
      <c r="B154" s="182"/>
      <c r="C154" s="149"/>
      <c r="D154" s="95"/>
      <c r="E154" s="149"/>
      <c r="F154" s="149"/>
      <c r="G154" s="95"/>
      <c r="H154" s="149"/>
      <c r="I154" s="95"/>
      <c r="J154" s="95"/>
      <c r="K154" s="113"/>
      <c r="L154" s="113"/>
      <c r="M154" s="100"/>
      <c r="N154" s="127"/>
      <c r="O154" s="128"/>
      <c r="P154" s="95"/>
      <c r="Q154" s="137"/>
      <c r="R154" s="129"/>
      <c r="S154" s="95"/>
      <c r="T154" s="95"/>
      <c r="V154" s="107"/>
    </row>
    <row r="155" ht="15.75" customHeight="1">
      <c r="A155" s="89"/>
      <c r="B155" s="182"/>
      <c r="C155" s="149"/>
      <c r="D155" s="95"/>
      <c r="E155" s="149"/>
      <c r="F155" s="149"/>
      <c r="G155" s="95"/>
      <c r="H155" s="149"/>
      <c r="I155" s="95"/>
      <c r="J155" s="95"/>
      <c r="K155" s="99"/>
      <c r="L155" s="99"/>
      <c r="M155" s="100"/>
      <c r="N155" s="127"/>
      <c r="O155" s="128"/>
      <c r="P155" s="95"/>
      <c r="Q155" s="137"/>
      <c r="R155" s="129"/>
      <c r="S155" s="95"/>
      <c r="T155" s="95"/>
      <c r="V155" s="107"/>
    </row>
    <row r="156" ht="15.75" customHeight="1">
      <c r="A156" s="89"/>
      <c r="B156" s="182"/>
      <c r="C156" s="149"/>
      <c r="D156" s="95"/>
      <c r="E156" s="149"/>
      <c r="F156" s="149"/>
      <c r="G156" s="95"/>
      <c r="H156" s="149"/>
      <c r="I156" s="95"/>
      <c r="J156" s="95"/>
      <c r="K156" s="113"/>
      <c r="L156" s="113"/>
      <c r="M156" s="100"/>
      <c r="N156" s="127"/>
      <c r="O156" s="128"/>
      <c r="P156" s="95"/>
      <c r="Q156" s="137"/>
      <c r="R156" s="129"/>
      <c r="S156" s="95"/>
      <c r="T156" s="95"/>
      <c r="V156" s="107"/>
    </row>
    <row r="157" ht="15.75" customHeight="1">
      <c r="A157" s="89"/>
      <c r="B157" s="182"/>
      <c r="C157" s="107"/>
      <c r="D157" s="95"/>
      <c r="E157" s="149"/>
      <c r="F157" s="149"/>
      <c r="G157" s="95"/>
      <c r="H157" s="149"/>
      <c r="I157" s="95"/>
      <c r="J157" s="95"/>
      <c r="K157" s="99"/>
      <c r="L157" s="99"/>
      <c r="M157" s="100"/>
      <c r="N157" s="127"/>
      <c r="O157" s="128"/>
      <c r="P157" s="95"/>
      <c r="Q157" s="137"/>
      <c r="R157" s="129"/>
      <c r="S157" s="95"/>
      <c r="T157" s="95"/>
      <c r="V157" s="107"/>
    </row>
    <row r="158" ht="15.75" customHeight="1">
      <c r="A158" s="89"/>
      <c r="B158" s="182"/>
      <c r="C158" s="149"/>
      <c r="D158" s="95"/>
      <c r="E158" s="149"/>
      <c r="F158" s="149"/>
      <c r="G158" s="95"/>
      <c r="H158" s="149"/>
      <c r="I158" s="95"/>
      <c r="J158" s="95"/>
      <c r="K158" s="113"/>
      <c r="L158" s="113"/>
      <c r="M158" s="100"/>
      <c r="N158" s="127"/>
      <c r="O158" s="128"/>
      <c r="P158" s="95"/>
      <c r="Q158" s="137"/>
      <c r="R158" s="129"/>
      <c r="S158" s="95"/>
      <c r="T158" s="95"/>
      <c r="V158" s="107"/>
    </row>
    <row r="159" ht="15.75" customHeight="1">
      <c r="A159" s="89"/>
      <c r="B159" s="182"/>
      <c r="C159" s="149"/>
      <c r="D159" s="95"/>
      <c r="E159" s="149"/>
      <c r="F159" s="149"/>
      <c r="G159" s="95"/>
      <c r="H159" s="149"/>
      <c r="I159" s="95"/>
      <c r="J159" s="95"/>
      <c r="K159" s="99"/>
      <c r="L159" s="99"/>
      <c r="M159" s="100"/>
      <c r="N159" s="127"/>
      <c r="O159" s="128"/>
      <c r="P159" s="95"/>
      <c r="Q159" s="137"/>
      <c r="R159" s="129"/>
      <c r="S159" s="95"/>
      <c r="T159" s="95"/>
      <c r="V159" s="107"/>
    </row>
    <row r="160" ht="15.75" customHeight="1">
      <c r="A160" s="89"/>
      <c r="B160" s="182"/>
      <c r="C160" s="149"/>
      <c r="D160" s="95"/>
      <c r="E160" s="149"/>
      <c r="F160" s="149"/>
      <c r="G160" s="95"/>
      <c r="H160" s="149"/>
      <c r="I160" s="95"/>
      <c r="J160" s="95"/>
      <c r="K160" s="113"/>
      <c r="L160" s="113"/>
      <c r="M160" s="100"/>
      <c r="N160" s="127"/>
      <c r="O160" s="128"/>
      <c r="P160" s="95"/>
      <c r="Q160" s="137"/>
      <c r="R160" s="129"/>
      <c r="S160" s="95"/>
      <c r="T160" s="95"/>
      <c r="V160" s="107"/>
    </row>
    <row r="161" ht="15.75" customHeight="1">
      <c r="A161" s="89"/>
      <c r="B161" s="182"/>
      <c r="C161" s="149"/>
      <c r="D161" s="95"/>
      <c r="E161" s="149"/>
      <c r="F161" s="149"/>
      <c r="G161" s="95"/>
      <c r="H161" s="149"/>
      <c r="I161" s="95"/>
      <c r="J161" s="95"/>
      <c r="K161" s="99"/>
      <c r="L161" s="99"/>
      <c r="M161" s="100"/>
      <c r="N161" s="127"/>
      <c r="O161" s="128"/>
      <c r="P161" s="95"/>
      <c r="Q161" s="137"/>
      <c r="R161" s="129"/>
      <c r="S161" s="95"/>
      <c r="T161" s="95"/>
      <c r="V161" s="107"/>
    </row>
    <row r="162" ht="15.75" customHeight="1">
      <c r="A162" s="89"/>
      <c r="B162" s="182"/>
      <c r="C162" s="149"/>
      <c r="D162" s="95"/>
      <c r="E162" s="149"/>
      <c r="F162" s="149"/>
      <c r="G162" s="95"/>
      <c r="H162" s="149"/>
      <c r="I162" s="95"/>
      <c r="J162" s="95"/>
      <c r="K162" s="113"/>
      <c r="L162" s="113"/>
      <c r="M162" s="100"/>
      <c r="N162" s="127"/>
      <c r="O162" s="128"/>
      <c r="P162" s="95"/>
      <c r="Q162" s="137"/>
      <c r="R162" s="129"/>
      <c r="S162" s="95"/>
      <c r="T162" s="95"/>
      <c r="V162" s="107"/>
    </row>
    <row r="163" ht="15.75" customHeight="1">
      <c r="A163" s="89"/>
      <c r="B163" s="182"/>
      <c r="C163" s="107"/>
      <c r="D163" s="95"/>
      <c r="E163" s="149"/>
      <c r="F163" s="149"/>
      <c r="G163" s="95"/>
      <c r="H163" s="149"/>
      <c r="I163" s="95"/>
      <c r="J163" s="95"/>
      <c r="K163" s="99"/>
      <c r="L163" s="99"/>
      <c r="M163" s="100"/>
      <c r="N163" s="127"/>
      <c r="O163" s="128"/>
      <c r="P163" s="95"/>
      <c r="Q163" s="137"/>
      <c r="R163" s="129"/>
      <c r="S163" s="95"/>
      <c r="T163" s="95"/>
      <c r="V163" s="107"/>
    </row>
    <row r="164" ht="15.75" customHeight="1">
      <c r="A164" s="89"/>
      <c r="B164" s="182"/>
      <c r="C164" s="149"/>
      <c r="D164" s="95"/>
      <c r="E164" s="149"/>
      <c r="F164" s="149"/>
      <c r="G164" s="95"/>
      <c r="H164" s="149"/>
      <c r="I164" s="95"/>
      <c r="J164" s="95"/>
      <c r="K164" s="113"/>
      <c r="L164" s="113"/>
      <c r="M164" s="100"/>
      <c r="N164" s="127"/>
      <c r="O164" s="128"/>
      <c r="P164" s="95"/>
      <c r="Q164" s="137"/>
      <c r="R164" s="129"/>
      <c r="S164" s="95"/>
      <c r="T164" s="95"/>
      <c r="V164" s="107"/>
    </row>
    <row r="165" ht="15.75" customHeight="1">
      <c r="A165" s="89"/>
      <c r="B165" s="182"/>
      <c r="C165" s="149"/>
      <c r="D165" s="95"/>
      <c r="E165" s="149"/>
      <c r="F165" s="149"/>
      <c r="G165" s="95"/>
      <c r="H165" s="149"/>
      <c r="I165" s="95"/>
      <c r="J165" s="95"/>
      <c r="K165" s="99"/>
      <c r="L165" s="99"/>
      <c r="M165" s="100"/>
      <c r="N165" s="127"/>
      <c r="O165" s="128"/>
      <c r="P165" s="95"/>
      <c r="Q165" s="137"/>
      <c r="R165" s="129"/>
      <c r="S165" s="95"/>
      <c r="T165" s="95"/>
      <c r="V165" s="107"/>
    </row>
    <row r="166" ht="15.75" customHeight="1">
      <c r="A166" s="89"/>
      <c r="B166" s="182"/>
      <c r="C166" s="149"/>
      <c r="D166" s="95"/>
      <c r="E166" s="149"/>
      <c r="F166" s="149"/>
      <c r="G166" s="95"/>
      <c r="H166" s="149"/>
      <c r="I166" s="95"/>
      <c r="J166" s="95"/>
      <c r="K166" s="113"/>
      <c r="L166" s="113"/>
      <c r="M166" s="100"/>
      <c r="N166" s="127"/>
      <c r="O166" s="128"/>
      <c r="P166" s="95"/>
      <c r="Q166" s="137"/>
      <c r="R166" s="129"/>
      <c r="S166" s="95"/>
      <c r="T166" s="95"/>
      <c r="V166" s="107"/>
    </row>
    <row r="167" ht="15.75" customHeight="1">
      <c r="A167" s="89"/>
      <c r="B167" s="182"/>
      <c r="C167" s="149"/>
      <c r="D167" s="95"/>
      <c r="E167" s="149"/>
      <c r="F167" s="149"/>
      <c r="G167" s="95"/>
      <c r="H167" s="149"/>
      <c r="I167" s="95"/>
      <c r="J167" s="95"/>
      <c r="K167" s="99"/>
      <c r="L167" s="99"/>
      <c r="M167" s="100"/>
      <c r="N167" s="127"/>
      <c r="O167" s="128"/>
      <c r="P167" s="95"/>
      <c r="Q167" s="137"/>
      <c r="R167" s="129"/>
      <c r="S167" s="95"/>
      <c r="T167" s="95"/>
      <c r="V167" s="107"/>
    </row>
    <row r="168" ht="15.75" customHeight="1">
      <c r="A168" s="89"/>
      <c r="B168" s="182"/>
      <c r="C168" s="149"/>
      <c r="D168" s="95"/>
      <c r="E168" s="149"/>
      <c r="F168" s="149"/>
      <c r="G168" s="95"/>
      <c r="H168" s="149"/>
      <c r="I168" s="95"/>
      <c r="J168" s="95"/>
      <c r="K168" s="113"/>
      <c r="L168" s="113"/>
      <c r="M168" s="100"/>
      <c r="N168" s="127"/>
      <c r="O168" s="128"/>
      <c r="P168" s="95"/>
      <c r="Q168" s="137"/>
      <c r="R168" s="129"/>
      <c r="S168" s="95"/>
      <c r="T168" s="95"/>
      <c r="V168" s="107"/>
    </row>
    <row r="169" ht="15.75" customHeight="1">
      <c r="A169" s="89"/>
      <c r="B169" s="182"/>
      <c r="C169" s="107"/>
      <c r="D169" s="95"/>
      <c r="E169" s="149"/>
      <c r="F169" s="149"/>
      <c r="G169" s="95"/>
      <c r="H169" s="149"/>
      <c r="I169" s="95"/>
      <c r="J169" s="95"/>
      <c r="K169" s="99"/>
      <c r="L169" s="99"/>
      <c r="M169" s="100"/>
      <c r="N169" s="127"/>
      <c r="O169" s="128"/>
      <c r="P169" s="95"/>
      <c r="Q169" s="137"/>
      <c r="R169" s="129"/>
      <c r="S169" s="95"/>
      <c r="T169" s="95"/>
      <c r="V169" s="107"/>
    </row>
    <row r="170" ht="15.75" customHeight="1">
      <c r="A170" s="89"/>
      <c r="B170" s="182"/>
      <c r="C170" s="149"/>
      <c r="D170" s="95"/>
      <c r="E170" s="149"/>
      <c r="F170" s="149"/>
      <c r="G170" s="95"/>
      <c r="H170" s="149"/>
      <c r="I170" s="95"/>
      <c r="J170" s="95"/>
      <c r="K170" s="113"/>
      <c r="L170" s="113"/>
      <c r="M170" s="100"/>
      <c r="N170" s="127"/>
      <c r="O170" s="128"/>
      <c r="P170" s="95"/>
      <c r="Q170" s="137"/>
      <c r="R170" s="129"/>
      <c r="S170" s="95"/>
      <c r="T170" s="95"/>
      <c r="V170" s="107"/>
    </row>
    <row r="171" ht="15.75" customHeight="1">
      <c r="A171" s="89"/>
      <c r="B171" s="182"/>
      <c r="C171" s="149"/>
      <c r="D171" s="95"/>
      <c r="E171" s="149"/>
      <c r="F171" s="149"/>
      <c r="G171" s="95"/>
      <c r="H171" s="149"/>
      <c r="I171" s="95"/>
      <c r="J171" s="95"/>
      <c r="K171" s="99"/>
      <c r="L171" s="99"/>
      <c r="M171" s="100"/>
      <c r="N171" s="127"/>
      <c r="O171" s="128"/>
      <c r="P171" s="95"/>
      <c r="Q171" s="137"/>
      <c r="R171" s="129"/>
      <c r="S171" s="95"/>
      <c r="T171" s="95"/>
      <c r="V171" s="107"/>
    </row>
    <row r="172" ht="15.75" customHeight="1">
      <c r="A172" s="89"/>
      <c r="B172" s="182"/>
      <c r="C172" s="149"/>
      <c r="D172" s="95"/>
      <c r="E172" s="149"/>
      <c r="F172" s="149"/>
      <c r="G172" s="95"/>
      <c r="H172" s="149"/>
      <c r="I172" s="95"/>
      <c r="J172" s="95"/>
      <c r="K172" s="113"/>
      <c r="L172" s="113"/>
      <c r="M172" s="100"/>
      <c r="N172" s="127"/>
      <c r="O172" s="128"/>
      <c r="P172" s="95"/>
      <c r="Q172" s="137"/>
      <c r="R172" s="129"/>
      <c r="S172" s="95"/>
      <c r="T172" s="95"/>
      <c r="V172" s="107"/>
    </row>
    <row r="173" ht="15.75" customHeight="1">
      <c r="A173" s="89"/>
      <c r="B173" s="182"/>
      <c r="C173" s="149"/>
      <c r="D173" s="95"/>
      <c r="E173" s="149"/>
      <c r="F173" s="149"/>
      <c r="G173" s="95"/>
      <c r="H173" s="149"/>
      <c r="I173" s="95"/>
      <c r="J173" s="95"/>
      <c r="K173" s="99"/>
      <c r="L173" s="99"/>
      <c r="M173" s="100"/>
      <c r="N173" s="127"/>
      <c r="O173" s="128"/>
      <c r="P173" s="95"/>
      <c r="Q173" s="137"/>
      <c r="R173" s="129"/>
      <c r="S173" s="95"/>
      <c r="T173" s="95"/>
      <c r="V173" s="107"/>
    </row>
    <row r="174" ht="15.75" customHeight="1">
      <c r="A174" s="89"/>
      <c r="B174" s="182"/>
      <c r="C174" s="149"/>
      <c r="D174" s="95"/>
      <c r="E174" s="149"/>
      <c r="F174" s="149"/>
      <c r="G174" s="95"/>
      <c r="H174" s="149"/>
      <c r="I174" s="95"/>
      <c r="J174" s="95"/>
      <c r="K174" s="113"/>
      <c r="L174" s="113"/>
      <c r="M174" s="100"/>
      <c r="N174" s="127"/>
      <c r="O174" s="128"/>
      <c r="P174" s="95"/>
      <c r="Q174" s="137"/>
      <c r="R174" s="129"/>
      <c r="S174" s="95"/>
      <c r="T174" s="95"/>
      <c r="V174" s="107"/>
    </row>
    <row r="175" ht="15.75" customHeight="1">
      <c r="A175" s="89"/>
      <c r="B175" s="182"/>
      <c r="C175" s="107"/>
      <c r="D175" s="95"/>
      <c r="E175" s="149"/>
      <c r="F175" s="149"/>
      <c r="G175" s="95"/>
      <c r="H175" s="149"/>
      <c r="I175" s="95"/>
      <c r="J175" s="95"/>
      <c r="K175" s="99"/>
      <c r="L175" s="99"/>
      <c r="M175" s="100"/>
      <c r="N175" s="127"/>
      <c r="O175" s="128"/>
      <c r="P175" s="95"/>
      <c r="Q175" s="137"/>
      <c r="R175" s="129"/>
      <c r="S175" s="95"/>
      <c r="T175" s="95"/>
      <c r="V175" s="107"/>
    </row>
    <row r="176" ht="15.75" customHeight="1">
      <c r="A176" s="89"/>
      <c r="B176" s="182"/>
      <c r="C176" s="149"/>
      <c r="D176" s="95"/>
      <c r="E176" s="149"/>
      <c r="F176" s="149"/>
      <c r="G176" s="95"/>
      <c r="H176" s="149"/>
      <c r="I176" s="95"/>
      <c r="J176" s="95"/>
      <c r="K176" s="113"/>
      <c r="L176" s="113"/>
      <c r="M176" s="100"/>
      <c r="N176" s="127"/>
      <c r="O176" s="128"/>
      <c r="P176" s="95"/>
      <c r="Q176" s="137"/>
      <c r="R176" s="129"/>
      <c r="S176" s="95"/>
      <c r="T176" s="95"/>
      <c r="V176" s="107"/>
    </row>
    <row r="177" ht="15.75" customHeight="1">
      <c r="A177" s="89"/>
      <c r="B177" s="182"/>
      <c r="C177" s="149"/>
      <c r="D177" s="95"/>
      <c r="E177" s="149"/>
      <c r="F177" s="149"/>
      <c r="G177" s="95"/>
      <c r="H177" s="149"/>
      <c r="I177" s="95"/>
      <c r="J177" s="95"/>
      <c r="K177" s="99"/>
      <c r="L177" s="99"/>
      <c r="M177" s="100"/>
      <c r="N177" s="127"/>
      <c r="O177" s="128"/>
      <c r="P177" s="95"/>
      <c r="Q177" s="137"/>
      <c r="R177" s="129"/>
      <c r="S177" s="95"/>
      <c r="T177" s="95"/>
      <c r="V177" s="107"/>
    </row>
    <row r="178" ht="15.75" customHeight="1">
      <c r="A178" s="89"/>
      <c r="B178" s="182"/>
      <c r="C178" s="149"/>
      <c r="D178" s="95"/>
      <c r="E178" s="149"/>
      <c r="F178" s="149"/>
      <c r="G178" s="95"/>
      <c r="H178" s="149"/>
      <c r="I178" s="95"/>
      <c r="J178" s="95"/>
      <c r="K178" s="113"/>
      <c r="L178" s="113"/>
      <c r="M178" s="100"/>
      <c r="N178" s="127"/>
      <c r="O178" s="128"/>
      <c r="P178" s="95"/>
      <c r="Q178" s="137"/>
      <c r="R178" s="129"/>
      <c r="S178" s="95"/>
      <c r="T178" s="95"/>
      <c r="V178" s="107"/>
    </row>
    <row r="179" ht="15.75" customHeight="1">
      <c r="A179" s="89"/>
      <c r="B179" s="182"/>
      <c r="C179" s="149"/>
      <c r="D179" s="95"/>
      <c r="E179" s="149"/>
      <c r="F179" s="149"/>
      <c r="G179" s="95"/>
      <c r="H179" s="149"/>
      <c r="I179" s="95"/>
      <c r="J179" s="95"/>
      <c r="K179" s="99"/>
      <c r="L179" s="99"/>
      <c r="M179" s="100"/>
      <c r="N179" s="127"/>
      <c r="O179" s="128"/>
      <c r="P179" s="95"/>
      <c r="Q179" s="137"/>
      <c r="R179" s="129"/>
      <c r="S179" s="95"/>
      <c r="T179" s="95"/>
      <c r="V179" s="107"/>
    </row>
    <row r="180" ht="15.75" customHeight="1">
      <c r="A180" s="89"/>
      <c r="B180" s="182"/>
      <c r="C180" s="149"/>
      <c r="D180" s="95"/>
      <c r="E180" s="149"/>
      <c r="F180" s="149"/>
      <c r="G180" s="95"/>
      <c r="H180" s="149"/>
      <c r="I180" s="95"/>
      <c r="J180" s="95"/>
      <c r="K180" s="113"/>
      <c r="L180" s="113"/>
      <c r="M180" s="100"/>
      <c r="N180" s="127"/>
      <c r="O180" s="128"/>
      <c r="P180" s="95"/>
      <c r="Q180" s="137"/>
      <c r="R180" s="129"/>
      <c r="S180" s="95"/>
      <c r="T180" s="95"/>
      <c r="V180" s="107"/>
    </row>
    <row r="181" ht="15.75" customHeight="1">
      <c r="A181" s="89"/>
      <c r="B181" s="182"/>
      <c r="C181" s="107"/>
      <c r="D181" s="95"/>
      <c r="E181" s="149"/>
      <c r="F181" s="149"/>
      <c r="G181" s="95"/>
      <c r="H181" s="149"/>
      <c r="I181" s="95"/>
      <c r="J181" s="95"/>
      <c r="K181" s="99"/>
      <c r="L181" s="99"/>
      <c r="M181" s="100"/>
      <c r="N181" s="127"/>
      <c r="O181" s="128"/>
      <c r="P181" s="95"/>
      <c r="Q181" s="137"/>
      <c r="R181" s="129"/>
      <c r="S181" s="95"/>
      <c r="T181" s="95"/>
      <c r="V181" s="107"/>
    </row>
    <row r="182" ht="15.75" customHeight="1">
      <c r="A182" s="89"/>
      <c r="B182" s="182"/>
      <c r="C182" s="149"/>
      <c r="D182" s="95"/>
      <c r="E182" s="149"/>
      <c r="F182" s="149"/>
      <c r="G182" s="95"/>
      <c r="H182" s="149"/>
      <c r="I182" s="95"/>
      <c r="J182" s="95"/>
      <c r="K182" s="113"/>
      <c r="L182" s="113"/>
      <c r="M182" s="100"/>
      <c r="N182" s="127"/>
      <c r="O182" s="128"/>
      <c r="P182" s="95"/>
      <c r="Q182" s="137"/>
      <c r="R182" s="129"/>
      <c r="S182" s="95"/>
      <c r="T182" s="95"/>
      <c r="V182" s="107"/>
    </row>
    <row r="183" ht="15.75" customHeight="1">
      <c r="A183" s="89"/>
      <c r="B183" s="182"/>
      <c r="C183" s="149"/>
      <c r="D183" s="95"/>
      <c r="E183" s="149"/>
      <c r="F183" s="149"/>
      <c r="G183" s="95"/>
      <c r="H183" s="149"/>
      <c r="I183" s="95"/>
      <c r="J183" s="95"/>
      <c r="K183" s="99"/>
      <c r="L183" s="99"/>
      <c r="M183" s="100"/>
      <c r="N183" s="127"/>
      <c r="O183" s="128"/>
      <c r="P183" s="95"/>
      <c r="Q183" s="137"/>
      <c r="R183" s="129"/>
      <c r="S183" s="95"/>
      <c r="T183" s="95"/>
      <c r="V183" s="107"/>
    </row>
    <row r="184" ht="15.75" customHeight="1">
      <c r="A184" s="89"/>
      <c r="B184" s="182"/>
      <c r="C184" s="149"/>
      <c r="D184" s="95"/>
      <c r="E184" s="149"/>
      <c r="F184" s="149"/>
      <c r="G184" s="95"/>
      <c r="H184" s="149"/>
      <c r="I184" s="95"/>
      <c r="J184" s="95"/>
      <c r="K184" s="113"/>
      <c r="L184" s="113"/>
      <c r="M184" s="100"/>
      <c r="N184" s="127"/>
      <c r="O184" s="128"/>
      <c r="P184" s="95"/>
      <c r="Q184" s="137"/>
      <c r="R184" s="129"/>
      <c r="S184" s="95"/>
      <c r="T184" s="95"/>
      <c r="V184" s="107"/>
    </row>
    <row r="185" ht="15.75" customHeight="1">
      <c r="A185" s="89"/>
      <c r="B185" s="182"/>
      <c r="C185" s="149"/>
      <c r="D185" s="95"/>
      <c r="E185" s="149"/>
      <c r="F185" s="149"/>
      <c r="G185" s="95"/>
      <c r="H185" s="149"/>
      <c r="I185" s="95"/>
      <c r="J185" s="95"/>
      <c r="K185" s="99"/>
      <c r="L185" s="99"/>
      <c r="M185" s="100"/>
      <c r="N185" s="127"/>
      <c r="O185" s="128"/>
      <c r="P185" s="95"/>
      <c r="Q185" s="137"/>
      <c r="R185" s="129"/>
      <c r="S185" s="95"/>
      <c r="T185" s="95"/>
      <c r="V185" s="107"/>
    </row>
    <row r="186" ht="15.75" customHeight="1">
      <c r="A186" s="89"/>
      <c r="B186" s="182"/>
      <c r="C186" s="149"/>
      <c r="D186" s="95"/>
      <c r="E186" s="149"/>
      <c r="F186" s="149"/>
      <c r="G186" s="95"/>
      <c r="H186" s="149"/>
      <c r="I186" s="95"/>
      <c r="J186" s="95"/>
      <c r="K186" s="113"/>
      <c r="L186" s="113"/>
      <c r="M186" s="100"/>
      <c r="N186" s="127"/>
      <c r="O186" s="128"/>
      <c r="P186" s="95"/>
      <c r="Q186" s="137"/>
      <c r="R186" s="129"/>
      <c r="S186" s="95"/>
      <c r="T186" s="95"/>
      <c r="V186" s="107"/>
    </row>
    <row r="187" ht="15.75" customHeight="1">
      <c r="A187" s="89"/>
      <c r="B187" s="182"/>
      <c r="C187" s="107"/>
      <c r="D187" s="95"/>
      <c r="E187" s="149"/>
      <c r="F187" s="149"/>
      <c r="G187" s="95"/>
      <c r="H187" s="149"/>
      <c r="I187" s="95"/>
      <c r="J187" s="95"/>
      <c r="K187" s="99"/>
      <c r="L187" s="99"/>
      <c r="M187" s="100"/>
      <c r="N187" s="127"/>
      <c r="O187" s="128"/>
      <c r="P187" s="95"/>
      <c r="Q187" s="137"/>
      <c r="R187" s="129"/>
      <c r="S187" s="95"/>
      <c r="T187" s="95"/>
      <c r="V187" s="107"/>
    </row>
    <row r="188" ht="15.75" customHeight="1">
      <c r="A188" s="89"/>
      <c r="B188" s="182"/>
      <c r="C188" s="149"/>
      <c r="D188" s="95"/>
      <c r="E188" s="149"/>
      <c r="F188" s="149"/>
      <c r="G188" s="95"/>
      <c r="H188" s="149"/>
      <c r="I188" s="95"/>
      <c r="J188" s="95"/>
      <c r="K188" s="113"/>
      <c r="L188" s="113"/>
      <c r="M188" s="100"/>
      <c r="N188" s="127"/>
      <c r="O188" s="128"/>
      <c r="P188" s="95"/>
      <c r="Q188" s="137"/>
      <c r="R188" s="129"/>
      <c r="S188" s="95"/>
      <c r="T188" s="95"/>
      <c r="V188" s="107"/>
    </row>
    <row r="189" ht="15.75" customHeight="1">
      <c r="A189" s="89"/>
      <c r="B189" s="182"/>
      <c r="C189" s="149"/>
      <c r="D189" s="95"/>
      <c r="E189" s="149"/>
      <c r="F189" s="149"/>
      <c r="G189" s="95"/>
      <c r="H189" s="149"/>
      <c r="I189" s="95"/>
      <c r="J189" s="95"/>
      <c r="K189" s="99"/>
      <c r="L189" s="99"/>
      <c r="M189" s="100"/>
      <c r="N189" s="127"/>
      <c r="O189" s="128"/>
      <c r="P189" s="95"/>
      <c r="Q189" s="137"/>
      <c r="R189" s="129"/>
      <c r="S189" s="95"/>
      <c r="T189" s="95"/>
      <c r="V189" s="107"/>
    </row>
    <row r="190" ht="15.75" customHeight="1">
      <c r="A190" s="89"/>
      <c r="B190" s="182"/>
      <c r="C190" s="149"/>
      <c r="D190" s="95"/>
      <c r="E190" s="149"/>
      <c r="F190" s="149"/>
      <c r="G190" s="95"/>
      <c r="H190" s="149"/>
      <c r="I190" s="95"/>
      <c r="J190" s="95"/>
      <c r="K190" s="113"/>
      <c r="L190" s="113"/>
      <c r="M190" s="100"/>
      <c r="N190" s="127"/>
      <c r="O190" s="128"/>
      <c r="P190" s="95"/>
      <c r="Q190" s="137"/>
      <c r="R190" s="129"/>
      <c r="S190" s="95"/>
      <c r="T190" s="95"/>
      <c r="V190" s="107"/>
    </row>
    <row r="191" ht="15.75" customHeight="1">
      <c r="A191" s="89"/>
      <c r="B191" s="182"/>
      <c r="C191" s="149"/>
      <c r="D191" s="95"/>
      <c r="E191" s="149"/>
      <c r="F191" s="149"/>
      <c r="G191" s="95"/>
      <c r="H191" s="149"/>
      <c r="I191" s="95"/>
      <c r="J191" s="95"/>
      <c r="K191" s="99"/>
      <c r="L191" s="99"/>
      <c r="M191" s="100"/>
      <c r="N191" s="127"/>
      <c r="O191" s="128"/>
      <c r="P191" s="95"/>
      <c r="Q191" s="137"/>
      <c r="R191" s="129"/>
      <c r="S191" s="95"/>
      <c r="T191" s="95"/>
      <c r="V191" s="107"/>
    </row>
    <row r="192" ht="15.75" customHeight="1">
      <c r="A192" s="89"/>
      <c r="B192" s="182"/>
      <c r="C192" s="149"/>
      <c r="D192" s="95"/>
      <c r="E192" s="149"/>
      <c r="F192" s="149"/>
      <c r="G192" s="95"/>
      <c r="H192" s="149"/>
      <c r="I192" s="95"/>
      <c r="J192" s="95"/>
      <c r="K192" s="113"/>
      <c r="L192" s="113"/>
      <c r="M192" s="100"/>
      <c r="N192" s="127"/>
      <c r="O192" s="128"/>
      <c r="P192" s="95"/>
      <c r="Q192" s="137"/>
      <c r="R192" s="129"/>
      <c r="S192" s="95"/>
      <c r="T192" s="95"/>
      <c r="V192" s="107"/>
    </row>
    <row r="193" ht="15.75" customHeight="1">
      <c r="A193" s="89"/>
      <c r="B193" s="182"/>
      <c r="C193" s="107"/>
      <c r="D193" s="95"/>
      <c r="E193" s="149"/>
      <c r="F193" s="149"/>
      <c r="G193" s="95"/>
      <c r="H193" s="149"/>
      <c r="I193" s="95"/>
      <c r="J193" s="95"/>
      <c r="K193" s="99"/>
      <c r="L193" s="99"/>
      <c r="M193" s="100"/>
      <c r="N193" s="127"/>
      <c r="O193" s="128"/>
      <c r="P193" s="95"/>
      <c r="Q193" s="137"/>
      <c r="R193" s="129"/>
      <c r="S193" s="95"/>
      <c r="T193" s="95"/>
      <c r="V193" s="107"/>
    </row>
    <row r="194" ht="15.75" customHeight="1">
      <c r="A194" s="89"/>
      <c r="B194" s="182"/>
      <c r="C194" s="149"/>
      <c r="D194" s="95"/>
      <c r="E194" s="149"/>
      <c r="F194" s="149"/>
      <c r="G194" s="95"/>
      <c r="H194" s="149"/>
      <c r="I194" s="95"/>
      <c r="J194" s="95"/>
      <c r="K194" s="113"/>
      <c r="L194" s="113"/>
      <c r="M194" s="100"/>
      <c r="N194" s="127"/>
      <c r="O194" s="128"/>
      <c r="P194" s="95"/>
      <c r="Q194" s="137"/>
      <c r="R194" s="129"/>
      <c r="S194" s="95"/>
      <c r="T194" s="95"/>
      <c r="V194" s="107"/>
    </row>
    <row r="195" ht="15.75" customHeight="1">
      <c r="A195" s="89"/>
      <c r="B195" s="182"/>
      <c r="C195" s="149"/>
      <c r="D195" s="95"/>
      <c r="E195" s="149"/>
      <c r="F195" s="149"/>
      <c r="G195" s="95"/>
      <c r="H195" s="149"/>
      <c r="I195" s="95"/>
      <c r="J195" s="95"/>
      <c r="K195" s="99"/>
      <c r="L195" s="99"/>
      <c r="M195" s="100"/>
      <c r="N195" s="127"/>
      <c r="O195" s="128"/>
      <c r="P195" s="95"/>
      <c r="Q195" s="137"/>
      <c r="R195" s="129"/>
      <c r="S195" s="95"/>
      <c r="T195" s="95"/>
      <c r="V195" s="107"/>
    </row>
    <row r="196" ht="15.75" customHeight="1">
      <c r="A196" s="89"/>
      <c r="B196" s="182"/>
      <c r="C196" s="149"/>
      <c r="D196" s="95"/>
      <c r="E196" s="149"/>
      <c r="F196" s="149"/>
      <c r="G196" s="95"/>
      <c r="H196" s="149"/>
      <c r="I196" s="95"/>
      <c r="J196" s="95"/>
      <c r="K196" s="113"/>
      <c r="L196" s="113"/>
      <c r="M196" s="100"/>
      <c r="N196" s="127"/>
      <c r="O196" s="128"/>
      <c r="P196" s="95"/>
      <c r="Q196" s="137"/>
      <c r="R196" s="129"/>
      <c r="S196" s="95"/>
      <c r="T196" s="95"/>
      <c r="V196" s="107"/>
    </row>
    <row r="197" ht="15.75" customHeight="1">
      <c r="A197" s="89"/>
      <c r="B197" s="182"/>
      <c r="C197" s="149"/>
      <c r="D197" s="95"/>
      <c r="E197" s="149"/>
      <c r="F197" s="149"/>
      <c r="G197" s="95"/>
      <c r="H197" s="149"/>
      <c r="I197" s="95"/>
      <c r="J197" s="95"/>
      <c r="K197" s="99"/>
      <c r="L197" s="99"/>
      <c r="M197" s="100"/>
      <c r="N197" s="127"/>
      <c r="O197" s="128"/>
      <c r="P197" s="95"/>
      <c r="Q197" s="137"/>
      <c r="R197" s="129"/>
      <c r="S197" s="95"/>
      <c r="T197" s="95"/>
      <c r="V197" s="107"/>
    </row>
    <row r="198" ht="15.75" customHeight="1">
      <c r="A198" s="89"/>
      <c r="B198" s="182"/>
      <c r="C198" s="149"/>
      <c r="D198" s="95"/>
      <c r="E198" s="149"/>
      <c r="F198" s="149"/>
      <c r="G198" s="95"/>
      <c r="H198" s="149"/>
      <c r="I198" s="95"/>
      <c r="J198" s="95"/>
      <c r="K198" s="113"/>
      <c r="L198" s="113"/>
      <c r="M198" s="100"/>
      <c r="N198" s="127"/>
      <c r="O198" s="128"/>
      <c r="P198" s="95"/>
      <c r="Q198" s="137"/>
      <c r="R198" s="129"/>
      <c r="S198" s="95"/>
      <c r="T198" s="95"/>
      <c r="V198" s="107"/>
    </row>
    <row r="199" ht="15.75" customHeight="1">
      <c r="A199" s="89"/>
      <c r="B199" s="182"/>
      <c r="C199" s="107"/>
      <c r="D199" s="95"/>
      <c r="E199" s="149"/>
      <c r="F199" s="149"/>
      <c r="G199" s="95"/>
      <c r="H199" s="149"/>
      <c r="I199" s="95"/>
      <c r="J199" s="95"/>
      <c r="K199" s="99"/>
      <c r="L199" s="99"/>
      <c r="M199" s="100"/>
      <c r="N199" s="127"/>
      <c r="O199" s="128"/>
      <c r="P199" s="95"/>
      <c r="Q199" s="137"/>
      <c r="R199" s="129"/>
      <c r="S199" s="95"/>
      <c r="T199" s="95"/>
      <c r="V199" s="107"/>
    </row>
    <row r="200" ht="15.75" customHeight="1">
      <c r="A200" s="89"/>
      <c r="B200" s="182"/>
      <c r="C200" s="149"/>
      <c r="D200" s="95"/>
      <c r="E200" s="149"/>
      <c r="F200" s="149"/>
      <c r="G200" s="95"/>
      <c r="H200" s="149"/>
      <c r="I200" s="95"/>
      <c r="J200" s="95"/>
      <c r="K200" s="113"/>
      <c r="L200" s="113"/>
      <c r="M200" s="100"/>
      <c r="N200" s="127"/>
      <c r="O200" s="128"/>
      <c r="P200" s="95"/>
      <c r="Q200" s="137"/>
      <c r="R200" s="129"/>
      <c r="S200" s="95"/>
      <c r="T200" s="95"/>
      <c r="V200" s="107"/>
    </row>
    <row r="201" ht="15.75" customHeight="1">
      <c r="A201" s="89"/>
      <c r="B201" s="182"/>
      <c r="C201" s="149"/>
      <c r="D201" s="95"/>
      <c r="E201" s="149"/>
      <c r="F201" s="149"/>
      <c r="G201" s="95"/>
      <c r="H201" s="149"/>
      <c r="I201" s="95"/>
      <c r="J201" s="95"/>
      <c r="K201" s="99"/>
      <c r="L201" s="99"/>
      <c r="M201" s="100"/>
      <c r="N201" s="127"/>
      <c r="O201" s="128"/>
      <c r="P201" s="95"/>
      <c r="Q201" s="137"/>
      <c r="R201" s="129"/>
      <c r="S201" s="95"/>
      <c r="T201" s="95"/>
      <c r="V201" s="107"/>
    </row>
    <row r="202" ht="15.75" customHeight="1">
      <c r="A202" s="89"/>
      <c r="B202" s="182"/>
      <c r="C202" s="149"/>
      <c r="D202" s="95"/>
      <c r="E202" s="149"/>
      <c r="F202" s="149"/>
      <c r="G202" s="95"/>
      <c r="H202" s="149"/>
      <c r="I202" s="95"/>
      <c r="J202" s="95"/>
      <c r="K202" s="113"/>
      <c r="L202" s="113"/>
      <c r="M202" s="100"/>
      <c r="N202" s="127"/>
      <c r="O202" s="128"/>
      <c r="P202" s="95"/>
      <c r="Q202" s="137"/>
      <c r="R202" s="129"/>
      <c r="S202" s="95"/>
      <c r="T202" s="95"/>
      <c r="V202" s="107"/>
    </row>
    <row r="203" ht="15.75" customHeight="1">
      <c r="A203" s="89"/>
      <c r="B203" s="182"/>
      <c r="C203" s="149"/>
      <c r="D203" s="95"/>
      <c r="E203" s="149"/>
      <c r="F203" s="149"/>
      <c r="G203" s="95"/>
      <c r="H203" s="149"/>
      <c r="I203" s="95"/>
      <c r="J203" s="95"/>
      <c r="K203" s="99"/>
      <c r="L203" s="99"/>
      <c r="M203" s="100"/>
      <c r="N203" s="127"/>
      <c r="O203" s="128"/>
      <c r="P203" s="95"/>
      <c r="Q203" s="137"/>
      <c r="R203" s="129"/>
      <c r="S203" s="95"/>
      <c r="T203" s="95"/>
      <c r="V203" s="107"/>
    </row>
    <row r="204" ht="15.75" customHeight="1">
      <c r="A204" s="89"/>
      <c r="B204" s="182"/>
      <c r="C204" s="149"/>
      <c r="D204" s="95"/>
      <c r="E204" s="149"/>
      <c r="F204" s="149"/>
      <c r="G204" s="95"/>
      <c r="H204" s="149"/>
      <c r="I204" s="95"/>
      <c r="J204" s="95"/>
      <c r="K204" s="113"/>
      <c r="L204" s="113"/>
      <c r="M204" s="100"/>
      <c r="N204" s="127"/>
      <c r="O204" s="128"/>
      <c r="P204" s="95"/>
      <c r="Q204" s="137"/>
      <c r="R204" s="129"/>
      <c r="S204" s="95"/>
      <c r="T204" s="95"/>
      <c r="V204" s="107"/>
    </row>
    <row r="205" ht="15.75" customHeight="1">
      <c r="A205" s="89"/>
      <c r="B205" s="182"/>
      <c r="C205" s="107"/>
      <c r="D205" s="95"/>
      <c r="E205" s="149"/>
      <c r="F205" s="149"/>
      <c r="G205" s="95"/>
      <c r="H205" s="149"/>
      <c r="I205" s="95"/>
      <c r="J205" s="95"/>
      <c r="K205" s="99"/>
      <c r="L205" s="99"/>
      <c r="M205" s="100"/>
      <c r="N205" s="127"/>
      <c r="O205" s="128"/>
      <c r="P205" s="95"/>
      <c r="Q205" s="137"/>
      <c r="R205" s="129"/>
      <c r="S205" s="95"/>
      <c r="T205" s="95"/>
      <c r="V205" s="107"/>
    </row>
    <row r="206" ht="15.75" customHeight="1">
      <c r="A206" s="89"/>
      <c r="B206" s="182"/>
      <c r="C206" s="149"/>
      <c r="D206" s="95"/>
      <c r="E206" s="149"/>
      <c r="F206" s="149"/>
      <c r="G206" s="95"/>
      <c r="H206" s="149"/>
      <c r="I206" s="95"/>
      <c r="J206" s="95"/>
      <c r="K206" s="113"/>
      <c r="L206" s="113"/>
      <c r="M206" s="100"/>
      <c r="N206" s="127"/>
      <c r="O206" s="128"/>
      <c r="P206" s="95"/>
      <c r="Q206" s="137"/>
      <c r="R206" s="129"/>
      <c r="S206" s="95"/>
      <c r="T206" s="95"/>
      <c r="V206" s="107"/>
    </row>
    <row r="207" ht="15.75" customHeight="1">
      <c r="A207" s="89"/>
      <c r="B207" s="182"/>
      <c r="C207" s="149"/>
      <c r="D207" s="95"/>
      <c r="E207" s="149"/>
      <c r="F207" s="149"/>
      <c r="G207" s="95"/>
      <c r="H207" s="149"/>
      <c r="I207" s="95"/>
      <c r="J207" s="95"/>
      <c r="K207" s="99"/>
      <c r="L207" s="99"/>
      <c r="M207" s="100"/>
      <c r="N207" s="127"/>
      <c r="O207" s="128"/>
      <c r="P207" s="95"/>
      <c r="Q207" s="137"/>
      <c r="R207" s="129"/>
      <c r="S207" s="95"/>
      <c r="T207" s="95"/>
      <c r="V207" s="107"/>
    </row>
    <row r="208" ht="15.75" customHeight="1">
      <c r="A208" s="89"/>
      <c r="B208" s="182"/>
      <c r="C208" s="149"/>
      <c r="D208" s="95"/>
      <c r="E208" s="149"/>
      <c r="F208" s="149"/>
      <c r="G208" s="95"/>
      <c r="H208" s="149"/>
      <c r="I208" s="95"/>
      <c r="J208" s="95"/>
      <c r="K208" s="113"/>
      <c r="L208" s="113"/>
      <c r="M208" s="100"/>
      <c r="N208" s="127"/>
      <c r="O208" s="128"/>
      <c r="P208" s="95"/>
      <c r="Q208" s="137"/>
      <c r="R208" s="129"/>
      <c r="S208" s="95"/>
      <c r="T208" s="95"/>
      <c r="V208" s="107"/>
    </row>
    <row r="209" ht="15.75" customHeight="1">
      <c r="A209" s="89"/>
      <c r="B209" s="182"/>
      <c r="C209" s="149"/>
      <c r="D209" s="95"/>
      <c r="E209" s="149"/>
      <c r="F209" s="149"/>
      <c r="G209" s="95"/>
      <c r="H209" s="149"/>
      <c r="I209" s="95"/>
      <c r="J209" s="95"/>
      <c r="K209" s="99"/>
      <c r="L209" s="99"/>
      <c r="M209" s="100"/>
      <c r="N209" s="127"/>
      <c r="O209" s="128"/>
      <c r="P209" s="95"/>
      <c r="Q209" s="137"/>
      <c r="R209" s="129"/>
      <c r="S209" s="95"/>
      <c r="T209" s="95"/>
      <c r="V209" s="107"/>
    </row>
    <row r="210" ht="15.75" customHeight="1">
      <c r="A210" s="89"/>
      <c r="B210" s="182"/>
      <c r="C210" s="149"/>
      <c r="D210" s="95"/>
      <c r="E210" s="149"/>
      <c r="F210" s="149"/>
      <c r="G210" s="95"/>
      <c r="H210" s="149"/>
      <c r="I210" s="95"/>
      <c r="J210" s="95"/>
      <c r="K210" s="113"/>
      <c r="L210" s="113"/>
      <c r="M210" s="100"/>
      <c r="N210" s="127"/>
      <c r="O210" s="128"/>
      <c r="P210" s="95"/>
      <c r="Q210" s="137"/>
      <c r="R210" s="129"/>
      <c r="S210" s="95"/>
      <c r="T210" s="95"/>
      <c r="V210" s="107"/>
    </row>
    <row r="211" ht="15.75" customHeight="1">
      <c r="A211" s="89"/>
      <c r="B211" s="182"/>
      <c r="C211" s="107"/>
      <c r="D211" s="95"/>
      <c r="E211" s="149"/>
      <c r="F211" s="149"/>
      <c r="G211" s="95"/>
      <c r="H211" s="149"/>
      <c r="I211" s="95"/>
      <c r="J211" s="95"/>
      <c r="K211" s="99"/>
      <c r="L211" s="99"/>
      <c r="M211" s="100"/>
      <c r="N211" s="127"/>
      <c r="O211" s="128"/>
      <c r="P211" s="95"/>
      <c r="Q211" s="137"/>
      <c r="R211" s="129"/>
      <c r="S211" s="95"/>
      <c r="T211" s="95"/>
      <c r="V211" s="107"/>
    </row>
    <row r="212" ht="15.75" customHeight="1">
      <c r="A212" s="89"/>
      <c r="B212" s="182"/>
      <c r="C212" s="149"/>
      <c r="D212" s="95"/>
      <c r="E212" s="149"/>
      <c r="F212" s="149"/>
      <c r="G212" s="95"/>
      <c r="H212" s="149"/>
      <c r="I212" s="95"/>
      <c r="J212" s="95"/>
      <c r="K212" s="113"/>
      <c r="L212" s="113"/>
      <c r="M212" s="100"/>
      <c r="N212" s="127"/>
      <c r="O212" s="128"/>
      <c r="P212" s="95"/>
      <c r="Q212" s="137"/>
      <c r="R212" s="129"/>
      <c r="S212" s="95"/>
      <c r="T212" s="95"/>
      <c r="V212" s="107"/>
    </row>
    <row r="213" ht="15.75" customHeight="1">
      <c r="A213" s="89"/>
      <c r="B213" s="182"/>
      <c r="C213" s="149"/>
      <c r="D213" s="95"/>
      <c r="E213" s="149"/>
      <c r="F213" s="149"/>
      <c r="G213" s="95"/>
      <c r="H213" s="149"/>
      <c r="I213" s="95"/>
      <c r="J213" s="95"/>
      <c r="K213" s="99"/>
      <c r="L213" s="99"/>
      <c r="M213" s="100"/>
      <c r="N213" s="127"/>
      <c r="O213" s="128"/>
      <c r="P213" s="95"/>
      <c r="Q213" s="137"/>
      <c r="R213" s="129"/>
      <c r="S213" s="95"/>
      <c r="T213" s="95"/>
      <c r="V213" s="107"/>
    </row>
    <row r="214" ht="15.75" customHeight="1">
      <c r="A214" s="89"/>
      <c r="B214" s="182"/>
      <c r="C214" s="149"/>
      <c r="D214" s="95"/>
      <c r="E214" s="149"/>
      <c r="F214" s="149"/>
      <c r="G214" s="95"/>
      <c r="H214" s="149"/>
      <c r="I214" s="95"/>
      <c r="J214" s="95"/>
      <c r="K214" s="113"/>
      <c r="L214" s="113"/>
      <c r="M214" s="100"/>
      <c r="N214" s="127"/>
      <c r="O214" s="128"/>
      <c r="P214" s="95"/>
      <c r="Q214" s="137"/>
      <c r="R214" s="129"/>
      <c r="S214" s="95"/>
      <c r="T214" s="95"/>
      <c r="V214" s="107"/>
    </row>
    <row r="215" ht="15.75" customHeight="1">
      <c r="A215" s="89"/>
      <c r="B215" s="182"/>
      <c r="C215" s="149"/>
      <c r="D215" s="95"/>
      <c r="E215" s="149"/>
      <c r="F215" s="149"/>
      <c r="G215" s="95"/>
      <c r="H215" s="149"/>
      <c r="I215" s="95"/>
      <c r="J215" s="95"/>
      <c r="K215" s="99"/>
      <c r="L215" s="99"/>
      <c r="M215" s="100"/>
      <c r="N215" s="127"/>
      <c r="O215" s="128"/>
      <c r="P215" s="95"/>
      <c r="Q215" s="137"/>
      <c r="R215" s="129"/>
      <c r="S215" s="95"/>
      <c r="T215" s="95"/>
      <c r="V215" s="107"/>
    </row>
    <row r="216" ht="15.75" customHeight="1">
      <c r="A216" s="89"/>
      <c r="B216" s="182"/>
      <c r="C216" s="149"/>
      <c r="D216" s="95"/>
      <c r="E216" s="149"/>
      <c r="F216" s="149"/>
      <c r="G216" s="95"/>
      <c r="H216" s="149"/>
      <c r="I216" s="95"/>
      <c r="J216" s="95"/>
      <c r="K216" s="113"/>
      <c r="L216" s="113"/>
      <c r="M216" s="100"/>
      <c r="N216" s="127"/>
      <c r="O216" s="128"/>
      <c r="P216" s="95"/>
      <c r="Q216" s="137"/>
      <c r="R216" s="129"/>
      <c r="S216" s="95"/>
      <c r="T216" s="95"/>
      <c r="V216" s="107"/>
    </row>
    <row r="217" ht="15.75" customHeight="1">
      <c r="A217" s="89"/>
      <c r="B217" s="182"/>
      <c r="C217" s="107"/>
      <c r="D217" s="95"/>
      <c r="E217" s="149"/>
      <c r="F217" s="149"/>
      <c r="G217" s="95"/>
      <c r="H217" s="149"/>
      <c r="I217" s="95"/>
      <c r="J217" s="95"/>
      <c r="K217" s="99"/>
      <c r="L217" s="99"/>
      <c r="M217" s="100"/>
      <c r="N217" s="127"/>
      <c r="O217" s="128"/>
      <c r="P217" s="95"/>
      <c r="Q217" s="137"/>
      <c r="R217" s="129"/>
      <c r="S217" s="95"/>
      <c r="T217" s="95"/>
      <c r="V217" s="107"/>
    </row>
    <row r="218" ht="15.75" customHeight="1">
      <c r="A218" s="89"/>
      <c r="B218" s="182"/>
      <c r="C218" s="149"/>
      <c r="D218" s="95"/>
      <c r="E218" s="149"/>
      <c r="F218" s="149"/>
      <c r="G218" s="95"/>
      <c r="H218" s="149"/>
      <c r="I218" s="95"/>
      <c r="J218" s="95"/>
      <c r="K218" s="113"/>
      <c r="L218" s="113"/>
      <c r="M218" s="100"/>
      <c r="N218" s="127"/>
      <c r="O218" s="128"/>
      <c r="P218" s="95"/>
      <c r="Q218" s="137"/>
      <c r="R218" s="129"/>
      <c r="S218" s="95"/>
      <c r="T218" s="95"/>
      <c r="V218" s="107"/>
    </row>
    <row r="219" ht="15.75" customHeight="1">
      <c r="A219" s="89"/>
      <c r="B219" s="182"/>
      <c r="C219" s="149"/>
      <c r="D219" s="95"/>
      <c r="E219" s="149"/>
      <c r="F219" s="149"/>
      <c r="G219" s="95"/>
      <c r="H219" s="149"/>
      <c r="I219" s="95"/>
      <c r="J219" s="95"/>
      <c r="K219" s="99"/>
      <c r="L219" s="99"/>
      <c r="M219" s="100"/>
      <c r="N219" s="127"/>
      <c r="O219" s="128"/>
      <c r="P219" s="95"/>
      <c r="Q219" s="137"/>
      <c r="R219" s="129"/>
      <c r="S219" s="95"/>
      <c r="T219" s="95"/>
      <c r="V219" s="107"/>
    </row>
    <row r="220" ht="15.75" customHeight="1">
      <c r="A220" s="89"/>
      <c r="B220" s="182"/>
      <c r="C220" s="149"/>
      <c r="D220" s="95"/>
      <c r="E220" s="149"/>
      <c r="F220" s="149"/>
      <c r="G220" s="95"/>
      <c r="H220" s="149"/>
      <c r="I220" s="95"/>
      <c r="J220" s="95"/>
      <c r="K220" s="113"/>
      <c r="L220" s="113"/>
      <c r="M220" s="100"/>
      <c r="N220" s="127"/>
      <c r="O220" s="128"/>
      <c r="P220" s="95"/>
      <c r="Q220" s="137"/>
      <c r="R220" s="129"/>
      <c r="S220" s="95"/>
      <c r="T220" s="95"/>
      <c r="V220" s="107"/>
    </row>
    <row r="221" ht="15.75" customHeight="1">
      <c r="A221" s="89"/>
      <c r="B221" s="182"/>
      <c r="C221" s="149"/>
      <c r="D221" s="95"/>
      <c r="E221" s="149"/>
      <c r="F221" s="149"/>
      <c r="G221" s="95"/>
      <c r="H221" s="149"/>
      <c r="I221" s="95"/>
      <c r="J221" s="95"/>
      <c r="K221" s="99"/>
      <c r="L221" s="99"/>
      <c r="M221" s="100"/>
      <c r="N221" s="127"/>
      <c r="O221" s="128"/>
      <c r="P221" s="95"/>
      <c r="Q221" s="137"/>
      <c r="R221" s="129"/>
      <c r="S221" s="95"/>
      <c r="T221" s="95"/>
      <c r="V221" s="107"/>
    </row>
    <row r="222" ht="15.75" customHeight="1">
      <c r="A222" s="89"/>
      <c r="B222" s="182"/>
      <c r="C222" s="149"/>
      <c r="D222" s="95"/>
      <c r="E222" s="149"/>
      <c r="F222" s="149"/>
      <c r="G222" s="95"/>
      <c r="H222" s="149"/>
      <c r="I222" s="95"/>
      <c r="J222" s="95"/>
      <c r="K222" s="113"/>
      <c r="L222" s="113"/>
      <c r="M222" s="100"/>
      <c r="N222" s="127"/>
      <c r="O222" s="128"/>
      <c r="P222" s="95"/>
      <c r="Q222" s="137"/>
      <c r="R222" s="129"/>
      <c r="S222" s="95"/>
      <c r="T222" s="95"/>
      <c r="V222" s="107"/>
    </row>
    <row r="223" ht="15.75" customHeight="1">
      <c r="A223" s="89"/>
      <c r="B223" s="182"/>
      <c r="C223" s="107"/>
      <c r="D223" s="95"/>
      <c r="E223" s="149"/>
      <c r="F223" s="149"/>
      <c r="G223" s="95"/>
      <c r="H223" s="149"/>
      <c r="I223" s="95"/>
      <c r="J223" s="95"/>
      <c r="K223" s="99"/>
      <c r="L223" s="99"/>
      <c r="M223" s="100"/>
      <c r="N223" s="127"/>
      <c r="O223" s="128"/>
      <c r="P223" s="95"/>
      <c r="Q223" s="137"/>
      <c r="R223" s="129"/>
      <c r="S223" s="95"/>
      <c r="T223" s="95"/>
      <c r="V223" s="107"/>
    </row>
    <row r="224" ht="15.75" customHeight="1">
      <c r="A224" s="89"/>
      <c r="B224" s="182"/>
      <c r="C224" s="149"/>
      <c r="D224" s="95"/>
      <c r="E224" s="149"/>
      <c r="F224" s="149"/>
      <c r="G224" s="95"/>
      <c r="H224" s="149"/>
      <c r="I224" s="95"/>
      <c r="J224" s="95"/>
      <c r="K224" s="113"/>
      <c r="L224" s="113"/>
      <c r="M224" s="100"/>
      <c r="N224" s="127"/>
      <c r="O224" s="128"/>
      <c r="P224" s="95"/>
      <c r="Q224" s="137"/>
      <c r="R224" s="129"/>
      <c r="S224" s="95"/>
      <c r="T224" s="95"/>
      <c r="V224" s="107"/>
    </row>
    <row r="225" ht="15.75" customHeight="1">
      <c r="A225" s="89"/>
      <c r="B225" s="182"/>
      <c r="C225" s="149"/>
      <c r="D225" s="95"/>
      <c r="E225" s="149"/>
      <c r="F225" s="149"/>
      <c r="G225" s="95"/>
      <c r="H225" s="149"/>
      <c r="I225" s="95"/>
      <c r="J225" s="95"/>
      <c r="K225" s="99"/>
      <c r="L225" s="99"/>
      <c r="M225" s="100"/>
      <c r="N225" s="127"/>
      <c r="O225" s="128"/>
      <c r="P225" s="95"/>
      <c r="Q225" s="137"/>
      <c r="R225" s="129"/>
      <c r="S225" s="95"/>
      <c r="T225" s="95"/>
      <c r="V225" s="107"/>
    </row>
    <row r="226" ht="15.75" customHeight="1">
      <c r="A226" s="89"/>
      <c r="B226" s="182"/>
      <c r="C226" s="149"/>
      <c r="D226" s="95"/>
      <c r="E226" s="149"/>
      <c r="F226" s="149"/>
      <c r="G226" s="95"/>
      <c r="H226" s="149"/>
      <c r="I226" s="95"/>
      <c r="J226" s="95"/>
      <c r="K226" s="113"/>
      <c r="L226" s="113"/>
      <c r="M226" s="100"/>
      <c r="N226" s="127"/>
      <c r="O226" s="128"/>
      <c r="P226" s="95"/>
      <c r="Q226" s="137"/>
      <c r="R226" s="129"/>
      <c r="S226" s="95"/>
      <c r="T226" s="95"/>
      <c r="V226" s="107"/>
    </row>
    <row r="227" ht="15.75" customHeight="1">
      <c r="A227" s="89"/>
      <c r="B227" s="182"/>
      <c r="C227" s="149"/>
      <c r="D227" s="95"/>
      <c r="E227" s="149"/>
      <c r="F227" s="149"/>
      <c r="G227" s="95"/>
      <c r="H227" s="149"/>
      <c r="I227" s="95"/>
      <c r="J227" s="95"/>
      <c r="K227" s="99"/>
      <c r="L227" s="99"/>
      <c r="M227" s="100"/>
      <c r="N227" s="127"/>
      <c r="O227" s="128"/>
      <c r="P227" s="95"/>
      <c r="Q227" s="137"/>
      <c r="R227" s="129"/>
      <c r="S227" s="95"/>
      <c r="T227" s="95"/>
      <c r="V227" s="107"/>
    </row>
    <row r="228" ht="15.75" customHeight="1">
      <c r="A228" s="89"/>
      <c r="B228" s="182"/>
      <c r="C228" s="149"/>
      <c r="D228" s="95"/>
      <c r="E228" s="149"/>
      <c r="F228" s="149"/>
      <c r="G228" s="95"/>
      <c r="H228" s="149"/>
      <c r="I228" s="95"/>
      <c r="J228" s="95"/>
      <c r="K228" s="113"/>
      <c r="L228" s="113"/>
      <c r="M228" s="100"/>
      <c r="N228" s="127"/>
      <c r="O228" s="128"/>
      <c r="P228" s="95"/>
      <c r="Q228" s="137"/>
      <c r="R228" s="129"/>
      <c r="S228" s="95"/>
      <c r="T228" s="95"/>
      <c r="V228" s="107"/>
    </row>
    <row r="229" ht="15.75" customHeight="1">
      <c r="A229" s="89"/>
      <c r="B229" s="182"/>
      <c r="C229" s="107"/>
      <c r="D229" s="95"/>
      <c r="E229" s="149"/>
      <c r="F229" s="149"/>
      <c r="G229" s="95"/>
      <c r="H229" s="149"/>
      <c r="I229" s="95"/>
      <c r="J229" s="95"/>
      <c r="K229" s="99"/>
      <c r="L229" s="99"/>
      <c r="M229" s="100"/>
      <c r="N229" s="127"/>
      <c r="O229" s="128"/>
      <c r="P229" s="95"/>
      <c r="Q229" s="137"/>
      <c r="R229" s="129"/>
      <c r="S229" s="95"/>
      <c r="T229" s="95"/>
      <c r="V229" s="107"/>
    </row>
    <row r="230" ht="15.75" customHeight="1">
      <c r="A230" s="89"/>
      <c r="B230" s="182"/>
      <c r="C230" s="149"/>
      <c r="D230" s="95"/>
      <c r="E230" s="149"/>
      <c r="F230" s="149"/>
      <c r="G230" s="95"/>
      <c r="H230" s="149"/>
      <c r="I230" s="95"/>
      <c r="J230" s="95"/>
      <c r="K230" s="113"/>
      <c r="L230" s="113"/>
      <c r="M230" s="100"/>
      <c r="N230" s="127"/>
      <c r="O230" s="128"/>
      <c r="P230" s="95"/>
      <c r="Q230" s="137"/>
      <c r="R230" s="129"/>
      <c r="S230" s="95"/>
      <c r="T230" s="95"/>
      <c r="V230" s="107"/>
    </row>
    <row r="231" ht="15.75" customHeight="1">
      <c r="A231" s="89"/>
      <c r="B231" s="182"/>
      <c r="C231" s="149"/>
      <c r="D231" s="95"/>
      <c r="E231" s="149"/>
      <c r="F231" s="149"/>
      <c r="G231" s="95"/>
      <c r="H231" s="149"/>
      <c r="I231" s="95"/>
      <c r="J231" s="95"/>
      <c r="K231" s="99"/>
      <c r="L231" s="99"/>
      <c r="M231" s="100"/>
      <c r="N231" s="127"/>
      <c r="O231" s="128"/>
      <c r="P231" s="95"/>
      <c r="Q231" s="137"/>
      <c r="R231" s="129"/>
      <c r="S231" s="95"/>
      <c r="T231" s="95"/>
      <c r="V231" s="107"/>
    </row>
    <row r="232" ht="15.75" customHeight="1">
      <c r="A232" s="89"/>
      <c r="B232" s="182"/>
      <c r="C232" s="149"/>
      <c r="D232" s="95"/>
      <c r="E232" s="149"/>
      <c r="F232" s="149"/>
      <c r="G232" s="95"/>
      <c r="H232" s="149"/>
      <c r="I232" s="95"/>
      <c r="J232" s="95"/>
      <c r="K232" s="113"/>
      <c r="L232" s="113"/>
      <c r="M232" s="100"/>
      <c r="N232" s="127"/>
      <c r="O232" s="128"/>
      <c r="P232" s="95"/>
      <c r="Q232" s="137"/>
      <c r="R232" s="129"/>
      <c r="S232" s="95"/>
      <c r="T232" s="95"/>
      <c r="V232" s="107"/>
    </row>
    <row r="233" ht="15.75" customHeight="1">
      <c r="A233" s="89"/>
      <c r="B233" s="182"/>
      <c r="C233" s="149"/>
      <c r="D233" s="95"/>
      <c r="E233" s="149"/>
      <c r="F233" s="149"/>
      <c r="G233" s="95"/>
      <c r="H233" s="149"/>
      <c r="I233" s="95"/>
      <c r="J233" s="95"/>
      <c r="K233" s="99"/>
      <c r="L233" s="99"/>
      <c r="M233" s="100"/>
      <c r="N233" s="127"/>
      <c r="O233" s="128"/>
      <c r="P233" s="95"/>
      <c r="Q233" s="137"/>
      <c r="R233" s="129"/>
      <c r="S233" s="95"/>
      <c r="T233" s="95"/>
      <c r="V233" s="107"/>
    </row>
    <row r="234" ht="15.75" customHeight="1">
      <c r="A234" s="89"/>
      <c r="B234" s="182"/>
      <c r="C234" s="149"/>
      <c r="D234" s="95"/>
      <c r="E234" s="149"/>
      <c r="F234" s="149"/>
      <c r="G234" s="95"/>
      <c r="H234" s="149"/>
      <c r="I234" s="95"/>
      <c r="J234" s="95"/>
      <c r="K234" s="113"/>
      <c r="L234" s="113"/>
      <c r="M234" s="100"/>
      <c r="N234" s="127"/>
      <c r="O234" s="128"/>
      <c r="P234" s="95"/>
      <c r="Q234" s="137"/>
      <c r="R234" s="129"/>
      <c r="S234" s="95"/>
      <c r="T234" s="95"/>
      <c r="V234" s="107"/>
    </row>
    <row r="235" ht="15.75" customHeight="1">
      <c r="A235" s="89"/>
      <c r="B235" s="182"/>
      <c r="C235" s="107"/>
      <c r="D235" s="95"/>
      <c r="E235" s="149"/>
      <c r="F235" s="149"/>
      <c r="G235" s="95"/>
      <c r="H235" s="149"/>
      <c r="I235" s="95"/>
      <c r="J235" s="95"/>
      <c r="K235" s="99"/>
      <c r="L235" s="99"/>
      <c r="M235" s="100"/>
      <c r="N235" s="127"/>
      <c r="O235" s="128"/>
      <c r="P235" s="95"/>
      <c r="Q235" s="137"/>
      <c r="R235" s="129"/>
      <c r="S235" s="95"/>
      <c r="T235" s="95"/>
      <c r="V235" s="107"/>
    </row>
    <row r="236" ht="15.75" customHeight="1">
      <c r="A236" s="89"/>
      <c r="B236" s="182"/>
      <c r="C236" s="149"/>
      <c r="D236" s="95"/>
      <c r="E236" s="149"/>
      <c r="F236" s="149"/>
      <c r="G236" s="95"/>
      <c r="H236" s="149"/>
      <c r="I236" s="95"/>
      <c r="J236" s="95"/>
      <c r="K236" s="113"/>
      <c r="L236" s="113"/>
      <c r="M236" s="100"/>
      <c r="N236" s="127"/>
      <c r="O236" s="128"/>
      <c r="P236" s="95"/>
      <c r="Q236" s="137"/>
      <c r="R236" s="129"/>
      <c r="S236" s="95"/>
      <c r="T236" s="95"/>
      <c r="V236" s="107"/>
    </row>
    <row r="237" ht="15.75" customHeight="1">
      <c r="A237" s="89"/>
      <c r="B237" s="182"/>
      <c r="C237" s="149"/>
      <c r="D237" s="95"/>
      <c r="E237" s="149"/>
      <c r="F237" s="149"/>
      <c r="G237" s="95"/>
      <c r="H237" s="149"/>
      <c r="I237" s="95"/>
      <c r="J237" s="95"/>
      <c r="K237" s="99"/>
      <c r="L237" s="99"/>
      <c r="M237" s="100"/>
      <c r="N237" s="127"/>
      <c r="O237" s="128"/>
      <c r="P237" s="95"/>
      <c r="Q237" s="137"/>
      <c r="R237" s="129"/>
      <c r="S237" s="95"/>
      <c r="T237" s="95"/>
      <c r="V237" s="107"/>
    </row>
    <row r="238" ht="15.75" customHeight="1">
      <c r="A238" s="89"/>
      <c r="B238" s="182"/>
      <c r="C238" s="149"/>
      <c r="D238" s="95"/>
      <c r="E238" s="149"/>
      <c r="F238" s="149"/>
      <c r="G238" s="95"/>
      <c r="H238" s="149"/>
      <c r="I238" s="95"/>
      <c r="J238" s="95"/>
      <c r="K238" s="113"/>
      <c r="L238" s="113"/>
      <c r="M238" s="100"/>
      <c r="N238" s="127"/>
      <c r="O238" s="128"/>
      <c r="P238" s="95"/>
      <c r="Q238" s="137"/>
      <c r="R238" s="129"/>
      <c r="S238" s="95"/>
      <c r="T238" s="95"/>
      <c r="V238" s="107"/>
    </row>
    <row r="239" ht="15.75" customHeight="1">
      <c r="A239" s="89"/>
      <c r="B239" s="182"/>
      <c r="C239" s="149"/>
      <c r="D239" s="95"/>
      <c r="E239" s="149"/>
      <c r="F239" s="149"/>
      <c r="G239" s="95"/>
      <c r="H239" s="149"/>
      <c r="I239" s="95"/>
      <c r="J239" s="95"/>
      <c r="K239" s="99"/>
      <c r="L239" s="99"/>
      <c r="M239" s="100"/>
      <c r="N239" s="127"/>
      <c r="O239" s="128"/>
      <c r="P239" s="95"/>
      <c r="Q239" s="137"/>
      <c r="R239" s="129"/>
      <c r="S239" s="95"/>
      <c r="T239" s="95"/>
      <c r="V239" s="107"/>
    </row>
    <row r="240" ht="15.75" customHeight="1">
      <c r="A240" s="89"/>
      <c r="B240" s="182"/>
      <c r="C240" s="149"/>
      <c r="D240" s="95"/>
      <c r="E240" s="149"/>
      <c r="F240" s="149"/>
      <c r="G240" s="95"/>
      <c r="H240" s="149"/>
      <c r="I240" s="95"/>
      <c r="J240" s="95"/>
      <c r="K240" s="113"/>
      <c r="L240" s="113"/>
      <c r="M240" s="100"/>
      <c r="N240" s="127"/>
      <c r="O240" s="128"/>
      <c r="P240" s="95"/>
      <c r="Q240" s="137"/>
      <c r="R240" s="129"/>
      <c r="S240" s="95"/>
      <c r="T240" s="95"/>
      <c r="V240" s="107"/>
    </row>
    <row r="241" ht="15.75" customHeight="1">
      <c r="A241" s="89"/>
      <c r="B241" s="182"/>
      <c r="C241" s="107"/>
      <c r="D241" s="95"/>
      <c r="E241" s="149"/>
      <c r="F241" s="149"/>
      <c r="G241" s="95"/>
      <c r="H241" s="149"/>
      <c r="I241" s="95"/>
      <c r="J241" s="95"/>
      <c r="K241" s="99"/>
      <c r="L241" s="99"/>
      <c r="M241" s="100"/>
      <c r="N241" s="127"/>
      <c r="O241" s="128"/>
      <c r="P241" s="95"/>
      <c r="Q241" s="137"/>
      <c r="R241" s="129"/>
      <c r="S241" s="95"/>
      <c r="T241" s="95"/>
      <c r="V241" s="107"/>
    </row>
    <row r="242" ht="15.75" customHeight="1">
      <c r="A242" s="89"/>
      <c r="B242" s="182"/>
      <c r="C242" s="149"/>
      <c r="D242" s="95"/>
      <c r="E242" s="149"/>
      <c r="F242" s="149"/>
      <c r="G242" s="95"/>
      <c r="H242" s="149"/>
      <c r="I242" s="95"/>
      <c r="J242" s="95"/>
      <c r="K242" s="113"/>
      <c r="L242" s="113"/>
      <c r="M242" s="100"/>
      <c r="N242" s="127"/>
      <c r="O242" s="128"/>
      <c r="P242" s="95"/>
      <c r="Q242" s="137"/>
      <c r="R242" s="129"/>
      <c r="S242" s="95"/>
      <c r="T242" s="95"/>
      <c r="V242" s="107"/>
    </row>
    <row r="243" ht="15.75" customHeight="1">
      <c r="A243" s="89"/>
      <c r="B243" s="182"/>
      <c r="C243" s="149"/>
      <c r="D243" s="95"/>
      <c r="E243" s="149"/>
      <c r="F243" s="149"/>
      <c r="G243" s="95"/>
      <c r="H243" s="149"/>
      <c r="I243" s="95"/>
      <c r="J243" s="95"/>
      <c r="K243" s="99"/>
      <c r="L243" s="99"/>
      <c r="M243" s="100"/>
      <c r="N243" s="127"/>
      <c r="O243" s="128"/>
      <c r="P243" s="95"/>
      <c r="Q243" s="137"/>
      <c r="R243" s="129"/>
      <c r="S243" s="95"/>
      <c r="T243" s="95"/>
      <c r="V243" s="107"/>
    </row>
    <row r="244" ht="15.75" customHeight="1">
      <c r="A244" s="89"/>
      <c r="B244" s="182"/>
      <c r="C244" s="149"/>
      <c r="D244" s="95"/>
      <c r="E244" s="149"/>
      <c r="F244" s="149"/>
      <c r="G244" s="95"/>
      <c r="H244" s="149"/>
      <c r="I244" s="95"/>
      <c r="J244" s="95"/>
      <c r="K244" s="154"/>
      <c r="L244" s="154"/>
      <c r="M244" s="100"/>
      <c r="N244" s="127"/>
      <c r="O244" s="128"/>
      <c r="P244" s="95"/>
      <c r="Q244" s="137"/>
      <c r="R244" s="129"/>
      <c r="S244" s="95"/>
      <c r="T244" s="95"/>
      <c r="V244" s="107"/>
    </row>
    <row r="245" ht="15.75" customHeight="1">
      <c r="A245" s="89"/>
      <c r="B245" s="182"/>
      <c r="C245" s="149"/>
      <c r="D245" s="95"/>
      <c r="E245" s="149"/>
      <c r="F245" s="149"/>
      <c r="G245" s="95"/>
      <c r="H245" s="149"/>
      <c r="I245" s="95"/>
      <c r="J245" s="95"/>
      <c r="K245" s="156"/>
      <c r="L245" s="156"/>
      <c r="M245" s="100"/>
      <c r="N245" s="127"/>
      <c r="O245" s="128"/>
      <c r="P245" s="95"/>
      <c r="Q245" s="137"/>
      <c r="R245" s="129"/>
      <c r="S245" s="95"/>
      <c r="T245" s="95"/>
      <c r="V245" s="107"/>
    </row>
    <row r="246" ht="15.75" customHeight="1">
      <c r="A246" s="89"/>
      <c r="B246" s="182"/>
      <c r="C246" s="149"/>
      <c r="D246" s="95"/>
      <c r="E246" s="149"/>
      <c r="F246" s="149"/>
      <c r="G246" s="95"/>
      <c r="H246" s="149"/>
      <c r="I246" s="95"/>
      <c r="J246" s="95"/>
      <c r="K246" s="154"/>
      <c r="L246" s="154"/>
      <c r="M246" s="100"/>
      <c r="N246" s="127"/>
      <c r="O246" s="128"/>
      <c r="P246" s="95"/>
      <c r="Q246" s="137"/>
      <c r="R246" s="129"/>
      <c r="S246" s="95"/>
      <c r="T246" s="95"/>
      <c r="V246" s="107"/>
    </row>
    <row r="247" ht="15.75" customHeight="1">
      <c r="A247" s="89"/>
      <c r="B247" s="182"/>
      <c r="C247" s="107"/>
      <c r="D247" s="95"/>
      <c r="E247" s="149"/>
      <c r="F247" s="149"/>
      <c r="G247" s="95"/>
      <c r="H247" s="149"/>
      <c r="I247" s="95"/>
      <c r="J247" s="95"/>
      <c r="K247" s="156"/>
      <c r="L247" s="156"/>
      <c r="M247" s="100"/>
      <c r="N247" s="127"/>
      <c r="O247" s="128"/>
      <c r="P247" s="95"/>
      <c r="Q247" s="137"/>
      <c r="R247" s="129"/>
      <c r="S247" s="95"/>
      <c r="T247" s="95"/>
      <c r="V247" s="107"/>
    </row>
    <row r="248" ht="15.75" customHeight="1">
      <c r="A248" s="89"/>
      <c r="B248" s="182"/>
      <c r="C248" s="149"/>
      <c r="D248" s="95"/>
      <c r="E248" s="149"/>
      <c r="F248" s="149"/>
      <c r="G248" s="95"/>
      <c r="H248" s="149"/>
      <c r="I248" s="95"/>
      <c r="J248" s="95"/>
      <c r="K248" s="154"/>
      <c r="L248" s="154"/>
      <c r="M248" s="100"/>
      <c r="N248" s="127"/>
      <c r="O248" s="128"/>
      <c r="P248" s="95"/>
      <c r="Q248" s="137"/>
      <c r="R248" s="129"/>
      <c r="S248" s="95"/>
      <c r="T248" s="95"/>
      <c r="V248" s="107"/>
    </row>
    <row r="249" ht="15.75" customHeight="1">
      <c r="A249" s="89"/>
      <c r="B249" s="182"/>
      <c r="C249" s="149"/>
      <c r="D249" s="95"/>
      <c r="E249" s="149"/>
      <c r="F249" s="149"/>
      <c r="G249" s="95"/>
      <c r="H249" s="149"/>
      <c r="I249" s="95"/>
      <c r="J249" s="95"/>
      <c r="K249" s="156"/>
      <c r="L249" s="156"/>
      <c r="M249" s="100"/>
      <c r="N249" s="127"/>
      <c r="O249" s="128"/>
      <c r="P249" s="95"/>
      <c r="Q249" s="137"/>
      <c r="R249" s="129"/>
      <c r="S249" s="95"/>
      <c r="T249" s="95"/>
      <c r="V249" s="107"/>
    </row>
    <row r="250" ht="15.75" customHeight="1">
      <c r="A250" s="89"/>
      <c r="B250" s="182"/>
      <c r="C250" s="149"/>
      <c r="D250" s="95"/>
      <c r="E250" s="149"/>
      <c r="F250" s="149"/>
      <c r="G250" s="95"/>
      <c r="H250" s="149"/>
      <c r="I250" s="95"/>
      <c r="J250" s="95"/>
      <c r="K250" s="154"/>
      <c r="L250" s="154"/>
      <c r="M250" s="100"/>
      <c r="N250" s="127"/>
      <c r="O250" s="128"/>
      <c r="P250" s="95"/>
      <c r="Q250" s="137"/>
      <c r="R250" s="129"/>
      <c r="S250" s="95"/>
      <c r="T250" s="95"/>
      <c r="V250" s="107"/>
    </row>
    <row r="251" ht="15.75" customHeight="1">
      <c r="A251" s="89"/>
      <c r="B251" s="182"/>
      <c r="C251" s="149"/>
      <c r="D251" s="95"/>
      <c r="E251" s="149"/>
      <c r="F251" s="149"/>
      <c r="G251" s="95"/>
      <c r="H251" s="149"/>
      <c r="I251" s="95"/>
      <c r="J251" s="95"/>
      <c r="K251" s="156"/>
      <c r="L251" s="156"/>
      <c r="M251" s="100"/>
      <c r="N251" s="127"/>
      <c r="O251" s="128"/>
      <c r="P251" s="95"/>
      <c r="Q251" s="137"/>
      <c r="R251" s="129"/>
      <c r="S251" s="95"/>
      <c r="T251" s="95"/>
      <c r="V251" s="107"/>
    </row>
    <row r="252" ht="15.75" customHeight="1">
      <c r="A252" s="89"/>
      <c r="B252" s="182"/>
      <c r="C252" s="149"/>
      <c r="D252" s="95"/>
      <c r="E252" s="149"/>
      <c r="F252" s="149"/>
      <c r="G252" s="95"/>
      <c r="H252" s="149"/>
      <c r="I252" s="95"/>
      <c r="J252" s="95"/>
      <c r="K252" s="154"/>
      <c r="L252" s="154"/>
      <c r="M252" s="100"/>
      <c r="N252" s="127"/>
      <c r="O252" s="128"/>
      <c r="P252" s="95"/>
      <c r="Q252" s="137"/>
      <c r="R252" s="129"/>
      <c r="S252" s="95"/>
      <c r="T252" s="95"/>
      <c r="V252" s="107"/>
    </row>
    <row r="253" ht="15.75" customHeight="1">
      <c r="A253" s="89"/>
      <c r="B253" s="182"/>
      <c r="C253" s="107"/>
      <c r="D253" s="95"/>
      <c r="E253" s="149"/>
      <c r="F253" s="149"/>
      <c r="G253" s="95"/>
      <c r="H253" s="149"/>
      <c r="I253" s="95"/>
      <c r="J253" s="95"/>
      <c r="K253" s="156"/>
      <c r="L253" s="156"/>
      <c r="M253" s="100"/>
      <c r="N253" s="127"/>
      <c r="O253" s="128"/>
      <c r="P253" s="95"/>
      <c r="Q253" s="137"/>
      <c r="R253" s="129"/>
      <c r="S253" s="95"/>
      <c r="T253" s="95"/>
      <c r="V253" s="107"/>
    </row>
    <row r="254" ht="15.75" customHeight="1">
      <c r="A254" s="89"/>
      <c r="B254" s="182"/>
      <c r="C254" s="149"/>
      <c r="D254" s="95"/>
      <c r="E254" s="149"/>
      <c r="F254" s="149"/>
      <c r="G254" s="95"/>
      <c r="H254" s="149"/>
      <c r="I254" s="95"/>
      <c r="J254" s="95"/>
      <c r="K254" s="154"/>
      <c r="L254" s="154"/>
      <c r="M254" s="100"/>
      <c r="N254" s="127"/>
      <c r="O254" s="128"/>
      <c r="P254" s="95"/>
      <c r="Q254" s="137"/>
      <c r="R254" s="129"/>
      <c r="S254" s="95"/>
      <c r="T254" s="95"/>
      <c r="V254" s="107"/>
    </row>
    <row r="255" ht="15.75" customHeight="1">
      <c r="A255" s="89"/>
      <c r="B255" s="182"/>
      <c r="C255" s="149"/>
      <c r="D255" s="95"/>
      <c r="E255" s="149"/>
      <c r="F255" s="149"/>
      <c r="G255" s="95"/>
      <c r="H255" s="149"/>
      <c r="I255" s="95"/>
      <c r="J255" s="95"/>
      <c r="K255" s="156"/>
      <c r="L255" s="156"/>
      <c r="M255" s="100"/>
      <c r="N255" s="127"/>
      <c r="O255" s="128"/>
      <c r="P255" s="95"/>
      <c r="Q255" s="137"/>
      <c r="R255" s="129"/>
      <c r="S255" s="95"/>
      <c r="T255" s="95"/>
      <c r="V255" s="107"/>
    </row>
    <row r="256" ht="15.75" customHeight="1">
      <c r="A256" s="89"/>
      <c r="B256" s="182"/>
      <c r="C256" s="149"/>
      <c r="D256" s="95"/>
      <c r="E256" s="149"/>
      <c r="F256" s="149"/>
      <c r="G256" s="95"/>
      <c r="H256" s="149"/>
      <c r="I256" s="95"/>
      <c r="J256" s="95"/>
      <c r="K256" s="154"/>
      <c r="L256" s="154"/>
      <c r="M256" s="100"/>
      <c r="N256" s="127"/>
      <c r="O256" s="128"/>
      <c r="P256" s="95"/>
      <c r="Q256" s="137"/>
      <c r="R256" s="129"/>
      <c r="S256" s="95"/>
      <c r="T256" s="95"/>
      <c r="V256" s="107"/>
    </row>
    <row r="257" ht="15.75" customHeight="1">
      <c r="A257" s="89"/>
      <c r="B257" s="182"/>
      <c r="C257" s="149"/>
      <c r="D257" s="95"/>
      <c r="E257" s="149"/>
      <c r="F257" s="149"/>
      <c r="G257" s="95"/>
      <c r="H257" s="149"/>
      <c r="I257" s="95"/>
      <c r="J257" s="95"/>
      <c r="K257" s="156"/>
      <c r="L257" s="156"/>
      <c r="M257" s="100"/>
      <c r="N257" s="127"/>
      <c r="O257" s="128"/>
      <c r="P257" s="95"/>
      <c r="Q257" s="137"/>
      <c r="R257" s="129"/>
      <c r="S257" s="95"/>
      <c r="T257" s="95"/>
      <c r="V257" s="107"/>
    </row>
    <row r="258" ht="15.75" customHeight="1">
      <c r="A258" s="89"/>
      <c r="B258" s="182"/>
      <c r="C258" s="149"/>
      <c r="D258" s="95"/>
      <c r="E258" s="149"/>
      <c r="F258" s="149"/>
      <c r="G258" s="95"/>
      <c r="H258" s="149"/>
      <c r="I258" s="95"/>
      <c r="J258" s="95"/>
      <c r="K258" s="154"/>
      <c r="L258" s="154"/>
      <c r="M258" s="100"/>
      <c r="N258" s="127"/>
      <c r="O258" s="128"/>
      <c r="P258" s="95"/>
      <c r="Q258" s="137"/>
      <c r="R258" s="129"/>
      <c r="S258" s="95"/>
      <c r="T258" s="95"/>
      <c r="V258" s="107"/>
    </row>
    <row r="259" ht="15.75" customHeight="1">
      <c r="A259" s="89"/>
      <c r="B259" s="182"/>
      <c r="C259" s="107"/>
      <c r="D259" s="95"/>
      <c r="E259" s="149"/>
      <c r="F259" s="149"/>
      <c r="G259" s="95"/>
      <c r="H259" s="149"/>
      <c r="I259" s="95"/>
      <c r="J259" s="95"/>
      <c r="K259" s="156"/>
      <c r="L259" s="156"/>
      <c r="M259" s="100"/>
      <c r="N259" s="127"/>
      <c r="O259" s="128"/>
      <c r="P259" s="95"/>
      <c r="Q259" s="137"/>
      <c r="R259" s="129"/>
      <c r="S259" s="95"/>
      <c r="T259" s="95"/>
      <c r="V259" s="107"/>
    </row>
    <row r="260" ht="15.75" customHeight="1">
      <c r="A260" s="89"/>
      <c r="B260" s="182"/>
      <c r="C260" s="149"/>
      <c r="D260" s="95"/>
      <c r="E260" s="149"/>
      <c r="F260" s="149"/>
      <c r="G260" s="95"/>
      <c r="H260" s="149"/>
      <c r="I260" s="95"/>
      <c r="J260" s="95"/>
      <c r="K260" s="154"/>
      <c r="L260" s="154"/>
      <c r="M260" s="100"/>
      <c r="N260" s="127"/>
      <c r="O260" s="128"/>
      <c r="P260" s="95"/>
      <c r="Q260" s="137"/>
      <c r="R260" s="129"/>
      <c r="S260" s="95"/>
      <c r="T260" s="95"/>
      <c r="V260" s="107"/>
    </row>
    <row r="261" ht="15.75" customHeight="1">
      <c r="A261" s="89"/>
      <c r="B261" s="182"/>
      <c r="C261" s="149"/>
      <c r="D261" s="95"/>
      <c r="E261" s="149"/>
      <c r="F261" s="149"/>
      <c r="G261" s="95"/>
      <c r="H261" s="149"/>
      <c r="I261" s="95"/>
      <c r="J261" s="95"/>
      <c r="K261" s="156"/>
      <c r="L261" s="156"/>
      <c r="M261" s="100"/>
      <c r="N261" s="127"/>
      <c r="O261" s="128"/>
      <c r="P261" s="95"/>
      <c r="Q261" s="137"/>
      <c r="R261" s="129"/>
      <c r="S261" s="95"/>
      <c r="T261" s="95"/>
      <c r="V261" s="107"/>
    </row>
    <row r="262" ht="15.75" customHeight="1">
      <c r="A262" s="89"/>
      <c r="B262" s="182"/>
      <c r="C262" s="149"/>
      <c r="D262" s="95"/>
      <c r="E262" s="149"/>
      <c r="F262" s="149"/>
      <c r="G262" s="95"/>
      <c r="H262" s="149"/>
      <c r="I262" s="95"/>
      <c r="J262" s="95"/>
      <c r="K262" s="154"/>
      <c r="L262" s="154"/>
      <c r="M262" s="100"/>
      <c r="N262" s="127"/>
      <c r="O262" s="128"/>
      <c r="P262" s="95"/>
      <c r="Q262" s="137"/>
      <c r="R262" s="129"/>
      <c r="S262" s="95"/>
      <c r="T262" s="95"/>
      <c r="V262" s="107"/>
    </row>
    <row r="263" ht="15.75" customHeight="1">
      <c r="A263" s="89"/>
      <c r="B263" s="182"/>
      <c r="C263" s="149"/>
      <c r="D263" s="95"/>
      <c r="E263" s="149"/>
      <c r="F263" s="149"/>
      <c r="G263" s="95"/>
      <c r="H263" s="149"/>
      <c r="I263" s="95"/>
      <c r="J263" s="95"/>
      <c r="K263" s="156"/>
      <c r="L263" s="156"/>
      <c r="M263" s="100"/>
      <c r="N263" s="127"/>
      <c r="O263" s="128"/>
      <c r="P263" s="95"/>
      <c r="Q263" s="137"/>
      <c r="R263" s="129"/>
      <c r="S263" s="95"/>
      <c r="T263" s="95"/>
      <c r="V263" s="107"/>
    </row>
    <row r="264" ht="15.75" customHeight="1">
      <c r="A264" s="89"/>
      <c r="B264" s="182"/>
      <c r="C264" s="149"/>
      <c r="D264" s="95"/>
      <c r="E264" s="149"/>
      <c r="F264" s="149"/>
      <c r="G264" s="95"/>
      <c r="H264" s="149"/>
      <c r="I264" s="95"/>
      <c r="J264" s="95"/>
      <c r="K264" s="154"/>
      <c r="L264" s="154"/>
      <c r="M264" s="100"/>
      <c r="N264" s="127"/>
      <c r="O264" s="128"/>
      <c r="P264" s="95"/>
      <c r="Q264" s="137"/>
      <c r="R264" s="129"/>
      <c r="S264" s="95"/>
      <c r="T264" s="95"/>
      <c r="V264" s="107"/>
    </row>
    <row r="265" ht="15.75" customHeight="1">
      <c r="A265" s="89"/>
      <c r="B265" s="182"/>
      <c r="C265" s="107"/>
      <c r="D265" s="95"/>
      <c r="E265" s="149"/>
      <c r="F265" s="149"/>
      <c r="G265" s="95"/>
      <c r="H265" s="149"/>
      <c r="I265" s="95"/>
      <c r="J265" s="95"/>
      <c r="K265" s="156"/>
      <c r="L265" s="156"/>
      <c r="M265" s="100"/>
      <c r="N265" s="127"/>
      <c r="O265" s="128"/>
      <c r="P265" s="95"/>
      <c r="Q265" s="137"/>
      <c r="R265" s="129"/>
      <c r="S265" s="95"/>
      <c r="T265" s="95"/>
      <c r="V265" s="107"/>
    </row>
    <row r="266" ht="15.75" customHeight="1">
      <c r="A266" s="89"/>
      <c r="B266" s="182"/>
      <c r="C266" s="149"/>
      <c r="D266" s="95"/>
      <c r="E266" s="149"/>
      <c r="F266" s="149"/>
      <c r="G266" s="95"/>
      <c r="H266" s="149"/>
      <c r="I266" s="95"/>
      <c r="J266" s="95"/>
      <c r="K266" s="154"/>
      <c r="L266" s="154"/>
      <c r="M266" s="100"/>
      <c r="N266" s="127"/>
      <c r="O266" s="128"/>
      <c r="P266" s="95"/>
      <c r="Q266" s="137"/>
      <c r="R266" s="129"/>
      <c r="S266" s="95"/>
      <c r="T266" s="95"/>
      <c r="V266" s="107"/>
    </row>
    <row r="267" ht="15.75" customHeight="1">
      <c r="A267" s="89"/>
      <c r="B267" s="182"/>
      <c r="C267" s="149"/>
      <c r="D267" s="95"/>
      <c r="E267" s="149"/>
      <c r="F267" s="149"/>
      <c r="G267" s="95"/>
      <c r="H267" s="149"/>
      <c r="I267" s="95"/>
      <c r="J267" s="95"/>
      <c r="K267" s="156"/>
      <c r="L267" s="156"/>
      <c r="M267" s="100"/>
      <c r="N267" s="127"/>
      <c r="O267" s="128"/>
      <c r="P267" s="95"/>
      <c r="Q267" s="137"/>
      <c r="R267" s="129"/>
      <c r="S267" s="95"/>
      <c r="T267" s="95"/>
      <c r="V267" s="107"/>
    </row>
    <row r="268" ht="15.75" customHeight="1">
      <c r="A268" s="89"/>
      <c r="B268" s="182"/>
      <c r="C268" s="149"/>
      <c r="D268" s="95"/>
      <c r="E268" s="149"/>
      <c r="F268" s="149"/>
      <c r="G268" s="95"/>
      <c r="H268" s="149"/>
      <c r="I268" s="95"/>
      <c r="J268" s="95"/>
      <c r="K268" s="154"/>
      <c r="L268" s="154"/>
      <c r="M268" s="100"/>
      <c r="N268" s="127"/>
      <c r="O268" s="128"/>
      <c r="P268" s="95"/>
      <c r="Q268" s="137"/>
      <c r="R268" s="129"/>
      <c r="S268" s="95"/>
      <c r="T268" s="95"/>
      <c r="V268" s="107"/>
    </row>
    <row r="269" ht="15.75" customHeight="1">
      <c r="A269" s="89"/>
      <c r="B269" s="182"/>
      <c r="C269" s="149"/>
      <c r="D269" s="95"/>
      <c r="E269" s="149"/>
      <c r="F269" s="149"/>
      <c r="G269" s="95"/>
      <c r="H269" s="149"/>
      <c r="I269" s="95"/>
      <c r="J269" s="95"/>
      <c r="K269" s="156"/>
      <c r="L269" s="156"/>
      <c r="M269" s="100"/>
      <c r="N269" s="127"/>
      <c r="O269" s="128"/>
      <c r="P269" s="95"/>
      <c r="Q269" s="137"/>
      <c r="R269" s="129"/>
      <c r="S269" s="95"/>
      <c r="T269" s="95"/>
      <c r="V269" s="107"/>
    </row>
    <row r="270" ht="15.75" customHeight="1">
      <c r="A270" s="89"/>
      <c r="B270" s="182"/>
      <c r="C270" s="149"/>
      <c r="D270" s="95"/>
      <c r="E270" s="149"/>
      <c r="F270" s="149"/>
      <c r="G270" s="95"/>
      <c r="H270" s="149"/>
      <c r="I270" s="95"/>
      <c r="J270" s="95"/>
      <c r="K270" s="154"/>
      <c r="L270" s="154"/>
      <c r="M270" s="100"/>
      <c r="N270" s="127"/>
      <c r="O270" s="128"/>
      <c r="P270" s="95"/>
      <c r="Q270" s="137"/>
      <c r="R270" s="129"/>
      <c r="S270" s="95"/>
      <c r="T270" s="95"/>
      <c r="V270" s="107"/>
    </row>
    <row r="271" ht="15.75" customHeight="1">
      <c r="A271" s="89"/>
      <c r="B271" s="182"/>
      <c r="C271" s="107"/>
      <c r="D271" s="95"/>
      <c r="E271" s="149"/>
      <c r="F271" s="149"/>
      <c r="G271" s="95"/>
      <c r="H271" s="149"/>
      <c r="I271" s="95"/>
      <c r="J271" s="95"/>
      <c r="K271" s="156"/>
      <c r="L271" s="156"/>
      <c r="M271" s="100"/>
      <c r="N271" s="127"/>
      <c r="O271" s="128"/>
      <c r="P271" s="95"/>
      <c r="Q271" s="137"/>
      <c r="R271" s="129"/>
      <c r="S271" s="95"/>
      <c r="T271" s="95"/>
      <c r="V271" s="107"/>
    </row>
    <row r="272" ht="15.75" customHeight="1">
      <c r="A272" s="89"/>
      <c r="B272" s="182"/>
      <c r="C272" s="149"/>
      <c r="D272" s="95"/>
      <c r="E272" s="149"/>
      <c r="F272" s="149"/>
      <c r="G272" s="95"/>
      <c r="H272" s="149"/>
      <c r="I272" s="95"/>
      <c r="J272" s="95"/>
      <c r="K272" s="154"/>
      <c r="L272" s="154"/>
      <c r="M272" s="100"/>
      <c r="N272" s="127"/>
      <c r="O272" s="128"/>
      <c r="P272" s="95"/>
      <c r="Q272" s="137"/>
      <c r="R272" s="129"/>
      <c r="S272" s="95"/>
      <c r="T272" s="95"/>
      <c r="V272" s="107"/>
    </row>
    <row r="273" ht="15.75" customHeight="1">
      <c r="A273" s="89"/>
      <c r="B273" s="182"/>
      <c r="C273" s="149"/>
      <c r="D273" s="95"/>
      <c r="E273" s="149"/>
      <c r="F273" s="149"/>
      <c r="G273" s="95"/>
      <c r="H273" s="149"/>
      <c r="I273" s="95"/>
      <c r="J273" s="95"/>
      <c r="K273" s="156"/>
      <c r="L273" s="156"/>
      <c r="M273" s="100"/>
      <c r="N273" s="127"/>
      <c r="O273" s="128"/>
      <c r="P273" s="95"/>
      <c r="Q273" s="137"/>
      <c r="R273" s="129"/>
      <c r="S273" s="95"/>
      <c r="T273" s="95"/>
      <c r="V273" s="107"/>
    </row>
    <row r="274" ht="15.75" customHeight="1">
      <c r="A274" s="89"/>
      <c r="B274" s="182"/>
      <c r="C274" s="149"/>
      <c r="D274" s="95"/>
      <c r="E274" s="149"/>
      <c r="F274" s="149"/>
      <c r="G274" s="95"/>
      <c r="H274" s="149"/>
      <c r="I274" s="95"/>
      <c r="J274" s="95"/>
      <c r="K274" s="154"/>
      <c r="L274" s="154"/>
      <c r="M274" s="100"/>
      <c r="N274" s="127"/>
      <c r="O274" s="128"/>
      <c r="P274" s="95"/>
      <c r="Q274" s="137"/>
      <c r="R274" s="129"/>
      <c r="S274" s="95"/>
      <c r="T274" s="95"/>
      <c r="V274" s="107"/>
    </row>
    <row r="275" ht="15.75" customHeight="1">
      <c r="A275" s="89"/>
      <c r="B275" s="182"/>
      <c r="C275" s="149"/>
      <c r="D275" s="95"/>
      <c r="E275" s="149"/>
      <c r="F275" s="149"/>
      <c r="G275" s="95"/>
      <c r="H275" s="149"/>
      <c r="I275" s="95"/>
      <c r="J275" s="95"/>
      <c r="K275" s="156"/>
      <c r="L275" s="156"/>
      <c r="M275" s="100"/>
      <c r="N275" s="127"/>
      <c r="O275" s="128"/>
      <c r="P275" s="95"/>
      <c r="Q275" s="137"/>
      <c r="R275" s="129"/>
      <c r="S275" s="95"/>
      <c r="T275" s="95"/>
      <c r="V275" s="107"/>
    </row>
    <row r="276" ht="15.75" customHeight="1">
      <c r="A276" s="89"/>
      <c r="B276" s="182"/>
      <c r="C276" s="149"/>
      <c r="D276" s="95"/>
      <c r="E276" s="149"/>
      <c r="F276" s="149"/>
      <c r="G276" s="95"/>
      <c r="H276" s="149"/>
      <c r="I276" s="95"/>
      <c r="J276" s="95"/>
      <c r="K276" s="154"/>
      <c r="L276" s="154"/>
      <c r="M276" s="100"/>
      <c r="N276" s="127"/>
      <c r="O276" s="128"/>
      <c r="P276" s="95"/>
      <c r="Q276" s="137"/>
      <c r="R276" s="129"/>
      <c r="S276" s="95"/>
      <c r="T276" s="95"/>
      <c r="V276" s="107"/>
    </row>
    <row r="277" ht="15.75" customHeight="1">
      <c r="A277" s="89"/>
      <c r="B277" s="182"/>
      <c r="C277" s="107"/>
      <c r="D277" s="95"/>
      <c r="E277" s="149"/>
      <c r="F277" s="149"/>
      <c r="G277" s="95"/>
      <c r="H277" s="149"/>
      <c r="I277" s="95"/>
      <c r="J277" s="95"/>
      <c r="K277" s="156"/>
      <c r="L277" s="156"/>
      <c r="M277" s="100"/>
      <c r="N277" s="127"/>
      <c r="O277" s="128"/>
      <c r="P277" s="95"/>
      <c r="Q277" s="137"/>
      <c r="R277" s="129"/>
      <c r="S277" s="95"/>
      <c r="T277" s="95"/>
      <c r="V277" s="107"/>
    </row>
    <row r="278" ht="15.75" customHeight="1">
      <c r="A278" s="89"/>
      <c r="B278" s="182"/>
      <c r="C278" s="149"/>
      <c r="D278" s="95"/>
      <c r="E278" s="149"/>
      <c r="F278" s="149"/>
      <c r="G278" s="95"/>
      <c r="H278" s="149"/>
      <c r="I278" s="95"/>
      <c r="J278" s="95"/>
      <c r="K278" s="154"/>
      <c r="L278" s="154"/>
      <c r="M278" s="100"/>
      <c r="N278" s="127"/>
      <c r="O278" s="128"/>
      <c r="P278" s="95"/>
      <c r="Q278" s="137"/>
      <c r="R278" s="129"/>
      <c r="S278" s="95"/>
      <c r="T278" s="95"/>
      <c r="V278" s="107"/>
    </row>
    <row r="279" ht="15.75" customHeight="1">
      <c r="A279" s="89"/>
      <c r="B279" s="182"/>
      <c r="C279" s="149"/>
      <c r="D279" s="95"/>
      <c r="E279" s="149"/>
      <c r="F279" s="149"/>
      <c r="G279" s="95"/>
      <c r="H279" s="149"/>
      <c r="I279" s="95"/>
      <c r="J279" s="95"/>
      <c r="K279" s="156"/>
      <c r="L279" s="156"/>
      <c r="M279" s="100"/>
      <c r="N279" s="127"/>
      <c r="O279" s="128"/>
      <c r="P279" s="95"/>
      <c r="Q279" s="137"/>
      <c r="R279" s="129"/>
      <c r="S279" s="95"/>
      <c r="T279" s="95"/>
      <c r="V279" s="107"/>
    </row>
    <row r="280" ht="15.75" customHeight="1">
      <c r="A280" s="89"/>
      <c r="B280" s="182"/>
      <c r="C280" s="149"/>
      <c r="D280" s="95"/>
      <c r="E280" s="149"/>
      <c r="F280" s="149"/>
      <c r="G280" s="95"/>
      <c r="H280" s="149"/>
      <c r="I280" s="95"/>
      <c r="J280" s="95"/>
      <c r="K280" s="154"/>
      <c r="L280" s="154"/>
      <c r="M280" s="100"/>
      <c r="N280" s="127"/>
      <c r="O280" s="128"/>
      <c r="P280" s="95"/>
      <c r="Q280" s="137"/>
      <c r="R280" s="129"/>
      <c r="S280" s="95"/>
      <c r="T280" s="95"/>
      <c r="V280" s="107"/>
    </row>
    <row r="281" ht="15.75" customHeight="1">
      <c r="A281" s="89"/>
      <c r="B281" s="182"/>
      <c r="C281" s="149"/>
      <c r="D281" s="95"/>
      <c r="E281" s="149"/>
      <c r="F281" s="149"/>
      <c r="G281" s="95"/>
      <c r="H281" s="149"/>
      <c r="I281" s="95"/>
      <c r="J281" s="95"/>
      <c r="K281" s="156"/>
      <c r="L281" s="156"/>
      <c r="M281" s="100"/>
      <c r="N281" s="127"/>
      <c r="O281" s="128"/>
      <c r="P281" s="95"/>
      <c r="Q281" s="137"/>
      <c r="R281" s="129"/>
      <c r="S281" s="95"/>
      <c r="T281" s="95"/>
      <c r="V281" s="107"/>
    </row>
    <row r="282" ht="15.75" customHeight="1">
      <c r="A282" s="89"/>
      <c r="B282" s="182"/>
      <c r="C282" s="149"/>
      <c r="D282" s="95"/>
      <c r="E282" s="149"/>
      <c r="F282" s="149"/>
      <c r="G282" s="95"/>
      <c r="H282" s="149"/>
      <c r="I282" s="95"/>
      <c r="J282" s="95"/>
      <c r="K282" s="154"/>
      <c r="L282" s="154"/>
      <c r="M282" s="100"/>
      <c r="N282" s="127"/>
      <c r="O282" s="128"/>
      <c r="P282" s="95"/>
      <c r="Q282" s="137"/>
      <c r="R282" s="129"/>
      <c r="S282" s="95"/>
      <c r="T282" s="95"/>
      <c r="V282" s="107"/>
    </row>
    <row r="283" ht="15.75" customHeight="1">
      <c r="A283" s="89"/>
      <c r="B283" s="182"/>
      <c r="C283" s="107"/>
      <c r="D283" s="95"/>
      <c r="E283" s="149"/>
      <c r="F283" s="149"/>
      <c r="G283" s="95"/>
      <c r="H283" s="149"/>
      <c r="I283" s="95"/>
      <c r="J283" s="95"/>
      <c r="K283" s="156"/>
      <c r="L283" s="156"/>
      <c r="M283" s="100"/>
      <c r="N283" s="127"/>
      <c r="O283" s="128"/>
      <c r="P283" s="95"/>
      <c r="Q283" s="137"/>
      <c r="R283" s="129"/>
      <c r="S283" s="95"/>
      <c r="T283" s="95"/>
      <c r="V283" s="107"/>
    </row>
    <row r="284" ht="15.75" customHeight="1">
      <c r="A284" s="89"/>
      <c r="B284" s="182"/>
      <c r="C284" s="149"/>
      <c r="D284" s="95"/>
      <c r="E284" s="149"/>
      <c r="F284" s="149"/>
      <c r="G284" s="95"/>
      <c r="H284" s="149"/>
      <c r="I284" s="95"/>
      <c r="J284" s="95"/>
      <c r="K284" s="154"/>
      <c r="L284" s="154"/>
      <c r="M284" s="100"/>
      <c r="N284" s="127"/>
      <c r="O284" s="128"/>
      <c r="P284" s="95"/>
      <c r="Q284" s="137"/>
      <c r="R284" s="129"/>
      <c r="S284" s="95"/>
      <c r="T284" s="95"/>
      <c r="V284" s="107"/>
    </row>
    <row r="285" ht="15.75" customHeight="1">
      <c r="A285" s="89"/>
      <c r="B285" s="182"/>
      <c r="C285" s="149"/>
      <c r="D285" s="95"/>
      <c r="E285" s="149"/>
      <c r="F285" s="149"/>
      <c r="G285" s="95"/>
      <c r="H285" s="149"/>
      <c r="I285" s="95"/>
      <c r="J285" s="95"/>
      <c r="K285" s="156"/>
      <c r="L285" s="156"/>
      <c r="M285" s="100"/>
      <c r="N285" s="127"/>
      <c r="O285" s="128"/>
      <c r="P285" s="95"/>
      <c r="Q285" s="137"/>
      <c r="R285" s="129"/>
      <c r="S285" s="95"/>
      <c r="T285" s="95"/>
      <c r="V285" s="107"/>
    </row>
    <row r="286" ht="15.75" customHeight="1">
      <c r="A286" s="89"/>
      <c r="B286" s="182"/>
      <c r="C286" s="149"/>
      <c r="D286" s="95"/>
      <c r="E286" s="149"/>
      <c r="F286" s="149"/>
      <c r="G286" s="95"/>
      <c r="H286" s="149"/>
      <c r="I286" s="95"/>
      <c r="J286" s="95"/>
      <c r="K286" s="154"/>
      <c r="L286" s="154"/>
      <c r="M286" s="100"/>
      <c r="N286" s="127"/>
      <c r="O286" s="128"/>
      <c r="P286" s="95"/>
      <c r="Q286" s="137"/>
      <c r="R286" s="129"/>
      <c r="S286" s="95"/>
      <c r="T286" s="95"/>
      <c r="V286" s="107"/>
    </row>
    <row r="287" ht="15.75" customHeight="1">
      <c r="A287" s="89"/>
      <c r="B287" s="182"/>
      <c r="C287" s="149"/>
      <c r="D287" s="95"/>
      <c r="E287" s="149"/>
      <c r="F287" s="149"/>
      <c r="G287" s="95"/>
      <c r="H287" s="149"/>
      <c r="I287" s="95"/>
      <c r="J287" s="95"/>
      <c r="K287" s="156"/>
      <c r="L287" s="156"/>
      <c r="M287" s="100"/>
      <c r="N287" s="127"/>
      <c r="O287" s="128"/>
      <c r="P287" s="95"/>
      <c r="Q287" s="137"/>
      <c r="R287" s="129"/>
      <c r="S287" s="95"/>
      <c r="T287" s="95"/>
      <c r="V287" s="107"/>
    </row>
    <row r="288" ht="15.75" customHeight="1">
      <c r="A288" s="89"/>
      <c r="B288" s="182"/>
      <c r="C288" s="149"/>
      <c r="D288" s="95"/>
      <c r="E288" s="149"/>
      <c r="F288" s="149"/>
      <c r="G288" s="95"/>
      <c r="H288" s="149"/>
      <c r="I288" s="95"/>
      <c r="J288" s="95"/>
      <c r="K288" s="154"/>
      <c r="L288" s="154"/>
      <c r="M288" s="100"/>
      <c r="N288" s="127"/>
      <c r="O288" s="128"/>
      <c r="P288" s="95"/>
      <c r="Q288" s="137"/>
      <c r="R288" s="129"/>
      <c r="S288" s="95"/>
      <c r="T288" s="95"/>
      <c r="V288" s="107"/>
    </row>
    <row r="289" ht="15.75" customHeight="1">
      <c r="A289" s="89"/>
      <c r="B289" s="182"/>
      <c r="C289" s="107"/>
      <c r="D289" s="95"/>
      <c r="E289" s="149"/>
      <c r="F289" s="149"/>
      <c r="G289" s="95"/>
      <c r="H289" s="149"/>
      <c r="I289" s="95"/>
      <c r="J289" s="95"/>
      <c r="K289" s="156"/>
      <c r="L289" s="156"/>
      <c r="M289" s="100"/>
      <c r="N289" s="127"/>
      <c r="O289" s="128"/>
      <c r="P289" s="95"/>
      <c r="Q289" s="137"/>
      <c r="R289" s="129"/>
      <c r="S289" s="95"/>
      <c r="T289" s="95"/>
      <c r="V289" s="107"/>
    </row>
    <row r="290" ht="15.75" customHeight="1">
      <c r="A290" s="89"/>
      <c r="B290" s="182"/>
      <c r="C290" s="149"/>
      <c r="D290" s="95"/>
      <c r="E290" s="149"/>
      <c r="F290" s="149"/>
      <c r="G290" s="95"/>
      <c r="H290" s="149"/>
      <c r="I290" s="95"/>
      <c r="J290" s="95"/>
      <c r="K290" s="154"/>
      <c r="L290" s="154"/>
      <c r="M290" s="100"/>
      <c r="N290" s="127"/>
      <c r="O290" s="128"/>
      <c r="P290" s="95"/>
      <c r="Q290" s="137"/>
      <c r="R290" s="129"/>
      <c r="S290" s="95"/>
      <c r="T290" s="95"/>
      <c r="V290" s="107"/>
    </row>
    <row r="291" ht="15.75" customHeight="1">
      <c r="A291" s="89"/>
      <c r="B291" s="182"/>
      <c r="C291" s="149"/>
      <c r="D291" s="95"/>
      <c r="E291" s="149"/>
      <c r="F291" s="149"/>
      <c r="G291" s="95"/>
      <c r="H291" s="149"/>
      <c r="I291" s="95"/>
      <c r="J291" s="95"/>
      <c r="K291" s="156"/>
      <c r="L291" s="156"/>
      <c r="M291" s="100"/>
      <c r="N291" s="127"/>
      <c r="O291" s="128"/>
      <c r="P291" s="95"/>
      <c r="Q291" s="137"/>
      <c r="R291" s="129"/>
      <c r="S291" s="95"/>
      <c r="T291" s="95"/>
      <c r="V291" s="107"/>
    </row>
    <row r="292" ht="15.75" customHeight="1">
      <c r="A292" s="89"/>
      <c r="B292" s="182"/>
      <c r="C292" s="149"/>
      <c r="D292" s="95"/>
      <c r="E292" s="149"/>
      <c r="F292" s="149"/>
      <c r="G292" s="95"/>
      <c r="H292" s="149"/>
      <c r="I292" s="95"/>
      <c r="J292" s="95"/>
      <c r="K292" s="154"/>
      <c r="L292" s="154"/>
      <c r="M292" s="100"/>
      <c r="N292" s="127"/>
      <c r="O292" s="128"/>
      <c r="P292" s="95"/>
      <c r="Q292" s="137"/>
      <c r="R292" s="129"/>
      <c r="S292" s="95"/>
      <c r="T292" s="95"/>
      <c r="V292" s="107"/>
    </row>
    <row r="293" ht="15.75" customHeight="1">
      <c r="A293" s="89"/>
      <c r="B293" s="182"/>
      <c r="C293" s="149"/>
      <c r="D293" s="95"/>
      <c r="E293" s="149"/>
      <c r="F293" s="149"/>
      <c r="G293" s="95"/>
      <c r="H293" s="149"/>
      <c r="I293" s="95"/>
      <c r="J293" s="95"/>
      <c r="K293" s="156"/>
      <c r="L293" s="156"/>
      <c r="M293" s="100"/>
      <c r="N293" s="127"/>
      <c r="O293" s="128"/>
      <c r="P293" s="95"/>
      <c r="Q293" s="137"/>
      <c r="R293" s="129"/>
      <c r="S293" s="95"/>
      <c r="T293" s="95"/>
      <c r="V293" s="107"/>
    </row>
    <row r="294" ht="15.75" customHeight="1">
      <c r="A294" s="89"/>
      <c r="B294" s="182"/>
      <c r="C294" s="149"/>
      <c r="D294" s="95"/>
      <c r="E294" s="149"/>
      <c r="F294" s="149"/>
      <c r="G294" s="95"/>
      <c r="H294" s="149"/>
      <c r="I294" s="95"/>
      <c r="J294" s="95"/>
      <c r="K294" s="154"/>
      <c r="L294" s="154"/>
      <c r="M294" s="100"/>
      <c r="N294" s="127"/>
      <c r="O294" s="128"/>
      <c r="P294" s="95"/>
      <c r="Q294" s="137"/>
      <c r="R294" s="129"/>
      <c r="S294" s="95"/>
      <c r="T294" s="95"/>
      <c r="V294" s="107"/>
    </row>
    <row r="295" ht="15.75" customHeight="1">
      <c r="A295" s="89"/>
      <c r="B295" s="182"/>
      <c r="C295" s="107"/>
      <c r="D295" s="95"/>
      <c r="E295" s="149"/>
      <c r="F295" s="149"/>
      <c r="G295" s="95"/>
      <c r="H295" s="149"/>
      <c r="I295" s="95"/>
      <c r="J295" s="95"/>
      <c r="K295" s="156"/>
      <c r="L295" s="156"/>
      <c r="M295" s="100"/>
      <c r="N295" s="127"/>
      <c r="O295" s="128"/>
      <c r="P295" s="95"/>
      <c r="Q295" s="137"/>
      <c r="R295" s="129"/>
      <c r="S295" s="95"/>
      <c r="T295" s="95"/>
      <c r="V295" s="107"/>
    </row>
    <row r="296" ht="15.75" customHeight="1">
      <c r="A296" s="89"/>
      <c r="B296" s="182"/>
      <c r="C296" s="149"/>
      <c r="D296" s="95"/>
      <c r="E296" s="149"/>
      <c r="F296" s="149"/>
      <c r="G296" s="95"/>
      <c r="H296" s="149"/>
      <c r="I296" s="95"/>
      <c r="J296" s="95"/>
      <c r="K296" s="154"/>
      <c r="L296" s="154"/>
      <c r="M296" s="100"/>
      <c r="N296" s="127"/>
      <c r="O296" s="128"/>
      <c r="P296" s="95"/>
      <c r="Q296" s="137"/>
      <c r="R296" s="129"/>
      <c r="S296" s="95"/>
      <c r="T296" s="95"/>
      <c r="V296" s="107"/>
    </row>
    <row r="297" ht="15.75" customHeight="1">
      <c r="A297" s="89"/>
      <c r="B297" s="182"/>
      <c r="C297" s="149"/>
      <c r="D297" s="95"/>
      <c r="E297" s="149"/>
      <c r="F297" s="149"/>
      <c r="G297" s="95"/>
      <c r="H297" s="149"/>
      <c r="I297" s="95"/>
      <c r="J297" s="95"/>
      <c r="K297" s="156"/>
      <c r="L297" s="156"/>
      <c r="M297" s="100"/>
      <c r="N297" s="127"/>
      <c r="O297" s="128"/>
      <c r="P297" s="95"/>
      <c r="Q297" s="137"/>
      <c r="R297" s="129"/>
      <c r="S297" s="95"/>
      <c r="T297" s="95"/>
      <c r="V297" s="107"/>
    </row>
    <row r="298" ht="15.75" customHeight="1">
      <c r="A298" s="89"/>
      <c r="B298" s="182"/>
      <c r="C298" s="149"/>
      <c r="D298" s="95"/>
      <c r="E298" s="149"/>
      <c r="F298" s="149"/>
      <c r="G298" s="95"/>
      <c r="H298" s="149"/>
      <c r="I298" s="95"/>
      <c r="J298" s="95"/>
      <c r="K298" s="154"/>
      <c r="L298" s="154"/>
      <c r="M298" s="100"/>
      <c r="N298" s="127"/>
      <c r="O298" s="128"/>
      <c r="P298" s="95"/>
      <c r="Q298" s="137"/>
      <c r="R298" s="129"/>
      <c r="S298" s="95"/>
      <c r="T298" s="95"/>
      <c r="V298" s="107"/>
    </row>
    <row r="299" ht="15.75" customHeight="1">
      <c r="A299" s="89"/>
      <c r="B299" s="182"/>
      <c r="C299" s="149"/>
      <c r="D299" s="95"/>
      <c r="E299" s="149"/>
      <c r="F299" s="149"/>
      <c r="G299" s="95"/>
      <c r="H299" s="149"/>
      <c r="I299" s="95"/>
      <c r="J299" s="95"/>
      <c r="K299" s="156"/>
      <c r="L299" s="156"/>
      <c r="M299" s="100"/>
      <c r="N299" s="127"/>
      <c r="O299" s="128"/>
      <c r="P299" s="95"/>
      <c r="Q299" s="137"/>
      <c r="R299" s="129"/>
      <c r="S299" s="95"/>
      <c r="T299" s="95"/>
      <c r="V299" s="107"/>
    </row>
    <row r="300" ht="15.75" customHeight="1">
      <c r="A300" s="89"/>
      <c r="B300" s="182"/>
      <c r="C300" s="149"/>
      <c r="D300" s="95"/>
      <c r="E300" s="149"/>
      <c r="F300" s="149"/>
      <c r="G300" s="95"/>
      <c r="H300" s="149"/>
      <c r="I300" s="95"/>
      <c r="J300" s="95"/>
      <c r="K300" s="154"/>
      <c r="L300" s="154"/>
      <c r="M300" s="100"/>
      <c r="N300" s="127"/>
      <c r="O300" s="128"/>
      <c r="P300" s="95"/>
      <c r="Q300" s="137"/>
      <c r="R300" s="129"/>
      <c r="S300" s="95"/>
      <c r="T300" s="95"/>
      <c r="V300" s="107"/>
    </row>
    <row r="301" ht="15.75" customHeight="1">
      <c r="A301" s="89"/>
      <c r="B301" s="182"/>
      <c r="C301" s="107"/>
      <c r="D301" s="95"/>
      <c r="E301" s="149"/>
      <c r="F301" s="149"/>
      <c r="G301" s="95"/>
      <c r="H301" s="149"/>
      <c r="I301" s="95"/>
      <c r="J301" s="95"/>
      <c r="K301" s="156"/>
      <c r="L301" s="156"/>
      <c r="M301" s="100"/>
      <c r="N301" s="127"/>
      <c r="O301" s="128"/>
      <c r="P301" s="95"/>
      <c r="Q301" s="137"/>
      <c r="R301" s="129"/>
      <c r="S301" s="95"/>
      <c r="T301" s="95"/>
      <c r="V301" s="107"/>
    </row>
    <row r="302" ht="15.75" customHeight="1">
      <c r="A302" s="89"/>
      <c r="B302" s="182"/>
      <c r="C302" s="149"/>
      <c r="D302" s="95"/>
      <c r="E302" s="149"/>
      <c r="F302" s="149"/>
      <c r="G302" s="95"/>
      <c r="H302" s="149"/>
      <c r="I302" s="95"/>
      <c r="J302" s="95"/>
      <c r="K302" s="154"/>
      <c r="L302" s="154"/>
      <c r="M302" s="100"/>
      <c r="N302" s="127"/>
      <c r="O302" s="128"/>
      <c r="P302" s="95"/>
      <c r="Q302" s="137"/>
      <c r="R302" s="129"/>
      <c r="S302" s="95"/>
      <c r="T302" s="95"/>
      <c r="V302" s="107"/>
    </row>
    <row r="303" ht="15.75" customHeight="1">
      <c r="A303" s="89"/>
      <c r="B303" s="182"/>
      <c r="C303" s="149"/>
      <c r="D303" s="95"/>
      <c r="E303" s="149"/>
      <c r="F303" s="149"/>
      <c r="G303" s="95"/>
      <c r="H303" s="149"/>
      <c r="I303" s="95"/>
      <c r="J303" s="95"/>
      <c r="K303" s="156"/>
      <c r="L303" s="156"/>
      <c r="M303" s="100"/>
      <c r="N303" s="127"/>
      <c r="O303" s="128"/>
      <c r="P303" s="95"/>
      <c r="Q303" s="137"/>
      <c r="R303" s="129"/>
      <c r="S303" s="95"/>
      <c r="T303" s="95"/>
      <c r="V303" s="107"/>
    </row>
    <row r="304" ht="15.75" customHeight="1">
      <c r="A304" s="89"/>
      <c r="B304" s="182"/>
      <c r="C304" s="149"/>
      <c r="D304" s="95"/>
      <c r="E304" s="149"/>
      <c r="F304" s="149"/>
      <c r="G304" s="95"/>
      <c r="H304" s="149"/>
      <c r="I304" s="95"/>
      <c r="J304" s="95"/>
      <c r="K304" s="154"/>
      <c r="L304" s="154"/>
      <c r="M304" s="100"/>
      <c r="N304" s="127"/>
      <c r="O304" s="128"/>
      <c r="P304" s="95"/>
      <c r="Q304" s="137"/>
      <c r="R304" s="129"/>
      <c r="S304" s="95"/>
      <c r="T304" s="95"/>
      <c r="V304" s="107"/>
    </row>
    <row r="305" ht="15.75" customHeight="1">
      <c r="A305" s="89"/>
      <c r="B305" s="182"/>
      <c r="C305" s="149"/>
      <c r="D305" s="95"/>
      <c r="E305" s="149"/>
      <c r="F305" s="149"/>
      <c r="G305" s="95"/>
      <c r="H305" s="149"/>
      <c r="I305" s="95"/>
      <c r="J305" s="95"/>
      <c r="K305" s="156"/>
      <c r="L305" s="156"/>
      <c r="M305" s="100"/>
      <c r="N305" s="127"/>
      <c r="O305" s="128"/>
      <c r="P305" s="95"/>
      <c r="Q305" s="137"/>
      <c r="R305" s="129"/>
      <c r="S305" s="95"/>
      <c r="T305" s="95"/>
      <c r="V305" s="107"/>
    </row>
    <row r="306" ht="15.75" customHeight="1">
      <c r="A306" s="89"/>
      <c r="B306" s="182"/>
      <c r="C306" s="149"/>
      <c r="D306" s="95"/>
      <c r="E306" s="149"/>
      <c r="F306" s="149"/>
      <c r="G306" s="95"/>
      <c r="H306" s="149"/>
      <c r="I306" s="95"/>
      <c r="J306" s="95"/>
      <c r="K306" s="154"/>
      <c r="L306" s="154"/>
      <c r="M306" s="100"/>
      <c r="N306" s="127"/>
      <c r="O306" s="128"/>
      <c r="P306" s="95"/>
      <c r="Q306" s="137"/>
      <c r="R306" s="129"/>
      <c r="S306" s="95"/>
      <c r="T306" s="95"/>
      <c r="V306" s="107"/>
    </row>
    <row r="307" ht="15.75" customHeight="1">
      <c r="A307" s="89"/>
      <c r="B307" s="182"/>
      <c r="C307" s="107"/>
      <c r="D307" s="95"/>
      <c r="E307" s="149"/>
      <c r="F307" s="149"/>
      <c r="G307" s="95"/>
      <c r="H307" s="149"/>
      <c r="I307" s="95"/>
      <c r="J307" s="95"/>
      <c r="K307" s="156"/>
      <c r="L307" s="156"/>
      <c r="M307" s="100"/>
      <c r="N307" s="127"/>
      <c r="O307" s="128"/>
      <c r="P307" s="95"/>
      <c r="Q307" s="137"/>
      <c r="R307" s="129"/>
      <c r="S307" s="95"/>
      <c r="T307" s="95"/>
      <c r="V307" s="107"/>
    </row>
    <row r="308" ht="15.75" customHeight="1">
      <c r="A308" s="89"/>
      <c r="B308" s="182"/>
      <c r="C308" s="149"/>
      <c r="D308" s="95"/>
      <c r="E308" s="149"/>
      <c r="F308" s="149"/>
      <c r="G308" s="95"/>
      <c r="H308" s="149"/>
      <c r="I308" s="95"/>
      <c r="J308" s="95"/>
      <c r="K308" s="154"/>
      <c r="L308" s="154"/>
      <c r="M308" s="100"/>
      <c r="N308" s="127"/>
      <c r="O308" s="128"/>
      <c r="P308" s="95"/>
      <c r="Q308" s="137"/>
      <c r="R308" s="129"/>
      <c r="S308" s="95"/>
      <c r="T308" s="95"/>
      <c r="V308" s="107"/>
    </row>
    <row r="309" ht="15.75" customHeight="1">
      <c r="A309" s="89"/>
      <c r="B309" s="182"/>
      <c r="C309" s="149"/>
      <c r="D309" s="95"/>
      <c r="E309" s="149"/>
      <c r="F309" s="149"/>
      <c r="G309" s="95"/>
      <c r="H309" s="149"/>
      <c r="I309" s="95"/>
      <c r="J309" s="95"/>
      <c r="K309" s="156"/>
      <c r="L309" s="156"/>
      <c r="M309" s="100"/>
      <c r="N309" s="127"/>
      <c r="O309" s="128"/>
      <c r="P309" s="95"/>
      <c r="Q309" s="137"/>
      <c r="R309" s="129"/>
      <c r="S309" s="95"/>
      <c r="T309" s="95"/>
      <c r="V309" s="107"/>
    </row>
    <row r="310" ht="15.75" customHeight="1">
      <c r="A310" s="89"/>
      <c r="B310" s="182"/>
      <c r="C310" s="149"/>
      <c r="D310" s="95"/>
      <c r="E310" s="149"/>
      <c r="F310" s="149"/>
      <c r="G310" s="95"/>
      <c r="H310" s="149"/>
      <c r="I310" s="95"/>
      <c r="J310" s="95"/>
      <c r="K310" s="154"/>
      <c r="L310" s="154"/>
      <c r="M310" s="100"/>
      <c r="N310" s="127"/>
      <c r="O310" s="128"/>
      <c r="P310" s="95"/>
      <c r="Q310" s="137"/>
      <c r="R310" s="129"/>
      <c r="S310" s="95"/>
      <c r="T310" s="95"/>
      <c r="V310" s="107"/>
    </row>
    <row r="311" ht="15.75" customHeight="1">
      <c r="A311" s="89"/>
      <c r="B311" s="182"/>
      <c r="C311" s="149"/>
      <c r="D311" s="95"/>
      <c r="E311" s="149"/>
      <c r="F311" s="149"/>
      <c r="G311" s="95"/>
      <c r="H311" s="149"/>
      <c r="I311" s="95"/>
      <c r="J311" s="95"/>
      <c r="K311" s="156"/>
      <c r="L311" s="156"/>
      <c r="M311" s="100"/>
      <c r="N311" s="127"/>
      <c r="O311" s="128"/>
      <c r="P311" s="95"/>
      <c r="Q311" s="137"/>
      <c r="R311" s="129"/>
      <c r="S311" s="95"/>
      <c r="T311" s="95"/>
      <c r="V311" s="107"/>
    </row>
    <row r="312" ht="15.75" customHeight="1">
      <c r="A312" s="89"/>
      <c r="B312" s="182"/>
      <c r="C312" s="149"/>
      <c r="D312" s="95"/>
      <c r="E312" s="149"/>
      <c r="F312" s="149"/>
      <c r="G312" s="95"/>
      <c r="H312" s="149"/>
      <c r="I312" s="95"/>
      <c r="J312" s="95"/>
      <c r="K312" s="154"/>
      <c r="L312" s="154"/>
      <c r="M312" s="100"/>
      <c r="N312" s="127"/>
      <c r="O312" s="128"/>
      <c r="P312" s="95"/>
      <c r="Q312" s="137"/>
      <c r="R312" s="129"/>
      <c r="S312" s="95"/>
      <c r="T312" s="95"/>
      <c r="V312" s="107"/>
    </row>
    <row r="313" ht="15.75" customHeight="1">
      <c r="A313" s="89"/>
      <c r="B313" s="182"/>
      <c r="C313" s="107"/>
      <c r="D313" s="95"/>
      <c r="E313" s="149"/>
      <c r="F313" s="149"/>
      <c r="G313" s="95"/>
      <c r="H313" s="149"/>
      <c r="I313" s="95"/>
      <c r="J313" s="95"/>
      <c r="K313" s="156"/>
      <c r="L313" s="156"/>
      <c r="M313" s="100"/>
      <c r="N313" s="127"/>
      <c r="O313" s="128"/>
      <c r="P313" s="95"/>
      <c r="Q313" s="137"/>
      <c r="R313" s="129"/>
      <c r="S313" s="95"/>
      <c r="T313" s="95"/>
      <c r="V313" s="107"/>
    </row>
    <row r="314" ht="15.75" customHeight="1">
      <c r="A314" s="89"/>
      <c r="B314" s="182"/>
      <c r="C314" s="149"/>
      <c r="D314" s="95"/>
      <c r="E314" s="149"/>
      <c r="F314" s="149"/>
      <c r="G314" s="95"/>
      <c r="H314" s="149"/>
      <c r="I314" s="95"/>
      <c r="J314" s="95"/>
      <c r="K314" s="154"/>
      <c r="L314" s="154"/>
      <c r="M314" s="100"/>
      <c r="N314" s="127"/>
      <c r="O314" s="128"/>
      <c r="P314" s="95"/>
      <c r="Q314" s="137"/>
      <c r="R314" s="129"/>
      <c r="S314" s="95"/>
      <c r="T314" s="95"/>
      <c r="V314" s="107"/>
    </row>
    <row r="315" ht="15.75" customHeight="1">
      <c r="A315" s="89"/>
      <c r="B315" s="182"/>
      <c r="C315" s="149"/>
      <c r="D315" s="95"/>
      <c r="E315" s="149"/>
      <c r="F315" s="149"/>
      <c r="G315" s="95"/>
      <c r="H315" s="149"/>
      <c r="I315" s="95"/>
      <c r="J315" s="95"/>
      <c r="K315" s="156"/>
      <c r="L315" s="156"/>
      <c r="M315" s="100"/>
      <c r="N315" s="127"/>
      <c r="O315" s="128"/>
      <c r="P315" s="95"/>
      <c r="Q315" s="137"/>
      <c r="R315" s="129"/>
      <c r="S315" s="95"/>
      <c r="T315" s="95"/>
      <c r="V315" s="107"/>
    </row>
    <row r="316" ht="15.75" customHeight="1">
      <c r="A316" s="89"/>
      <c r="B316" s="182"/>
      <c r="C316" s="149"/>
      <c r="D316" s="95"/>
      <c r="E316" s="149"/>
      <c r="F316" s="149"/>
      <c r="G316" s="95"/>
      <c r="H316" s="149"/>
      <c r="I316" s="95"/>
      <c r="J316" s="95"/>
      <c r="K316" s="154"/>
      <c r="L316" s="154"/>
      <c r="M316" s="100"/>
      <c r="N316" s="127"/>
      <c r="O316" s="128"/>
      <c r="P316" s="95"/>
      <c r="Q316" s="137"/>
      <c r="R316" s="129"/>
      <c r="S316" s="95"/>
      <c r="T316" s="95"/>
      <c r="V316" s="107"/>
    </row>
    <row r="317" ht="15.75" customHeight="1">
      <c r="A317" s="89"/>
      <c r="B317" s="182"/>
      <c r="C317" s="149"/>
      <c r="D317" s="95"/>
      <c r="E317" s="149"/>
      <c r="F317" s="149"/>
      <c r="G317" s="95"/>
      <c r="H317" s="149"/>
      <c r="I317" s="95"/>
      <c r="J317" s="95"/>
      <c r="K317" s="156"/>
      <c r="L317" s="156"/>
      <c r="M317" s="100"/>
      <c r="N317" s="127"/>
      <c r="O317" s="128"/>
      <c r="P317" s="95"/>
      <c r="Q317" s="137"/>
      <c r="R317" s="129"/>
      <c r="S317" s="95"/>
      <c r="T317" s="95"/>
      <c r="V317" s="107"/>
    </row>
    <row r="318" ht="15.75" customHeight="1">
      <c r="A318" s="89"/>
      <c r="B318" s="182"/>
      <c r="C318" s="149"/>
      <c r="D318" s="95"/>
      <c r="E318" s="149"/>
      <c r="F318" s="149"/>
      <c r="G318" s="95"/>
      <c r="H318" s="149"/>
      <c r="I318" s="95"/>
      <c r="J318" s="95"/>
      <c r="K318" s="154"/>
      <c r="L318" s="154"/>
      <c r="M318" s="100"/>
      <c r="N318" s="127"/>
      <c r="O318" s="128"/>
      <c r="P318" s="95"/>
      <c r="Q318" s="137"/>
      <c r="R318" s="129"/>
      <c r="S318" s="95"/>
      <c r="T318" s="95"/>
      <c r="V318" s="107"/>
    </row>
    <row r="319" ht="15.75" customHeight="1">
      <c r="A319" s="89"/>
      <c r="B319" s="182"/>
      <c r="C319" s="107"/>
      <c r="D319" s="95"/>
      <c r="E319" s="149"/>
      <c r="F319" s="149"/>
      <c r="G319" s="95"/>
      <c r="H319" s="149"/>
      <c r="I319" s="95"/>
      <c r="J319" s="95"/>
      <c r="K319" s="156"/>
      <c r="L319" s="156"/>
      <c r="M319" s="100"/>
      <c r="N319" s="127"/>
      <c r="O319" s="128"/>
      <c r="P319" s="95"/>
      <c r="Q319" s="137"/>
      <c r="R319" s="129"/>
      <c r="S319" s="95"/>
      <c r="T319" s="95"/>
      <c r="V319" s="107"/>
    </row>
    <row r="320" ht="15.75" customHeight="1">
      <c r="A320" s="89"/>
      <c r="B320" s="182"/>
      <c r="C320" s="149"/>
      <c r="D320" s="95"/>
      <c r="E320" s="149"/>
      <c r="F320" s="149"/>
      <c r="G320" s="95"/>
      <c r="H320" s="149"/>
      <c r="I320" s="95"/>
      <c r="J320" s="95"/>
      <c r="K320" s="154"/>
      <c r="L320" s="154"/>
      <c r="M320" s="100"/>
      <c r="N320" s="127"/>
      <c r="O320" s="128"/>
      <c r="P320" s="95"/>
      <c r="Q320" s="137"/>
      <c r="R320" s="129"/>
      <c r="S320" s="95"/>
      <c r="T320" s="95"/>
      <c r="V320" s="107"/>
    </row>
    <row r="321" ht="15.75" customHeight="1">
      <c r="A321" s="89"/>
      <c r="B321" s="182"/>
      <c r="C321" s="149"/>
      <c r="D321" s="95"/>
      <c r="E321" s="149"/>
      <c r="F321" s="149"/>
      <c r="G321" s="95"/>
      <c r="H321" s="149"/>
      <c r="I321" s="95"/>
      <c r="J321" s="95"/>
      <c r="K321" s="156"/>
      <c r="L321" s="156"/>
      <c r="M321" s="100"/>
      <c r="N321" s="127"/>
      <c r="O321" s="128"/>
      <c r="P321" s="95"/>
      <c r="Q321" s="137"/>
      <c r="R321" s="129"/>
      <c r="S321" s="95"/>
      <c r="T321" s="95"/>
      <c r="V321" s="107"/>
    </row>
    <row r="322" ht="15.75" customHeight="1">
      <c r="A322" s="89"/>
      <c r="B322" s="182"/>
      <c r="C322" s="149"/>
      <c r="D322" s="95"/>
      <c r="E322" s="149"/>
      <c r="F322" s="149"/>
      <c r="G322" s="95"/>
      <c r="H322" s="149"/>
      <c r="I322" s="95"/>
      <c r="J322" s="95"/>
      <c r="K322" s="154"/>
      <c r="L322" s="154"/>
      <c r="M322" s="100"/>
      <c r="N322" s="127"/>
      <c r="O322" s="128"/>
      <c r="P322" s="95"/>
      <c r="Q322" s="137"/>
      <c r="R322" s="129"/>
      <c r="S322" s="95"/>
      <c r="T322" s="95"/>
      <c r="V322" s="107"/>
    </row>
    <row r="323" ht="15.75" customHeight="1">
      <c r="A323" s="89"/>
      <c r="B323" s="182"/>
      <c r="C323" s="149"/>
      <c r="D323" s="95"/>
      <c r="E323" s="149"/>
      <c r="F323" s="149"/>
      <c r="G323" s="95"/>
      <c r="H323" s="149"/>
      <c r="I323" s="95"/>
      <c r="J323" s="95"/>
      <c r="K323" s="156"/>
      <c r="L323" s="156"/>
      <c r="M323" s="100"/>
      <c r="N323" s="127"/>
      <c r="O323" s="128"/>
      <c r="P323" s="95"/>
      <c r="Q323" s="137"/>
      <c r="R323" s="129"/>
      <c r="S323" s="95"/>
      <c r="T323" s="95"/>
      <c r="V323" s="107"/>
    </row>
    <row r="324" ht="15.75" customHeight="1">
      <c r="A324" s="89"/>
      <c r="B324" s="182"/>
      <c r="C324" s="149"/>
      <c r="D324" s="95"/>
      <c r="E324" s="149"/>
      <c r="F324" s="149"/>
      <c r="G324" s="95"/>
      <c r="H324" s="149"/>
      <c r="I324" s="95"/>
      <c r="J324" s="95"/>
      <c r="K324" s="154"/>
      <c r="L324" s="154"/>
      <c r="M324" s="100"/>
      <c r="N324" s="127"/>
      <c r="O324" s="128"/>
      <c r="P324" s="95"/>
      <c r="Q324" s="137"/>
      <c r="R324" s="129"/>
      <c r="S324" s="95"/>
      <c r="T324" s="95"/>
      <c r="V324" s="107"/>
    </row>
    <row r="325" ht="15.75" customHeight="1">
      <c r="A325" s="89"/>
      <c r="B325" s="182"/>
      <c r="C325" s="107"/>
      <c r="D325" s="95"/>
      <c r="E325" s="149"/>
      <c r="F325" s="149"/>
      <c r="G325" s="95"/>
      <c r="H325" s="149"/>
      <c r="I325" s="95"/>
      <c r="J325" s="95"/>
      <c r="K325" s="156"/>
      <c r="L325" s="156"/>
      <c r="M325" s="100"/>
      <c r="N325" s="127"/>
      <c r="O325" s="128"/>
      <c r="P325" s="95"/>
      <c r="Q325" s="137"/>
      <c r="R325" s="129"/>
      <c r="S325" s="95"/>
      <c r="T325" s="95"/>
      <c r="V325" s="107"/>
    </row>
    <row r="326" ht="15.75" customHeight="1">
      <c r="A326" s="89"/>
      <c r="B326" s="182"/>
      <c r="C326" s="149"/>
      <c r="D326" s="95"/>
      <c r="E326" s="149"/>
      <c r="F326" s="149"/>
      <c r="G326" s="95"/>
      <c r="H326" s="149"/>
      <c r="I326" s="95"/>
      <c r="J326" s="95"/>
      <c r="K326" s="154"/>
      <c r="L326" s="154"/>
      <c r="M326" s="100"/>
      <c r="N326" s="127"/>
      <c r="O326" s="128"/>
      <c r="P326" s="95"/>
      <c r="Q326" s="137"/>
      <c r="R326" s="129"/>
      <c r="S326" s="95"/>
      <c r="T326" s="95"/>
      <c r="V326" s="107"/>
    </row>
    <row r="327" ht="15.75" customHeight="1">
      <c r="A327" s="89"/>
      <c r="B327" s="182"/>
      <c r="C327" s="149"/>
      <c r="D327" s="95"/>
      <c r="E327" s="149"/>
      <c r="F327" s="149"/>
      <c r="G327" s="95"/>
      <c r="H327" s="149"/>
      <c r="I327" s="95"/>
      <c r="J327" s="95"/>
      <c r="K327" s="156"/>
      <c r="L327" s="156"/>
      <c r="M327" s="100"/>
      <c r="N327" s="127"/>
      <c r="O327" s="128"/>
      <c r="P327" s="95"/>
      <c r="Q327" s="137"/>
      <c r="R327" s="129"/>
      <c r="S327" s="95"/>
      <c r="T327" s="95"/>
      <c r="V327" s="107"/>
    </row>
    <row r="328" ht="15.75" customHeight="1">
      <c r="A328" s="89"/>
      <c r="B328" s="182"/>
      <c r="C328" s="149"/>
      <c r="D328" s="95"/>
      <c r="E328" s="149"/>
      <c r="F328" s="149"/>
      <c r="G328" s="95"/>
      <c r="H328" s="149"/>
      <c r="I328" s="95"/>
      <c r="J328" s="95"/>
      <c r="K328" s="158"/>
      <c r="L328" s="158"/>
      <c r="M328" s="100"/>
      <c r="N328" s="127"/>
      <c r="O328" s="128"/>
      <c r="P328" s="95"/>
      <c r="Q328" s="137"/>
      <c r="R328" s="129"/>
      <c r="S328" s="95"/>
      <c r="T328" s="95"/>
      <c r="V328" s="107"/>
    </row>
    <row r="329" ht="15.75" customHeight="1">
      <c r="A329" s="89"/>
      <c r="B329" s="182"/>
      <c r="C329" s="149"/>
      <c r="D329" s="95"/>
      <c r="E329" s="149"/>
      <c r="F329" s="149"/>
      <c r="G329" s="95"/>
      <c r="H329" s="149"/>
      <c r="I329" s="95"/>
      <c r="J329" s="95"/>
      <c r="K329" s="158"/>
      <c r="L329" s="158"/>
      <c r="M329" s="100"/>
      <c r="N329" s="127"/>
      <c r="O329" s="128"/>
      <c r="P329" s="95"/>
      <c r="Q329" s="137"/>
      <c r="R329" s="129"/>
      <c r="S329" s="95"/>
      <c r="T329" s="95"/>
      <c r="V329" s="107"/>
    </row>
    <row r="330" ht="15.75" customHeight="1">
      <c r="A330" s="89"/>
      <c r="B330" s="182"/>
      <c r="C330" s="149"/>
      <c r="D330" s="95"/>
      <c r="E330" s="149"/>
      <c r="F330" s="149"/>
      <c r="G330" s="95"/>
      <c r="H330" s="149"/>
      <c r="I330" s="95"/>
      <c r="J330" s="95"/>
      <c r="K330" s="158"/>
      <c r="L330" s="158"/>
      <c r="M330" s="100"/>
      <c r="N330" s="127"/>
      <c r="O330" s="128"/>
      <c r="P330" s="95"/>
      <c r="Q330" s="137"/>
      <c r="R330" s="129"/>
      <c r="S330" s="95"/>
      <c r="T330" s="95"/>
      <c r="V330" s="107"/>
    </row>
    <row r="331" ht="15.75" customHeight="1">
      <c r="A331" s="89"/>
      <c r="B331" s="182"/>
      <c r="C331" s="107"/>
      <c r="D331" s="95"/>
      <c r="E331" s="149"/>
      <c r="F331" s="149"/>
      <c r="G331" s="95"/>
      <c r="H331" s="149"/>
      <c r="I331" s="95"/>
      <c r="J331" s="95"/>
      <c r="K331" s="158"/>
      <c r="L331" s="158"/>
      <c r="M331" s="100"/>
      <c r="N331" s="127"/>
      <c r="O331" s="128"/>
      <c r="P331" s="95"/>
      <c r="Q331" s="137"/>
      <c r="R331" s="129"/>
      <c r="S331" s="95"/>
      <c r="T331" s="95"/>
      <c r="V331" s="107"/>
    </row>
    <row r="332" ht="15.75" customHeight="1">
      <c r="A332" s="89"/>
      <c r="B332" s="182"/>
      <c r="C332" s="149"/>
      <c r="D332" s="95"/>
      <c r="E332" s="149"/>
      <c r="F332" s="149"/>
      <c r="G332" s="95"/>
      <c r="H332" s="149"/>
      <c r="I332" s="95"/>
      <c r="J332" s="95"/>
      <c r="K332" s="158"/>
      <c r="L332" s="158"/>
      <c r="M332" s="100"/>
      <c r="N332" s="127"/>
      <c r="O332" s="128"/>
      <c r="P332" s="95"/>
      <c r="Q332" s="137"/>
      <c r="R332" s="129"/>
      <c r="S332" s="95"/>
      <c r="T332" s="95"/>
      <c r="V332" s="107"/>
    </row>
    <row r="333" ht="15.75" customHeight="1">
      <c r="A333" s="89"/>
      <c r="B333" s="182"/>
      <c r="C333" s="149"/>
      <c r="D333" s="95"/>
      <c r="E333" s="149"/>
      <c r="F333" s="149"/>
      <c r="G333" s="95"/>
      <c r="H333" s="149"/>
      <c r="I333" s="95"/>
      <c r="J333" s="95"/>
      <c r="K333" s="158"/>
      <c r="L333" s="158"/>
      <c r="M333" s="100"/>
      <c r="N333" s="127"/>
      <c r="O333" s="128"/>
      <c r="P333" s="95"/>
      <c r="Q333" s="137"/>
      <c r="R333" s="129"/>
      <c r="S333" s="95"/>
      <c r="T333" s="95"/>
      <c r="V333" s="107"/>
    </row>
    <row r="334" ht="15.75" customHeight="1">
      <c r="A334" s="89"/>
      <c r="B334" s="182"/>
      <c r="C334" s="149"/>
      <c r="D334" s="95"/>
      <c r="E334" s="149"/>
      <c r="F334" s="149"/>
      <c r="G334" s="95"/>
      <c r="H334" s="149"/>
      <c r="I334" s="95"/>
      <c r="J334" s="95"/>
      <c r="K334" s="158"/>
      <c r="L334" s="158"/>
      <c r="M334" s="100"/>
      <c r="N334" s="127"/>
      <c r="O334" s="128"/>
      <c r="P334" s="95"/>
      <c r="Q334" s="137"/>
      <c r="R334" s="129"/>
      <c r="S334" s="95"/>
      <c r="T334" s="95"/>
      <c r="V334" s="107"/>
    </row>
    <row r="335" ht="15.75" customHeight="1">
      <c r="A335" s="89"/>
      <c r="B335" s="182"/>
      <c r="C335" s="149"/>
      <c r="D335" s="95"/>
      <c r="E335" s="149"/>
      <c r="F335" s="149"/>
      <c r="G335" s="95"/>
      <c r="H335" s="149"/>
      <c r="I335" s="95"/>
      <c r="J335" s="95"/>
      <c r="K335" s="158"/>
      <c r="L335" s="158"/>
      <c r="M335" s="100"/>
      <c r="N335" s="127"/>
      <c r="O335" s="128"/>
      <c r="P335" s="95"/>
      <c r="Q335" s="137"/>
      <c r="R335" s="129"/>
      <c r="S335" s="95"/>
      <c r="T335" s="95"/>
      <c r="V335" s="107"/>
    </row>
    <row r="336" ht="15.75" customHeight="1">
      <c r="A336" s="89"/>
      <c r="B336" s="182"/>
      <c r="C336" s="149"/>
      <c r="D336" s="95"/>
      <c r="E336" s="149"/>
      <c r="F336" s="149"/>
      <c r="G336" s="95"/>
      <c r="H336" s="149"/>
      <c r="I336" s="95"/>
      <c r="J336" s="95"/>
      <c r="K336" s="158"/>
      <c r="L336" s="158"/>
      <c r="M336" s="100"/>
      <c r="N336" s="127"/>
      <c r="O336" s="128"/>
      <c r="P336" s="95"/>
      <c r="Q336" s="137"/>
      <c r="R336" s="129"/>
      <c r="S336" s="95"/>
      <c r="T336" s="95"/>
      <c r="V336" s="107"/>
    </row>
    <row r="337" ht="15.75" customHeight="1">
      <c r="A337" s="89"/>
      <c r="B337" s="182"/>
      <c r="C337" s="107"/>
      <c r="D337" s="95"/>
      <c r="E337" s="149"/>
      <c r="F337" s="149"/>
      <c r="G337" s="95"/>
      <c r="H337" s="149"/>
      <c r="I337" s="95"/>
      <c r="J337" s="95"/>
      <c r="K337" s="158"/>
      <c r="L337" s="158"/>
      <c r="M337" s="100"/>
      <c r="N337" s="127"/>
      <c r="O337" s="128"/>
      <c r="P337" s="95"/>
      <c r="Q337" s="137"/>
      <c r="R337" s="129"/>
      <c r="S337" s="95"/>
      <c r="T337" s="95"/>
      <c r="V337" s="107"/>
    </row>
    <row r="338" ht="15.75" customHeight="1">
      <c r="A338" s="89"/>
      <c r="B338" s="182"/>
      <c r="C338" s="149"/>
      <c r="D338" s="95"/>
      <c r="E338" s="149"/>
      <c r="F338" s="149"/>
      <c r="G338" s="95"/>
      <c r="H338" s="149"/>
      <c r="I338" s="95"/>
      <c r="J338" s="95"/>
      <c r="K338" s="158"/>
      <c r="L338" s="158"/>
      <c r="M338" s="100"/>
      <c r="N338" s="127"/>
      <c r="O338" s="128"/>
      <c r="P338" s="95"/>
      <c r="Q338" s="137"/>
      <c r="R338" s="129"/>
      <c r="S338" s="95"/>
      <c r="T338" s="95"/>
      <c r="V338" s="107"/>
    </row>
    <row r="339" ht="15.75" customHeight="1">
      <c r="A339" s="89"/>
      <c r="B339" s="182"/>
      <c r="C339" s="149"/>
      <c r="D339" s="95"/>
      <c r="E339" s="149"/>
      <c r="F339" s="149"/>
      <c r="G339" s="95"/>
      <c r="H339" s="149"/>
      <c r="I339" s="95"/>
      <c r="J339" s="95"/>
      <c r="K339" s="158"/>
      <c r="L339" s="158"/>
      <c r="M339" s="100"/>
      <c r="N339" s="127"/>
      <c r="O339" s="128"/>
      <c r="P339" s="95"/>
      <c r="Q339" s="137"/>
      <c r="R339" s="129"/>
      <c r="S339" s="95"/>
      <c r="T339" s="95"/>
      <c r="V339" s="107"/>
    </row>
    <row r="340" ht="15.75" customHeight="1">
      <c r="A340" s="89"/>
      <c r="B340" s="182"/>
      <c r="C340" s="149"/>
      <c r="D340" s="95"/>
      <c r="E340" s="149"/>
      <c r="F340" s="149"/>
      <c r="G340" s="95"/>
      <c r="H340" s="149"/>
      <c r="I340" s="95"/>
      <c r="J340" s="95"/>
      <c r="K340" s="158"/>
      <c r="L340" s="158"/>
      <c r="M340" s="100"/>
      <c r="N340" s="127"/>
      <c r="O340" s="128"/>
      <c r="P340" s="95"/>
      <c r="Q340" s="137"/>
      <c r="R340" s="129"/>
      <c r="S340" s="95"/>
      <c r="T340" s="95"/>
      <c r="V340" s="107"/>
    </row>
    <row r="341" ht="15.75" customHeight="1">
      <c r="A341" s="89"/>
      <c r="B341" s="182"/>
      <c r="C341" s="149"/>
      <c r="D341" s="95"/>
      <c r="E341" s="149"/>
      <c r="F341" s="149"/>
      <c r="G341" s="95"/>
      <c r="H341" s="149"/>
      <c r="I341" s="95"/>
      <c r="J341" s="95"/>
      <c r="K341" s="158"/>
      <c r="L341" s="158"/>
      <c r="M341" s="100"/>
      <c r="N341" s="127"/>
      <c r="O341" s="128"/>
      <c r="P341" s="95"/>
      <c r="Q341" s="137"/>
      <c r="R341" s="129"/>
      <c r="S341" s="95"/>
      <c r="T341" s="95"/>
      <c r="V341" s="107"/>
    </row>
    <row r="342" ht="15.75" customHeight="1">
      <c r="A342" s="89"/>
      <c r="B342" s="182"/>
      <c r="C342" s="149"/>
      <c r="D342" s="95"/>
      <c r="E342" s="149"/>
      <c r="F342" s="149"/>
      <c r="G342" s="95"/>
      <c r="H342" s="149"/>
      <c r="I342" s="95"/>
      <c r="J342" s="95"/>
      <c r="K342" s="158"/>
      <c r="L342" s="158"/>
      <c r="M342" s="100"/>
      <c r="N342" s="127"/>
      <c r="O342" s="128"/>
      <c r="P342" s="95"/>
      <c r="Q342" s="137"/>
      <c r="R342" s="129"/>
      <c r="S342" s="95"/>
      <c r="T342" s="95"/>
      <c r="V342" s="107"/>
    </row>
    <row r="343" ht="15.75" customHeight="1">
      <c r="A343" s="89"/>
      <c r="B343" s="182"/>
      <c r="C343" s="107"/>
      <c r="D343" s="95"/>
      <c r="E343" s="149"/>
      <c r="F343" s="149"/>
      <c r="G343" s="95"/>
      <c r="H343" s="149"/>
      <c r="I343" s="95"/>
      <c r="J343" s="95"/>
      <c r="K343" s="158"/>
      <c r="L343" s="158"/>
      <c r="M343" s="100"/>
      <c r="N343" s="127"/>
      <c r="O343" s="128"/>
      <c r="P343" s="95"/>
      <c r="Q343" s="137"/>
      <c r="R343" s="129"/>
      <c r="S343" s="95"/>
      <c r="T343" s="95"/>
      <c r="V343" s="107"/>
    </row>
    <row r="344" ht="15.75" customHeight="1">
      <c r="A344" s="89"/>
      <c r="B344" s="182"/>
      <c r="C344" s="149"/>
      <c r="D344" s="95"/>
      <c r="E344" s="149"/>
      <c r="F344" s="149"/>
      <c r="G344" s="95"/>
      <c r="H344" s="149"/>
      <c r="I344" s="95"/>
      <c r="J344" s="95"/>
      <c r="K344" s="158"/>
      <c r="L344" s="158"/>
      <c r="M344" s="100"/>
      <c r="N344" s="127"/>
      <c r="O344" s="128"/>
      <c r="P344" s="95"/>
      <c r="Q344" s="137"/>
      <c r="R344" s="129"/>
      <c r="S344" s="95"/>
      <c r="T344" s="95"/>
      <c r="V344" s="107"/>
    </row>
    <row r="345" ht="15.75" customHeight="1">
      <c r="A345" s="89"/>
      <c r="B345" s="182"/>
      <c r="C345" s="149"/>
      <c r="D345" s="95"/>
      <c r="E345" s="149"/>
      <c r="F345" s="149"/>
      <c r="G345" s="95"/>
      <c r="H345" s="149"/>
      <c r="I345" s="95"/>
      <c r="J345" s="95"/>
      <c r="K345" s="158"/>
      <c r="L345" s="158"/>
      <c r="M345" s="100"/>
      <c r="N345" s="127"/>
      <c r="O345" s="128"/>
      <c r="P345" s="95"/>
      <c r="Q345" s="137"/>
      <c r="R345" s="129"/>
      <c r="S345" s="95"/>
      <c r="T345" s="95"/>
      <c r="V345" s="107"/>
    </row>
    <row r="346" ht="15.75" customHeight="1">
      <c r="A346" s="89"/>
      <c r="B346" s="182"/>
      <c r="C346" s="149"/>
      <c r="D346" s="95"/>
      <c r="E346" s="149"/>
      <c r="F346" s="149"/>
      <c r="G346" s="95"/>
      <c r="H346" s="149"/>
      <c r="I346" s="95"/>
      <c r="J346" s="95"/>
      <c r="K346" s="158"/>
      <c r="L346" s="158"/>
      <c r="M346" s="100"/>
      <c r="N346" s="127"/>
      <c r="O346" s="128"/>
      <c r="P346" s="95"/>
      <c r="Q346" s="137"/>
      <c r="R346" s="129"/>
      <c r="S346" s="95"/>
      <c r="T346" s="95"/>
      <c r="V346" s="107"/>
    </row>
    <row r="347" ht="15.75" customHeight="1">
      <c r="A347" s="89"/>
      <c r="B347" s="182"/>
      <c r="C347" s="149"/>
      <c r="D347" s="95"/>
      <c r="E347" s="149"/>
      <c r="F347" s="149"/>
      <c r="G347" s="95"/>
      <c r="H347" s="149"/>
      <c r="I347" s="95"/>
      <c r="J347" s="95"/>
      <c r="K347" s="158"/>
      <c r="L347" s="158"/>
      <c r="M347" s="100"/>
      <c r="N347" s="127"/>
      <c r="O347" s="128"/>
      <c r="P347" s="95"/>
      <c r="Q347" s="137"/>
      <c r="R347" s="129"/>
      <c r="S347" s="95"/>
      <c r="T347" s="95"/>
      <c r="V347" s="107"/>
    </row>
    <row r="348" ht="15.75" customHeight="1">
      <c r="A348" s="89"/>
      <c r="B348" s="182"/>
      <c r="C348" s="149"/>
      <c r="D348" s="95"/>
      <c r="E348" s="149"/>
      <c r="F348" s="149"/>
      <c r="G348" s="95"/>
      <c r="H348" s="149"/>
      <c r="I348" s="95"/>
      <c r="J348" s="95"/>
      <c r="K348" s="158"/>
      <c r="L348" s="158"/>
      <c r="M348" s="100"/>
      <c r="N348" s="127"/>
      <c r="O348" s="128"/>
      <c r="P348" s="95"/>
      <c r="Q348" s="137"/>
      <c r="R348" s="129"/>
      <c r="S348" s="95"/>
      <c r="T348" s="95"/>
      <c r="V348" s="107"/>
    </row>
    <row r="349" ht="15.75" customHeight="1">
      <c r="A349" s="89"/>
      <c r="B349" s="182"/>
      <c r="C349" s="107"/>
      <c r="D349" s="95"/>
      <c r="E349" s="149"/>
      <c r="F349" s="149"/>
      <c r="G349" s="95"/>
      <c r="H349" s="149"/>
      <c r="I349" s="95"/>
      <c r="J349" s="95"/>
      <c r="K349" s="158"/>
      <c r="L349" s="158"/>
      <c r="M349" s="100"/>
      <c r="N349" s="127"/>
      <c r="O349" s="128"/>
      <c r="P349" s="95"/>
      <c r="Q349" s="137"/>
      <c r="R349" s="129"/>
      <c r="S349" s="95"/>
      <c r="T349" s="95"/>
      <c r="V349" s="107"/>
    </row>
    <row r="350" ht="15.75" customHeight="1">
      <c r="A350" s="89"/>
      <c r="B350" s="182"/>
      <c r="C350" s="149"/>
      <c r="D350" s="95"/>
      <c r="E350" s="149"/>
      <c r="F350" s="149"/>
      <c r="G350" s="95"/>
      <c r="H350" s="149"/>
      <c r="I350" s="95"/>
      <c r="J350" s="95"/>
      <c r="K350" s="158"/>
      <c r="L350" s="158"/>
      <c r="M350" s="100"/>
      <c r="N350" s="127"/>
      <c r="O350" s="128"/>
      <c r="P350" s="95"/>
      <c r="Q350" s="137"/>
      <c r="R350" s="129"/>
      <c r="S350" s="95"/>
      <c r="T350" s="95"/>
      <c r="V350" s="107"/>
    </row>
    <row r="351" ht="15.75" customHeight="1">
      <c r="A351" s="89"/>
      <c r="B351" s="182"/>
      <c r="C351" s="149"/>
      <c r="D351" s="95"/>
      <c r="E351" s="149"/>
      <c r="F351" s="149"/>
      <c r="G351" s="95"/>
      <c r="H351" s="149"/>
      <c r="I351" s="95"/>
      <c r="J351" s="95"/>
      <c r="K351" s="158"/>
      <c r="L351" s="158"/>
      <c r="M351" s="100"/>
      <c r="N351" s="127"/>
      <c r="O351" s="128"/>
      <c r="P351" s="95"/>
      <c r="Q351" s="137"/>
      <c r="R351" s="129"/>
      <c r="S351" s="95"/>
      <c r="T351" s="95"/>
      <c r="V351" s="107"/>
    </row>
    <row r="352" ht="15.75" customHeight="1">
      <c r="A352" s="89"/>
      <c r="B352" s="182"/>
      <c r="C352" s="149"/>
      <c r="D352" s="95"/>
      <c r="E352" s="149"/>
      <c r="F352" s="149"/>
      <c r="G352" s="95"/>
      <c r="H352" s="149"/>
      <c r="I352" s="95"/>
      <c r="J352" s="95"/>
      <c r="K352" s="158"/>
      <c r="L352" s="158"/>
      <c r="M352" s="100"/>
      <c r="N352" s="127"/>
      <c r="O352" s="128"/>
      <c r="P352" s="95"/>
      <c r="Q352" s="137"/>
      <c r="R352" s="129"/>
      <c r="S352" s="95"/>
      <c r="T352" s="95"/>
      <c r="V352" s="107"/>
    </row>
    <row r="353" ht="15.75" customHeight="1">
      <c r="A353" s="89"/>
      <c r="B353" s="182"/>
      <c r="C353" s="149"/>
      <c r="D353" s="95"/>
      <c r="E353" s="149"/>
      <c r="F353" s="149"/>
      <c r="G353" s="95"/>
      <c r="H353" s="149"/>
      <c r="I353" s="95"/>
      <c r="J353" s="95"/>
      <c r="K353" s="158"/>
      <c r="L353" s="158"/>
      <c r="M353" s="100"/>
      <c r="N353" s="127"/>
      <c r="O353" s="128"/>
      <c r="P353" s="95"/>
      <c r="Q353" s="137"/>
      <c r="R353" s="129"/>
      <c r="S353" s="95"/>
      <c r="T353" s="95"/>
      <c r="V353" s="107"/>
    </row>
    <row r="354" ht="15.75" customHeight="1">
      <c r="A354" s="89"/>
      <c r="B354" s="182"/>
      <c r="C354" s="149"/>
      <c r="D354" s="95"/>
      <c r="E354" s="149"/>
      <c r="F354" s="149"/>
      <c r="G354" s="95"/>
      <c r="H354" s="149"/>
      <c r="I354" s="95"/>
      <c r="J354" s="95"/>
      <c r="K354" s="158"/>
      <c r="L354" s="158"/>
      <c r="M354" s="100"/>
      <c r="N354" s="127"/>
      <c r="O354" s="128"/>
      <c r="P354" s="95"/>
      <c r="Q354" s="137"/>
      <c r="R354" s="129"/>
      <c r="S354" s="95"/>
      <c r="T354" s="95"/>
      <c r="V354" s="107"/>
    </row>
    <row r="355" ht="15.75" customHeight="1">
      <c r="A355" s="89"/>
      <c r="B355" s="182"/>
      <c r="C355" s="107"/>
      <c r="D355" s="95"/>
      <c r="E355" s="149"/>
      <c r="F355" s="149"/>
      <c r="G355" s="95"/>
      <c r="H355" s="149"/>
      <c r="I355" s="95"/>
      <c r="J355" s="95"/>
      <c r="K355" s="158"/>
      <c r="L355" s="158"/>
      <c r="M355" s="100"/>
      <c r="N355" s="127"/>
      <c r="O355" s="128"/>
      <c r="P355" s="95"/>
      <c r="Q355" s="137"/>
      <c r="R355" s="129"/>
      <c r="S355" s="95"/>
      <c r="T355" s="95"/>
      <c r="V355" s="107"/>
    </row>
    <row r="356" ht="15.75" customHeight="1">
      <c r="A356" s="89"/>
      <c r="B356" s="182"/>
      <c r="C356" s="149"/>
      <c r="D356" s="95"/>
      <c r="E356" s="149"/>
      <c r="F356" s="149"/>
      <c r="G356" s="95"/>
      <c r="H356" s="149"/>
      <c r="I356" s="95"/>
      <c r="J356" s="95"/>
      <c r="K356" s="158"/>
      <c r="L356" s="158"/>
      <c r="M356" s="100"/>
      <c r="N356" s="127"/>
      <c r="O356" s="128"/>
      <c r="P356" s="95"/>
      <c r="Q356" s="137"/>
      <c r="R356" s="129"/>
      <c r="S356" s="95"/>
      <c r="T356" s="95"/>
      <c r="V356" s="107"/>
    </row>
    <row r="357" ht="15.75" customHeight="1">
      <c r="A357" s="89"/>
      <c r="B357" s="182"/>
      <c r="C357" s="149"/>
      <c r="D357" s="95"/>
      <c r="E357" s="149"/>
      <c r="F357" s="149"/>
      <c r="G357" s="95"/>
      <c r="H357" s="149"/>
      <c r="I357" s="95"/>
      <c r="J357" s="95"/>
      <c r="K357" s="158"/>
      <c r="L357" s="158"/>
      <c r="M357" s="100"/>
      <c r="N357" s="127"/>
      <c r="O357" s="128"/>
      <c r="P357" s="95"/>
      <c r="Q357" s="137"/>
      <c r="R357" s="129"/>
      <c r="S357" s="95"/>
      <c r="T357" s="95"/>
      <c r="V357" s="107"/>
    </row>
    <row r="358" ht="15.75" customHeight="1">
      <c r="A358" s="89"/>
      <c r="B358" s="182"/>
      <c r="C358" s="149"/>
      <c r="D358" s="95"/>
      <c r="E358" s="149"/>
      <c r="F358" s="149"/>
      <c r="G358" s="95"/>
      <c r="H358" s="149"/>
      <c r="I358" s="95"/>
      <c r="J358" s="95"/>
      <c r="K358" s="158"/>
      <c r="L358" s="158"/>
      <c r="M358" s="100"/>
      <c r="N358" s="127"/>
      <c r="O358" s="128"/>
      <c r="P358" s="95"/>
      <c r="Q358" s="137"/>
      <c r="R358" s="129"/>
      <c r="S358" s="95"/>
      <c r="T358" s="95"/>
      <c r="V358" s="107"/>
    </row>
    <row r="359" ht="15.75" customHeight="1">
      <c r="A359" s="89"/>
      <c r="B359" s="182"/>
      <c r="C359" s="149"/>
      <c r="D359" s="95"/>
      <c r="E359" s="149"/>
      <c r="F359" s="149"/>
      <c r="G359" s="95"/>
      <c r="H359" s="149"/>
      <c r="I359" s="95"/>
      <c r="J359" s="95"/>
      <c r="K359" s="158"/>
      <c r="L359" s="158"/>
      <c r="M359" s="100"/>
      <c r="N359" s="127"/>
      <c r="O359" s="128"/>
      <c r="P359" s="95"/>
      <c r="Q359" s="137"/>
      <c r="R359" s="129"/>
      <c r="S359" s="95"/>
      <c r="T359" s="95"/>
      <c r="V359" s="107"/>
    </row>
    <row r="360" ht="15.75" customHeight="1">
      <c r="A360" s="89"/>
      <c r="B360" s="182"/>
      <c r="C360" s="149"/>
      <c r="D360" s="95"/>
      <c r="E360" s="149"/>
      <c r="F360" s="149"/>
      <c r="G360" s="95"/>
      <c r="H360" s="149"/>
      <c r="I360" s="95"/>
      <c r="J360" s="95"/>
      <c r="K360" s="158"/>
      <c r="L360" s="158"/>
      <c r="M360" s="100"/>
      <c r="N360" s="127"/>
      <c r="O360" s="128"/>
      <c r="P360" s="95"/>
      <c r="Q360" s="137"/>
      <c r="R360" s="129"/>
      <c r="S360" s="95"/>
      <c r="T360" s="95"/>
      <c r="V360" s="107"/>
    </row>
  </sheetData>
  <autoFilter ref="$A$12:$V$109"/>
  <customSheetViews>
    <customSheetView guid="{3D5205AB-724F-426F-9D73-83BFCBF63977}" filter="1" showAutoFilter="1">
      <autoFilter ref="$R$18"/>
    </customSheetView>
  </customSheetViews>
  <mergeCells count="350">
    <mergeCell ref="T9:U9"/>
    <mergeCell ref="T10:U10"/>
    <mergeCell ref="T11:U11"/>
    <mergeCell ref="T12:U12"/>
    <mergeCell ref="T13:U13"/>
    <mergeCell ref="T14:U14"/>
    <mergeCell ref="T15:U15"/>
    <mergeCell ref="T16:U16"/>
    <mergeCell ref="T17:U17"/>
    <mergeCell ref="T18:U18"/>
    <mergeCell ref="T19:U19"/>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60">
      <formula1>"Think About It,Money,Partner,Time,Fear,Value"</formula1>
    </dataValidation>
    <dataValidation type="list" allowBlank="1" showErrorMessage="1" sqref="I13: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R13"/>
    <hyperlink r:id="rId3" ref="R14"/>
    <hyperlink r:id="rId4" ref="R15"/>
    <hyperlink r:id="rId5" ref="R16"/>
    <hyperlink r:id="rId6" ref="R17"/>
    <hyperlink r:id="rId7" ref="R18"/>
    <hyperlink r:id="rId8" ref="R19"/>
    <hyperlink r:id="rId9" ref="R20"/>
    <hyperlink r:id="rId10" ref="R21"/>
    <hyperlink r:id="rId11" ref="R22"/>
    <hyperlink r:id="rId12" ref="R24"/>
    <hyperlink r:id="rId13" ref="R25"/>
    <hyperlink r:id="rId14" ref="R26"/>
  </hyperlinks>
  <drawing r:id="rId15"/>
  <legacy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3.5"/>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5"/>
      <c r="B1" s="87" t="s">
        <v>31</v>
      </c>
      <c r="C1" s="87" t="s">
        <v>77</v>
      </c>
      <c r="D1" s="35"/>
      <c r="E1" s="38" t="s">
        <v>33</v>
      </c>
      <c r="F1" s="39"/>
      <c r="G1" s="35"/>
      <c r="H1" s="38" t="s">
        <v>34</v>
      </c>
      <c r="I1" s="39"/>
      <c r="J1" s="13"/>
      <c r="K1" s="159" t="s">
        <v>35</v>
      </c>
      <c r="L1" s="41"/>
      <c r="M1" s="13"/>
      <c r="N1" s="38" t="s">
        <v>36</v>
      </c>
      <c r="O1" s="42"/>
      <c r="P1" s="35"/>
      <c r="Q1" s="38" t="s">
        <v>37</v>
      </c>
      <c r="R1" s="43"/>
      <c r="S1" s="39"/>
      <c r="T1" s="39"/>
      <c r="U1" s="35" t="s">
        <v>38</v>
      </c>
      <c r="V1" s="35"/>
    </row>
    <row r="2">
      <c r="A2" s="35"/>
      <c r="B2" s="39"/>
      <c r="C2" s="39"/>
      <c r="D2" s="13"/>
      <c r="E2" s="160" t="s">
        <v>26</v>
      </c>
      <c r="F2" s="161">
        <f>IFERROR(COUNTIFS(I13:I287, "Full-Pay"),"")</f>
        <v>3</v>
      </c>
      <c r="G2" s="13"/>
      <c r="H2" s="46" t="s">
        <v>16</v>
      </c>
      <c r="I2" s="47">
        <f>iferror(I10/I8,"")</f>
        <v>0.6428571429</v>
      </c>
      <c r="J2" s="12"/>
      <c r="K2" s="162" t="s">
        <v>39</v>
      </c>
      <c r="L2" s="49">
        <f>iferror(F8/I6,"")</f>
        <v>0</v>
      </c>
      <c r="M2" s="12"/>
      <c r="N2" s="50" t="s">
        <v>40</v>
      </c>
      <c r="O2" s="51">
        <f>IFERROR(COUNTIFS(N13:N286, "think about it"),"")</f>
        <v>2</v>
      </c>
      <c r="P2" s="13"/>
      <c r="Q2" s="52" t="s">
        <v>41</v>
      </c>
      <c r="R2" s="53">
        <f>IFERROR(COUNTIF(H13:H286,Q2),"")</f>
        <v>0</v>
      </c>
      <c r="S2" s="52" t="s">
        <v>42</v>
      </c>
      <c r="T2" s="54">
        <f>IFERROR(COUNTIF(H13:H286,S2),"")</f>
        <v>0</v>
      </c>
      <c r="U2" s="35"/>
      <c r="V2" s="55"/>
    </row>
    <row r="3">
      <c r="A3" s="13"/>
      <c r="B3" s="163" t="s">
        <v>43</v>
      </c>
      <c r="C3" s="57">
        <f>IFERROR(SUM(K13:K283),"")</f>
        <v>60000</v>
      </c>
      <c r="D3" s="58"/>
      <c r="E3" s="160" t="s">
        <v>27</v>
      </c>
      <c r="F3" s="161">
        <f>IFERROR(COUNTIFS(I13:I287, "Split-Pay"),"")</f>
        <v>6</v>
      </c>
      <c r="G3" s="13"/>
      <c r="H3" s="46" t="s">
        <v>17</v>
      </c>
      <c r="I3" s="47">
        <f>IFERROR(I10/I9,"")</f>
        <v>0.6428571429</v>
      </c>
      <c r="J3" s="12"/>
      <c r="K3" s="162" t="s">
        <v>44</v>
      </c>
      <c r="L3" s="49">
        <f>iferror(F9/I6,"")</f>
        <v>0</v>
      </c>
      <c r="M3" s="12"/>
      <c r="N3" s="50" t="s">
        <v>45</v>
      </c>
      <c r="O3" s="59">
        <f>IFERROR(COUNTIFS(N13:N286, "money"),"")</f>
        <v>8</v>
      </c>
      <c r="P3" s="13"/>
      <c r="Q3" s="52" t="s">
        <v>46</v>
      </c>
      <c r="R3" s="53">
        <f>IFERROR(COUNTIF(H13:H286,Q3),"")</f>
        <v>0</v>
      </c>
      <c r="S3" s="52" t="s">
        <v>47</v>
      </c>
      <c r="T3" s="54">
        <f>IFERROR(COUNTIF(H13:H286,S3),"")</f>
        <v>0</v>
      </c>
      <c r="U3" s="35"/>
      <c r="V3" s="55"/>
    </row>
    <row r="4">
      <c r="A4" s="13"/>
      <c r="B4" s="164" t="s">
        <v>48</v>
      </c>
      <c r="C4" s="61">
        <f>IFERROR(SUM(L13:L284),"")</f>
        <v>34500</v>
      </c>
      <c r="D4" s="58"/>
      <c r="E4" s="160" t="s">
        <v>28</v>
      </c>
      <c r="F4" s="161">
        <f>IFERROR(COUNTIFS(I13:I287, "Deposit"),"")</f>
        <v>0</v>
      </c>
      <c r="G4" s="13"/>
      <c r="H4" s="46" t="s">
        <v>18</v>
      </c>
      <c r="I4" s="47">
        <f>IFERROR(I9/I8,"")</f>
        <v>1</v>
      </c>
      <c r="J4" s="12"/>
      <c r="K4" s="162" t="s">
        <v>49</v>
      </c>
      <c r="L4" s="49">
        <f>iferror(F10/I6,"")</f>
        <v>0</v>
      </c>
      <c r="M4" s="12"/>
      <c r="N4" s="50" t="s">
        <v>50</v>
      </c>
      <c r="O4" s="51">
        <f>IFERROR(COUNTIFS(N13:N286, "time"),"")</f>
        <v>0</v>
      </c>
      <c r="P4" s="13"/>
      <c r="Q4" s="52" t="s">
        <v>51</v>
      </c>
      <c r="R4" s="53">
        <f>IFERROR(COUNTIF(H13:H286,Q4),"")</f>
        <v>0</v>
      </c>
      <c r="S4" s="52" t="s">
        <v>52</v>
      </c>
      <c r="T4" s="54">
        <f>IFERROR(COUNTIF(H13:H286,S4),"")</f>
        <v>0</v>
      </c>
      <c r="U4" s="35"/>
      <c r="V4" s="35"/>
    </row>
    <row r="5">
      <c r="A5" s="35"/>
      <c r="B5" s="39"/>
      <c r="C5" s="39"/>
      <c r="D5" s="13"/>
      <c r="E5" s="160" t="s">
        <v>53</v>
      </c>
      <c r="F5" s="161">
        <f>IFERROR(COUNTIFS(I13:I287, "Offer &amp; Didn't Buy"),"")</f>
        <v>5</v>
      </c>
      <c r="G5" s="13"/>
      <c r="H5" s="46" t="s">
        <v>54</v>
      </c>
      <c r="I5" s="47">
        <f>IFERROR(F7/(C6+F7+F8),"")</f>
        <v>0</v>
      </c>
      <c r="J5" s="13"/>
      <c r="K5" s="162" t="s">
        <v>54</v>
      </c>
      <c r="L5" s="49">
        <f>iferror(F7/I6,"")</f>
        <v>0</v>
      </c>
      <c r="M5" s="12"/>
      <c r="N5" s="50" t="s">
        <v>55</v>
      </c>
      <c r="O5" s="51">
        <f>IFERROR(COUNTIFS(N13:N286, "partner"),"")</f>
        <v>0</v>
      </c>
      <c r="P5" s="13"/>
      <c r="Q5" s="52" t="s">
        <v>56</v>
      </c>
      <c r="R5" s="53">
        <f>IFERROR(COUNTIF(H13:H286,Q5),"")</f>
        <v>0</v>
      </c>
      <c r="S5" s="52" t="s">
        <v>57</v>
      </c>
      <c r="T5" s="54">
        <f>IFERROR(COUNTIF(H13:H286,S5),"")</f>
        <v>0</v>
      </c>
      <c r="U5" s="35"/>
      <c r="V5" s="55"/>
    </row>
    <row r="6">
      <c r="A6" s="13"/>
      <c r="B6" s="165" t="s">
        <v>58</v>
      </c>
      <c r="C6" s="63">
        <f>IFERROR(SUM(F2:F6),"")</f>
        <v>14</v>
      </c>
      <c r="D6" s="13"/>
      <c r="E6" s="160" t="s">
        <v>59</v>
      </c>
      <c r="F6" s="161">
        <f>IFERROR(COUNTIFS(I13:I287, "Bad Fit &amp; No Offer"),"")</f>
        <v>0</v>
      </c>
      <c r="G6" s="13"/>
      <c r="H6" s="46" t="s">
        <v>21</v>
      </c>
      <c r="I6" s="64">
        <f>IFERROR(SUM(F2:F10),"")</f>
        <v>14</v>
      </c>
      <c r="J6" s="13"/>
      <c r="K6" s="166" t="s">
        <v>29</v>
      </c>
      <c r="L6" s="49">
        <f>iferror(I7/I6,"")</f>
        <v>1</v>
      </c>
      <c r="M6" s="12"/>
      <c r="N6" s="50" t="s">
        <v>60</v>
      </c>
      <c r="O6" s="51">
        <f>IFERROR(COUNTIFS(N13:N286, "fear"),"")</f>
        <v>0</v>
      </c>
      <c r="P6" s="13"/>
      <c r="Q6" s="52" t="s">
        <v>61</v>
      </c>
      <c r="R6" s="53">
        <f>IFERROR(COUNTIF(H13:H286,Q6),"")</f>
        <v>0</v>
      </c>
      <c r="S6" s="52" t="s">
        <v>62</v>
      </c>
      <c r="T6" s="54">
        <f>IFERROR(COUNTIF(H13:H286,S6),"")</f>
        <v>0</v>
      </c>
      <c r="U6" s="35"/>
      <c r="V6" s="55"/>
    </row>
    <row r="7">
      <c r="A7" s="13"/>
      <c r="B7" s="165" t="s">
        <v>63</v>
      </c>
      <c r="C7" s="66">
        <f>IFERROR(F2+F3,"")</f>
        <v>9</v>
      </c>
      <c r="D7" s="13"/>
      <c r="E7" s="160" t="s">
        <v>64</v>
      </c>
      <c r="F7" s="161">
        <f>IFERROR(COUNTIFS(I13:I287, "Drag Over &amp; Show"),"")</f>
        <v>0</v>
      </c>
      <c r="G7" s="13"/>
      <c r="H7" s="46" t="s">
        <v>22</v>
      </c>
      <c r="I7" s="64">
        <f>IFERROR(SUM(F2:F7),"")</f>
        <v>14</v>
      </c>
      <c r="J7" s="13"/>
      <c r="K7" s="167" t="s">
        <v>30</v>
      </c>
      <c r="L7" s="68">
        <f>IFERROR(I8/I6,"")</f>
        <v>1</v>
      </c>
      <c r="M7" s="12"/>
      <c r="N7" s="69" t="s">
        <v>65</v>
      </c>
      <c r="O7" s="70">
        <f>IFERROR(COUNTIFS(N14:N287, "value"),"")</f>
        <v>0</v>
      </c>
      <c r="P7" s="13"/>
      <c r="Q7" s="52" t="s">
        <v>66</v>
      </c>
      <c r="R7" s="53">
        <f>IFERROR(COUNTIF(H13:H286,Q7),"")</f>
        <v>0</v>
      </c>
      <c r="S7" s="52" t="s">
        <v>67</v>
      </c>
      <c r="T7" s="54">
        <f>IFERROR(COUNTIF(H13:H286,S7),"")</f>
        <v>0</v>
      </c>
      <c r="U7" s="35"/>
      <c r="V7" s="35"/>
    </row>
    <row r="8">
      <c r="A8" s="13"/>
      <c r="B8" s="165" t="s">
        <v>68</v>
      </c>
      <c r="C8" s="71">
        <f>COUNTIF(I13:I286,"offer &amp; didn't buy")+countif(I13:I286,"deposit")+countif(I13:I286,"bad fit &amp; no offer")</f>
        <v>5</v>
      </c>
      <c r="D8" s="72"/>
      <c r="E8" s="160" t="s">
        <v>69</v>
      </c>
      <c r="F8" s="161">
        <f>IFERROR(COUNTIFS(I13:I287, "Rescheduled"),"")</f>
        <v>0</v>
      </c>
      <c r="G8" s="13"/>
      <c r="H8" s="46" t="s">
        <v>23</v>
      </c>
      <c r="I8" s="64">
        <f>IFERROR(SUM(F2:F6),"")</f>
        <v>14</v>
      </c>
      <c r="J8" s="35"/>
      <c r="K8" s="35"/>
      <c r="L8" s="35"/>
      <c r="M8" s="35"/>
      <c r="N8" s="35"/>
      <c r="O8" s="74"/>
      <c r="P8" s="13"/>
      <c r="Q8" s="75" t="s">
        <v>70</v>
      </c>
      <c r="R8" s="76">
        <f>IFERROR(COUNTIF(H13:H286,Q8),"")</f>
        <v>0</v>
      </c>
      <c r="S8" s="75" t="s">
        <v>71</v>
      </c>
      <c r="T8" s="77">
        <f>IFERROR(COUNTIF(H13:H286,S8),"")</f>
        <v>0</v>
      </c>
      <c r="U8" s="35"/>
      <c r="V8" s="35"/>
    </row>
    <row r="9">
      <c r="A9" s="13"/>
      <c r="B9" s="165" t="s">
        <v>72</v>
      </c>
      <c r="C9" s="78">
        <f>iferror(SUM(C7/C6),"")</f>
        <v>0.6428571429</v>
      </c>
      <c r="D9" s="12"/>
      <c r="E9" s="160" t="s">
        <v>73</v>
      </c>
      <c r="F9" s="161">
        <f>IFERROR(COUNTIFS(I13:I287, "Cancelled"),"")</f>
        <v>0</v>
      </c>
      <c r="G9" s="13"/>
      <c r="H9" s="46" t="s">
        <v>24</v>
      </c>
      <c r="I9" s="64">
        <f>IFERROR(sum(F2:F5),"")</f>
        <v>14</v>
      </c>
      <c r="J9" s="35"/>
      <c r="K9" s="35"/>
      <c r="L9" s="35"/>
      <c r="M9" s="35"/>
      <c r="N9" s="35"/>
      <c r="O9" s="74"/>
      <c r="P9" s="35"/>
      <c r="Q9" s="35"/>
      <c r="R9" s="35"/>
      <c r="S9" s="35"/>
      <c r="T9" s="35"/>
      <c r="V9" s="35"/>
    </row>
    <row r="10">
      <c r="A10" s="35"/>
      <c r="B10" s="35"/>
      <c r="C10" s="35"/>
      <c r="D10" s="13"/>
      <c r="E10" s="168" t="s">
        <v>74</v>
      </c>
      <c r="F10" s="169">
        <f>IFERROR(COUNTIFS(I13:I287, "No-Show"),"")</f>
        <v>0</v>
      </c>
      <c r="G10" s="13"/>
      <c r="H10" s="81" t="s">
        <v>75</v>
      </c>
      <c r="I10" s="82">
        <f>F2+F3</f>
        <v>9</v>
      </c>
      <c r="J10" s="35"/>
      <c r="K10" s="35"/>
      <c r="L10" s="35"/>
      <c r="M10" s="35"/>
      <c r="N10" s="35"/>
      <c r="O10" s="74"/>
      <c r="P10" s="35"/>
      <c r="Q10" s="35"/>
      <c r="R10" s="35"/>
      <c r="S10" s="35"/>
      <c r="T10" s="35"/>
      <c r="V10" s="35"/>
    </row>
    <row r="11" ht="6.0" customHeight="1">
      <c r="A11" s="35"/>
      <c r="B11" s="35"/>
      <c r="C11" s="35"/>
      <c r="D11" s="35"/>
      <c r="E11" s="35"/>
      <c r="F11" s="35"/>
      <c r="G11" s="35"/>
      <c r="H11" s="35"/>
      <c r="I11" s="35"/>
      <c r="J11" s="35"/>
      <c r="K11" s="35"/>
      <c r="L11" s="35"/>
      <c r="M11" s="35"/>
      <c r="N11" s="35"/>
      <c r="O11" s="74"/>
      <c r="P11" s="35"/>
      <c r="Q11" s="35"/>
      <c r="R11" s="35"/>
      <c r="S11" s="35"/>
      <c r="T11" s="35"/>
      <c r="V11" s="35"/>
    </row>
    <row r="12">
      <c r="A12" s="35"/>
      <c r="B12" s="85" t="s">
        <v>76</v>
      </c>
      <c r="C12" s="85" t="s">
        <v>77</v>
      </c>
      <c r="D12" s="35"/>
      <c r="E12" s="87" t="s">
        <v>78</v>
      </c>
      <c r="F12" s="87" t="s">
        <v>56</v>
      </c>
      <c r="G12" s="35"/>
      <c r="H12" s="87" t="s">
        <v>37</v>
      </c>
      <c r="I12" s="87" t="s">
        <v>33</v>
      </c>
      <c r="J12" s="35"/>
      <c r="K12" s="87" t="s">
        <v>79</v>
      </c>
      <c r="L12" s="87" t="s">
        <v>48</v>
      </c>
      <c r="M12" s="35"/>
      <c r="N12" s="87" t="s">
        <v>80</v>
      </c>
      <c r="O12" s="88" t="s">
        <v>81</v>
      </c>
      <c r="P12" s="35"/>
      <c r="Q12" s="87" t="s">
        <v>82</v>
      </c>
      <c r="R12" s="87" t="s">
        <v>83</v>
      </c>
      <c r="S12" s="87" t="s">
        <v>84</v>
      </c>
      <c r="T12" s="87" t="s">
        <v>85</v>
      </c>
      <c r="V12" s="55"/>
    </row>
    <row r="13" ht="15.75" customHeight="1">
      <c r="A13" s="89"/>
      <c r="B13" s="96" t="s">
        <v>286</v>
      </c>
      <c r="C13" s="91" t="s">
        <v>287</v>
      </c>
      <c r="D13" s="92"/>
      <c r="E13" s="184" t="s">
        <v>288</v>
      </c>
      <c r="F13" s="184" t="s">
        <v>289</v>
      </c>
      <c r="G13" s="95"/>
      <c r="H13" s="96" t="s">
        <v>89</v>
      </c>
      <c r="I13" s="97" t="s">
        <v>276</v>
      </c>
      <c r="J13" s="95"/>
      <c r="K13" s="99">
        <v>6000.0</v>
      </c>
      <c r="L13" s="99">
        <v>3000.0</v>
      </c>
      <c r="M13" s="100"/>
      <c r="N13" s="101" t="s">
        <v>45</v>
      </c>
      <c r="O13" s="102"/>
      <c r="P13" s="95"/>
      <c r="Q13" s="103" t="s">
        <v>213</v>
      </c>
      <c r="R13" s="171" t="s">
        <v>290</v>
      </c>
      <c r="S13" s="103" t="s">
        <v>113</v>
      </c>
      <c r="T13" s="105" t="s">
        <v>291</v>
      </c>
      <c r="U13" s="106"/>
      <c r="V13" s="107"/>
    </row>
    <row r="14" ht="15.75" customHeight="1">
      <c r="A14" s="89"/>
      <c r="B14" s="96" t="s">
        <v>286</v>
      </c>
      <c r="C14" s="91" t="s">
        <v>292</v>
      </c>
      <c r="D14" s="92"/>
      <c r="E14" s="111" t="s">
        <v>293</v>
      </c>
      <c r="F14" s="111" t="s">
        <v>294</v>
      </c>
      <c r="G14" s="95"/>
      <c r="H14" s="96" t="s">
        <v>89</v>
      </c>
      <c r="I14" s="97" t="s">
        <v>276</v>
      </c>
      <c r="J14" s="95"/>
      <c r="K14" s="99">
        <v>6000.0</v>
      </c>
      <c r="L14" s="99">
        <v>1500.0</v>
      </c>
      <c r="M14" s="100"/>
      <c r="N14" s="101" t="s">
        <v>45</v>
      </c>
      <c r="O14" s="102" t="s">
        <v>295</v>
      </c>
      <c r="P14" s="95"/>
      <c r="Q14" s="103" t="s">
        <v>213</v>
      </c>
      <c r="R14" s="170" t="s">
        <v>296</v>
      </c>
      <c r="S14" s="103" t="s">
        <v>113</v>
      </c>
      <c r="T14" s="105" t="s">
        <v>297</v>
      </c>
      <c r="U14" s="106"/>
      <c r="V14" s="107"/>
    </row>
    <row r="15" ht="15.75" customHeight="1">
      <c r="A15" s="95"/>
      <c r="B15" s="96" t="s">
        <v>298</v>
      </c>
      <c r="C15" s="172" t="s">
        <v>299</v>
      </c>
      <c r="D15" s="95"/>
      <c r="E15" s="130" t="s">
        <v>300</v>
      </c>
      <c r="F15" s="94" t="s">
        <v>301</v>
      </c>
      <c r="G15" s="95"/>
      <c r="H15" s="96" t="s">
        <v>89</v>
      </c>
      <c r="I15" s="97" t="s">
        <v>110</v>
      </c>
      <c r="J15" s="95"/>
      <c r="K15" s="99">
        <v>6000.0</v>
      </c>
      <c r="L15" s="99">
        <v>6000.0</v>
      </c>
      <c r="M15" s="100"/>
      <c r="N15" s="101"/>
      <c r="O15" s="102"/>
      <c r="P15" s="95"/>
      <c r="Q15" s="103" t="s">
        <v>213</v>
      </c>
      <c r="R15" s="170" t="s">
        <v>302</v>
      </c>
      <c r="S15" s="103" t="s">
        <v>113</v>
      </c>
      <c r="T15" s="110" t="s">
        <v>303</v>
      </c>
      <c r="U15" s="103"/>
      <c r="V15" s="107"/>
    </row>
    <row r="16" ht="15.75" customHeight="1">
      <c r="A16" s="95"/>
      <c r="B16" s="96" t="s">
        <v>304</v>
      </c>
      <c r="C16" s="172" t="s">
        <v>305</v>
      </c>
      <c r="D16" s="103"/>
      <c r="E16" s="130" t="s">
        <v>306</v>
      </c>
      <c r="F16" s="109" t="s">
        <v>307</v>
      </c>
      <c r="G16" s="95"/>
      <c r="H16" s="96" t="s">
        <v>89</v>
      </c>
      <c r="I16" s="97" t="s">
        <v>110</v>
      </c>
      <c r="J16" s="95"/>
      <c r="K16" s="99">
        <v>7500.0</v>
      </c>
      <c r="L16" s="99">
        <v>7500.0</v>
      </c>
      <c r="M16" s="100"/>
      <c r="N16" s="101"/>
      <c r="O16" s="102"/>
      <c r="P16" s="95"/>
      <c r="Q16" s="103" t="s">
        <v>308</v>
      </c>
      <c r="R16" s="170" t="s">
        <v>309</v>
      </c>
      <c r="S16" s="103" t="s">
        <v>113</v>
      </c>
      <c r="T16" s="116" t="s">
        <v>310</v>
      </c>
      <c r="U16" s="103"/>
      <c r="V16" s="107"/>
    </row>
    <row r="17" ht="15.75" customHeight="1">
      <c r="A17" s="95"/>
      <c r="B17" s="96" t="s">
        <v>311</v>
      </c>
      <c r="C17" s="172" t="s">
        <v>312</v>
      </c>
      <c r="D17" s="95"/>
      <c r="E17" s="130" t="s">
        <v>313</v>
      </c>
      <c r="F17" s="109" t="s">
        <v>314</v>
      </c>
      <c r="G17" s="95"/>
      <c r="H17" s="96" t="s">
        <v>89</v>
      </c>
      <c r="I17" s="97" t="s">
        <v>90</v>
      </c>
      <c r="J17" s="95"/>
      <c r="K17" s="99"/>
      <c r="L17" s="99"/>
      <c r="M17" s="100"/>
      <c r="N17" s="101" t="s">
        <v>91</v>
      </c>
      <c r="O17" s="102"/>
      <c r="P17" s="95"/>
      <c r="Q17" s="103" t="s">
        <v>308</v>
      </c>
      <c r="R17" s="170" t="s">
        <v>315</v>
      </c>
      <c r="S17" s="103" t="s">
        <v>94</v>
      </c>
      <c r="T17" s="103" t="s">
        <v>316</v>
      </c>
      <c r="V17" s="107"/>
    </row>
    <row r="18" ht="15.75" customHeight="1">
      <c r="A18" s="95"/>
      <c r="B18" s="96" t="s">
        <v>317</v>
      </c>
      <c r="C18" s="172" t="s">
        <v>318</v>
      </c>
      <c r="D18" s="95"/>
      <c r="E18" s="130" t="s">
        <v>319</v>
      </c>
      <c r="F18" s="109" t="s">
        <v>320</v>
      </c>
      <c r="G18" s="95"/>
      <c r="H18" s="96" t="s">
        <v>89</v>
      </c>
      <c r="I18" s="97" t="s">
        <v>276</v>
      </c>
      <c r="J18" s="95"/>
      <c r="K18" s="99">
        <v>9000.0</v>
      </c>
      <c r="L18" s="99">
        <v>4500.0</v>
      </c>
      <c r="M18" s="100"/>
      <c r="N18" s="101" t="s">
        <v>91</v>
      </c>
      <c r="O18" s="102"/>
      <c r="P18" s="95"/>
      <c r="Q18" s="103" t="s">
        <v>111</v>
      </c>
      <c r="R18" s="171" t="s">
        <v>321</v>
      </c>
      <c r="S18" s="103" t="s">
        <v>113</v>
      </c>
      <c r="T18" s="119" t="s">
        <v>322</v>
      </c>
      <c r="U18" s="95"/>
      <c r="V18" s="107"/>
    </row>
    <row r="19" ht="15.75" customHeight="1">
      <c r="A19" s="95"/>
      <c r="B19" s="96" t="s">
        <v>323</v>
      </c>
      <c r="C19" s="172" t="s">
        <v>324</v>
      </c>
      <c r="D19" s="95"/>
      <c r="E19" s="130" t="s">
        <v>325</v>
      </c>
      <c r="F19" s="109" t="s">
        <v>326</v>
      </c>
      <c r="G19" s="95"/>
      <c r="H19" s="96" t="s">
        <v>89</v>
      </c>
      <c r="I19" s="97" t="s">
        <v>90</v>
      </c>
      <c r="J19" s="95"/>
      <c r="K19" s="99"/>
      <c r="L19" s="99"/>
      <c r="M19" s="100"/>
      <c r="N19" s="101" t="s">
        <v>45</v>
      </c>
      <c r="O19" s="128"/>
      <c r="P19" s="95"/>
      <c r="Q19" s="103" t="s">
        <v>213</v>
      </c>
      <c r="R19" s="171" t="s">
        <v>327</v>
      </c>
      <c r="S19" s="103" t="s">
        <v>94</v>
      </c>
      <c r="T19" s="119" t="s">
        <v>328</v>
      </c>
      <c r="U19" s="95"/>
      <c r="V19" s="107"/>
    </row>
    <row r="20" ht="15.75" customHeight="1">
      <c r="A20" s="95"/>
      <c r="B20" s="119" t="s">
        <v>329</v>
      </c>
      <c r="C20" s="185" t="s">
        <v>330</v>
      </c>
      <c r="D20" s="95"/>
      <c r="E20" s="130" t="s">
        <v>331</v>
      </c>
      <c r="F20" s="109" t="s">
        <v>332</v>
      </c>
      <c r="G20" s="95"/>
      <c r="H20" s="96" t="s">
        <v>89</v>
      </c>
      <c r="I20" s="97" t="s">
        <v>276</v>
      </c>
      <c r="J20" s="95"/>
      <c r="K20" s="99">
        <v>6000.0</v>
      </c>
      <c r="L20" s="99">
        <v>1500.0</v>
      </c>
      <c r="M20" s="100"/>
      <c r="N20" s="101" t="s">
        <v>45</v>
      </c>
      <c r="O20" s="102"/>
      <c r="P20" s="95"/>
      <c r="Q20" s="103" t="s">
        <v>213</v>
      </c>
      <c r="R20" s="171" t="s">
        <v>333</v>
      </c>
      <c r="S20" s="103" t="s">
        <v>113</v>
      </c>
      <c r="T20" s="119" t="s">
        <v>334</v>
      </c>
      <c r="U20" s="95"/>
      <c r="V20" s="107"/>
    </row>
    <row r="21" ht="15.75" customHeight="1">
      <c r="A21" s="89"/>
      <c r="B21" s="96" t="s">
        <v>335</v>
      </c>
      <c r="C21" s="108" t="s">
        <v>336</v>
      </c>
      <c r="D21" s="95"/>
      <c r="E21" s="130" t="s">
        <v>337</v>
      </c>
      <c r="F21" s="109" t="s">
        <v>338</v>
      </c>
      <c r="G21" s="95"/>
      <c r="H21" s="96" t="s">
        <v>89</v>
      </c>
      <c r="I21" s="97" t="s">
        <v>90</v>
      </c>
      <c r="J21" s="95"/>
      <c r="K21" s="99"/>
      <c r="L21" s="99"/>
      <c r="M21" s="100"/>
      <c r="N21" s="127"/>
      <c r="O21" s="102"/>
      <c r="P21" s="95"/>
      <c r="Q21" s="103" t="s">
        <v>213</v>
      </c>
      <c r="R21" s="186" t="s">
        <v>339</v>
      </c>
      <c r="S21" s="103" t="s">
        <v>157</v>
      </c>
      <c r="T21" s="103" t="s">
        <v>340</v>
      </c>
      <c r="V21" s="107"/>
    </row>
    <row r="22" ht="15.75" customHeight="1">
      <c r="A22" s="89"/>
      <c r="B22" s="96" t="s">
        <v>335</v>
      </c>
      <c r="C22" s="122" t="s">
        <v>341</v>
      </c>
      <c r="D22" s="95"/>
      <c r="E22" s="130" t="s">
        <v>342</v>
      </c>
      <c r="F22" s="109" t="s">
        <v>343</v>
      </c>
      <c r="G22" s="95"/>
      <c r="H22" s="96" t="s">
        <v>89</v>
      </c>
      <c r="I22" s="97" t="s">
        <v>90</v>
      </c>
      <c r="J22" s="95"/>
      <c r="K22" s="113"/>
      <c r="L22" s="113"/>
      <c r="M22" s="100"/>
      <c r="N22" s="101" t="s">
        <v>45</v>
      </c>
      <c r="O22" s="102" t="s">
        <v>344</v>
      </c>
      <c r="P22" s="95"/>
      <c r="Q22" s="103" t="s">
        <v>308</v>
      </c>
      <c r="R22" s="171" t="s">
        <v>345</v>
      </c>
      <c r="S22" s="103" t="s">
        <v>157</v>
      </c>
      <c r="T22" s="103" t="s">
        <v>346</v>
      </c>
      <c r="V22" s="107"/>
    </row>
    <row r="23" ht="15.75" customHeight="1">
      <c r="A23" s="89"/>
      <c r="B23" s="96" t="s">
        <v>347</v>
      </c>
      <c r="C23" s="122" t="s">
        <v>348</v>
      </c>
      <c r="D23" s="95"/>
      <c r="E23" s="130" t="s">
        <v>349</v>
      </c>
      <c r="F23" s="109" t="s">
        <v>350</v>
      </c>
      <c r="G23" s="95"/>
      <c r="H23" s="96" t="s">
        <v>89</v>
      </c>
      <c r="I23" s="103" t="s">
        <v>110</v>
      </c>
      <c r="J23" s="95"/>
      <c r="K23" s="99">
        <v>7500.0</v>
      </c>
      <c r="L23" s="99">
        <v>7500.0</v>
      </c>
      <c r="M23" s="100"/>
      <c r="N23" s="101" t="s">
        <v>45</v>
      </c>
      <c r="O23" s="102"/>
      <c r="P23" s="95"/>
      <c r="Q23" s="103" t="s">
        <v>308</v>
      </c>
      <c r="R23" s="171" t="s">
        <v>351</v>
      </c>
      <c r="S23" s="103" t="s">
        <v>113</v>
      </c>
      <c r="T23" s="103" t="s">
        <v>352</v>
      </c>
      <c r="V23" s="107"/>
    </row>
    <row r="24" ht="15.75" customHeight="1">
      <c r="A24" s="89"/>
      <c r="B24" s="96" t="s">
        <v>353</v>
      </c>
      <c r="C24" s="172" t="s">
        <v>354</v>
      </c>
      <c r="D24" s="95"/>
      <c r="E24" s="130" t="s">
        <v>355</v>
      </c>
      <c r="F24" s="109" t="s">
        <v>356</v>
      </c>
      <c r="G24" s="95"/>
      <c r="H24" s="96" t="s">
        <v>89</v>
      </c>
      <c r="I24" s="103" t="s">
        <v>276</v>
      </c>
      <c r="J24" s="95"/>
      <c r="K24" s="99">
        <v>6000.0</v>
      </c>
      <c r="L24" s="99">
        <v>1500.0</v>
      </c>
      <c r="M24" s="100"/>
      <c r="N24" s="101" t="s">
        <v>45</v>
      </c>
      <c r="O24" s="102" t="s">
        <v>357</v>
      </c>
      <c r="P24" s="95"/>
      <c r="Q24" s="103" t="s">
        <v>213</v>
      </c>
      <c r="R24" s="171" t="s">
        <v>358</v>
      </c>
      <c r="S24" s="103" t="s">
        <v>113</v>
      </c>
      <c r="T24" s="103" t="s">
        <v>359</v>
      </c>
      <c r="V24" s="107"/>
    </row>
    <row r="25" ht="15.75" customHeight="1">
      <c r="A25" s="89"/>
      <c r="B25" s="96" t="s">
        <v>360</v>
      </c>
      <c r="C25" s="122" t="s">
        <v>361</v>
      </c>
      <c r="D25" s="95"/>
      <c r="E25" s="130" t="s">
        <v>362</v>
      </c>
      <c r="F25" s="109" t="s">
        <v>363</v>
      </c>
      <c r="G25" s="95"/>
      <c r="H25" s="96" t="s">
        <v>89</v>
      </c>
      <c r="I25" s="103" t="s">
        <v>276</v>
      </c>
      <c r="J25" s="95"/>
      <c r="K25" s="99">
        <v>6000.0</v>
      </c>
      <c r="L25" s="99">
        <v>1500.0</v>
      </c>
      <c r="M25" s="100"/>
      <c r="N25" s="101" t="s">
        <v>45</v>
      </c>
      <c r="O25" s="102" t="s">
        <v>357</v>
      </c>
      <c r="P25" s="95"/>
      <c r="Q25" s="103" t="s">
        <v>213</v>
      </c>
      <c r="R25" s="171" t="s">
        <v>364</v>
      </c>
      <c r="S25" s="103" t="s">
        <v>113</v>
      </c>
      <c r="T25" s="103"/>
      <c r="V25" s="107"/>
    </row>
    <row r="26" ht="15.75" customHeight="1">
      <c r="A26" s="89"/>
      <c r="B26" s="96" t="s">
        <v>365</v>
      </c>
      <c r="C26" s="122" t="s">
        <v>366</v>
      </c>
      <c r="D26" s="95"/>
      <c r="E26" s="130" t="s">
        <v>367</v>
      </c>
      <c r="F26" s="109" t="s">
        <v>368</v>
      </c>
      <c r="G26" s="95"/>
      <c r="H26" s="96" t="s">
        <v>89</v>
      </c>
      <c r="I26" s="103" t="s">
        <v>90</v>
      </c>
      <c r="J26" s="95"/>
      <c r="K26" s="113"/>
      <c r="L26" s="113"/>
      <c r="M26" s="100"/>
      <c r="N26" s="101"/>
      <c r="O26" s="102" t="s">
        <v>369</v>
      </c>
      <c r="P26" s="95"/>
      <c r="Q26" s="103" t="s">
        <v>213</v>
      </c>
      <c r="R26" s="171" t="s">
        <v>370</v>
      </c>
      <c r="S26" s="103" t="s">
        <v>94</v>
      </c>
      <c r="T26" s="103" t="s">
        <v>371</v>
      </c>
      <c r="V26" s="107"/>
    </row>
    <row r="27" ht="15.75" customHeight="1">
      <c r="A27" s="89"/>
      <c r="B27" s="96"/>
      <c r="C27" s="187"/>
      <c r="D27" s="95"/>
      <c r="E27" s="176"/>
      <c r="F27" s="144"/>
      <c r="G27" s="95"/>
      <c r="H27" s="96"/>
      <c r="I27" s="103"/>
      <c r="J27" s="95"/>
      <c r="K27" s="99"/>
      <c r="L27" s="99"/>
      <c r="M27" s="100"/>
      <c r="N27" s="127"/>
      <c r="O27" s="128"/>
      <c r="P27" s="95"/>
      <c r="Q27" s="95"/>
      <c r="R27" s="129"/>
      <c r="S27" s="95"/>
      <c r="T27" s="95"/>
      <c r="V27" s="107"/>
    </row>
    <row r="28" ht="15.75" customHeight="1">
      <c r="A28" s="89"/>
      <c r="B28" s="177"/>
      <c r="C28" s="97"/>
      <c r="D28" s="95"/>
      <c r="E28" s="176"/>
      <c r="F28" s="144"/>
      <c r="G28" s="95"/>
      <c r="H28" s="96"/>
      <c r="I28" s="103"/>
      <c r="J28" s="95"/>
      <c r="K28" s="113"/>
      <c r="L28" s="113"/>
      <c r="M28" s="100"/>
      <c r="N28" s="101"/>
      <c r="O28" s="102"/>
      <c r="P28" s="95"/>
      <c r="Q28" s="114"/>
      <c r="R28" s="115"/>
      <c r="S28" s="103"/>
      <c r="T28" s="103"/>
      <c r="V28" s="107"/>
    </row>
    <row r="29" ht="15.75" customHeight="1">
      <c r="A29" s="89"/>
      <c r="B29" s="177"/>
      <c r="C29" s="103"/>
      <c r="D29" s="95"/>
      <c r="E29" s="176"/>
      <c r="F29" s="146"/>
      <c r="G29" s="95"/>
      <c r="H29" s="96"/>
      <c r="I29" s="103"/>
      <c r="J29" s="95"/>
      <c r="K29" s="99"/>
      <c r="L29" s="99"/>
      <c r="M29" s="100"/>
      <c r="N29" s="127"/>
      <c r="O29" s="128"/>
      <c r="P29" s="95"/>
      <c r="Q29" s="95"/>
      <c r="R29" s="129"/>
      <c r="S29" s="95"/>
      <c r="T29" s="95"/>
      <c r="V29" s="107"/>
    </row>
    <row r="30" ht="15.75" customHeight="1">
      <c r="A30" s="89"/>
      <c r="B30" s="177"/>
      <c r="C30" s="97"/>
      <c r="D30" s="95"/>
      <c r="E30" s="176"/>
      <c r="F30" s="144"/>
      <c r="G30" s="95"/>
      <c r="H30" s="96"/>
      <c r="I30" s="103"/>
      <c r="J30" s="95"/>
      <c r="K30" s="113"/>
      <c r="L30" s="113"/>
      <c r="M30" s="100"/>
      <c r="N30" s="127"/>
      <c r="O30" s="128"/>
      <c r="P30" s="95"/>
      <c r="Q30" s="95"/>
      <c r="R30" s="129"/>
      <c r="S30" s="95"/>
      <c r="T30" s="95"/>
      <c r="V30" s="107"/>
    </row>
    <row r="31" ht="15.75" customHeight="1">
      <c r="A31" s="89"/>
      <c r="B31" s="177"/>
      <c r="C31" s="97"/>
      <c r="D31" s="95"/>
      <c r="E31" s="176"/>
      <c r="F31" s="144"/>
      <c r="G31" s="95"/>
      <c r="H31" s="96"/>
      <c r="I31" s="103"/>
      <c r="J31" s="95"/>
      <c r="K31" s="99"/>
      <c r="L31" s="99"/>
      <c r="M31" s="100"/>
      <c r="N31" s="101"/>
      <c r="O31" s="102"/>
      <c r="P31" s="95"/>
      <c r="Q31" s="114"/>
      <c r="R31" s="106"/>
      <c r="S31" s="103"/>
      <c r="T31" s="103"/>
      <c r="V31" s="107"/>
    </row>
    <row r="32" ht="15.75" customHeight="1">
      <c r="A32" s="89"/>
      <c r="B32" s="177"/>
      <c r="C32" s="97"/>
      <c r="D32" s="95"/>
      <c r="E32" s="176"/>
      <c r="F32" s="144"/>
      <c r="G32" s="95"/>
      <c r="H32" s="96"/>
      <c r="I32" s="103"/>
      <c r="J32" s="95"/>
      <c r="K32" s="113"/>
      <c r="L32" s="113"/>
      <c r="M32" s="100"/>
      <c r="N32" s="127"/>
      <c r="O32" s="128"/>
      <c r="P32" s="95"/>
      <c r="Q32" s="95"/>
      <c r="R32" s="129"/>
      <c r="S32" s="95"/>
      <c r="T32" s="95"/>
      <c r="V32" s="107"/>
    </row>
    <row r="33" ht="15.75" customHeight="1">
      <c r="A33" s="89"/>
      <c r="B33" s="177"/>
      <c r="C33" s="97"/>
      <c r="D33" s="95"/>
      <c r="E33" s="176"/>
      <c r="F33" s="146"/>
      <c r="G33" s="95"/>
      <c r="H33" s="96"/>
      <c r="I33" s="103"/>
      <c r="J33" s="95"/>
      <c r="K33" s="99"/>
      <c r="L33" s="99"/>
      <c r="M33" s="100"/>
      <c r="N33" s="101"/>
      <c r="O33" s="102"/>
      <c r="P33" s="95"/>
      <c r="Q33" s="114"/>
      <c r="R33" s="106"/>
      <c r="S33" s="103"/>
      <c r="T33" s="103"/>
      <c r="V33" s="107"/>
    </row>
    <row r="34" ht="15.75" customHeight="1">
      <c r="A34" s="89"/>
      <c r="B34" s="177"/>
      <c r="C34" s="97"/>
      <c r="D34" s="95"/>
      <c r="E34" s="176"/>
      <c r="F34" s="144"/>
      <c r="G34" s="95"/>
      <c r="H34" s="96"/>
      <c r="I34" s="103"/>
      <c r="J34" s="95"/>
      <c r="K34" s="113"/>
      <c r="L34" s="113"/>
      <c r="M34" s="100"/>
      <c r="N34" s="127"/>
      <c r="O34" s="128"/>
      <c r="P34" s="95"/>
      <c r="Q34" s="95"/>
      <c r="R34" s="129"/>
      <c r="S34" s="95"/>
      <c r="T34" s="95"/>
      <c r="V34" s="107"/>
    </row>
    <row r="35" ht="15.75" customHeight="1">
      <c r="A35" s="89"/>
      <c r="B35" s="177"/>
      <c r="C35" s="103"/>
      <c r="D35" s="95"/>
      <c r="E35" s="176"/>
      <c r="F35" s="144"/>
      <c r="G35" s="95"/>
      <c r="H35" s="96"/>
      <c r="I35" s="103"/>
      <c r="J35" s="95"/>
      <c r="K35" s="99"/>
      <c r="L35" s="99"/>
      <c r="M35" s="100"/>
      <c r="N35" s="127"/>
      <c r="O35" s="128"/>
      <c r="P35" s="95"/>
      <c r="Q35" s="95"/>
      <c r="R35" s="129"/>
      <c r="S35" s="95"/>
      <c r="T35" s="95"/>
      <c r="V35" s="107"/>
    </row>
    <row r="36" ht="15.75" customHeight="1">
      <c r="A36" s="89"/>
      <c r="B36" s="177"/>
      <c r="C36" s="103"/>
      <c r="D36" s="95"/>
      <c r="E36" s="176"/>
      <c r="F36" s="146"/>
      <c r="G36" s="95"/>
      <c r="H36" s="96"/>
      <c r="I36" s="103"/>
      <c r="J36" s="95"/>
      <c r="K36" s="113"/>
      <c r="L36" s="113"/>
      <c r="M36" s="100"/>
      <c r="N36" s="127"/>
      <c r="O36" s="128"/>
      <c r="P36" s="95"/>
      <c r="Q36" s="95"/>
      <c r="R36" s="129"/>
      <c r="S36" s="95"/>
      <c r="T36" s="103"/>
      <c r="V36" s="107"/>
    </row>
    <row r="37" ht="15.75" customHeight="1">
      <c r="A37" s="89"/>
      <c r="B37" s="177"/>
      <c r="C37" s="97"/>
      <c r="D37" s="95"/>
      <c r="E37" s="176"/>
      <c r="F37" s="144"/>
      <c r="G37" s="95"/>
      <c r="H37" s="96"/>
      <c r="I37" s="103"/>
      <c r="J37" s="95"/>
      <c r="K37" s="99"/>
      <c r="L37" s="99"/>
      <c r="M37" s="100"/>
      <c r="N37" s="101"/>
      <c r="O37" s="102"/>
      <c r="P37" s="95"/>
      <c r="Q37" s="114"/>
      <c r="R37" s="106"/>
      <c r="S37" s="103"/>
      <c r="T37" s="103"/>
      <c r="V37" s="107"/>
    </row>
    <row r="38" ht="15.75" customHeight="1">
      <c r="A38" s="89"/>
      <c r="B38" s="177"/>
      <c r="C38" s="97"/>
      <c r="D38" s="95"/>
      <c r="E38" s="176"/>
      <c r="F38" s="144"/>
      <c r="G38" s="95"/>
      <c r="H38" s="96"/>
      <c r="I38" s="103"/>
      <c r="J38" s="95"/>
      <c r="K38" s="113"/>
      <c r="L38" s="113"/>
      <c r="M38" s="100"/>
      <c r="N38" s="127"/>
      <c r="O38" s="128"/>
      <c r="P38" s="95"/>
      <c r="Q38" s="135"/>
      <c r="R38" s="106"/>
      <c r="S38" s="95"/>
      <c r="V38" s="107"/>
    </row>
    <row r="39" ht="15.75" customHeight="1">
      <c r="A39" s="89"/>
      <c r="B39" s="177"/>
      <c r="C39" s="97"/>
      <c r="D39" s="95"/>
      <c r="E39" s="176"/>
      <c r="F39" s="178"/>
      <c r="G39" s="95"/>
      <c r="H39" s="96"/>
      <c r="I39" s="103"/>
      <c r="J39" s="95"/>
      <c r="K39" s="99"/>
      <c r="L39" s="99"/>
      <c r="M39" s="100"/>
      <c r="N39" s="127"/>
      <c r="O39" s="128"/>
      <c r="P39" s="95"/>
      <c r="Q39" s="114"/>
      <c r="R39" s="106"/>
      <c r="S39" s="95"/>
      <c r="T39" s="103"/>
      <c r="V39" s="107"/>
    </row>
    <row r="40" ht="15.75" customHeight="1">
      <c r="A40" s="89"/>
      <c r="B40" s="177"/>
      <c r="C40" s="97"/>
      <c r="D40" s="95"/>
      <c r="E40" s="176"/>
      <c r="F40" s="144"/>
      <c r="G40" s="95"/>
      <c r="H40" s="96"/>
      <c r="I40" s="103"/>
      <c r="J40" s="95"/>
      <c r="K40" s="113"/>
      <c r="L40" s="113"/>
      <c r="M40" s="100"/>
      <c r="N40" s="101"/>
      <c r="O40" s="102"/>
      <c r="P40" s="95"/>
      <c r="Q40" s="114"/>
      <c r="R40" s="106"/>
      <c r="S40" s="103"/>
      <c r="T40" s="103"/>
      <c r="V40" s="107"/>
    </row>
    <row r="41" ht="15.75" customHeight="1">
      <c r="A41" s="89"/>
      <c r="B41" s="177"/>
      <c r="C41" s="97"/>
      <c r="D41" s="95"/>
      <c r="E41" s="96"/>
      <c r="F41" s="146"/>
      <c r="G41" s="95"/>
      <c r="H41" s="96"/>
      <c r="I41" s="103"/>
      <c r="J41" s="95"/>
      <c r="K41" s="99"/>
      <c r="L41" s="99"/>
      <c r="M41" s="100"/>
      <c r="N41" s="127"/>
      <c r="O41" s="128"/>
      <c r="P41" s="95"/>
      <c r="Q41" s="95"/>
      <c r="R41" s="129"/>
      <c r="S41" s="95"/>
      <c r="T41" s="95"/>
      <c r="V41" s="107"/>
    </row>
    <row r="42" ht="15.75" customHeight="1">
      <c r="A42" s="89"/>
      <c r="B42" s="177"/>
      <c r="C42" s="103"/>
      <c r="D42" s="95"/>
      <c r="E42" s="176"/>
      <c r="F42" s="96"/>
      <c r="G42" s="95"/>
      <c r="H42" s="96"/>
      <c r="I42" s="103"/>
      <c r="J42" s="95"/>
      <c r="K42" s="113"/>
      <c r="L42" s="113"/>
      <c r="M42" s="100"/>
      <c r="N42" s="101"/>
      <c r="O42" s="102"/>
      <c r="P42" s="95"/>
      <c r="Q42" s="114"/>
      <c r="R42" s="106"/>
      <c r="S42" s="103"/>
      <c r="T42" s="103"/>
      <c r="V42" s="107"/>
    </row>
    <row r="43" ht="15.75" customHeight="1">
      <c r="A43" s="89"/>
      <c r="B43" s="177"/>
      <c r="C43" s="103"/>
      <c r="D43" s="95"/>
      <c r="E43" s="176"/>
      <c r="F43" s="144"/>
      <c r="G43" s="95"/>
      <c r="H43" s="96"/>
      <c r="I43" s="103"/>
      <c r="J43" s="95"/>
      <c r="K43" s="99"/>
      <c r="L43" s="99"/>
      <c r="M43" s="100"/>
      <c r="N43" s="127"/>
      <c r="O43" s="128"/>
      <c r="P43" s="95"/>
      <c r="Q43" s="137"/>
      <c r="R43" s="129"/>
      <c r="S43" s="95"/>
      <c r="T43" s="95"/>
      <c r="V43" s="107"/>
    </row>
    <row r="44" ht="15.75" customHeight="1">
      <c r="A44" s="89"/>
      <c r="B44" s="177"/>
      <c r="C44" s="103"/>
      <c r="D44" s="95"/>
      <c r="E44" s="176"/>
      <c r="F44" s="144"/>
      <c r="G44" s="95"/>
      <c r="H44" s="96"/>
      <c r="I44" s="103"/>
      <c r="J44" s="95"/>
      <c r="K44" s="113"/>
      <c r="L44" s="113"/>
      <c r="M44" s="100"/>
      <c r="N44" s="127"/>
      <c r="O44" s="128"/>
      <c r="P44" s="95"/>
      <c r="Q44" s="95"/>
      <c r="R44" s="129"/>
      <c r="S44" s="95"/>
      <c r="T44" s="95"/>
      <c r="V44" s="107"/>
    </row>
    <row r="45" ht="15.75" customHeight="1">
      <c r="A45" s="89"/>
      <c r="B45" s="177"/>
      <c r="C45" s="97"/>
      <c r="D45" s="95"/>
      <c r="E45" s="176"/>
      <c r="F45" s="144"/>
      <c r="G45" s="95"/>
      <c r="H45" s="96"/>
      <c r="I45" s="103"/>
      <c r="J45" s="95"/>
      <c r="K45" s="99"/>
      <c r="L45" s="99"/>
      <c r="M45" s="100"/>
      <c r="N45" s="127"/>
      <c r="O45" s="128"/>
      <c r="P45" s="95"/>
      <c r="Q45" s="95"/>
      <c r="R45" s="129"/>
      <c r="S45" s="95"/>
      <c r="T45" s="95"/>
      <c r="V45" s="107"/>
    </row>
    <row r="46" ht="15.75" customHeight="1">
      <c r="A46" s="89"/>
      <c r="B46" s="177"/>
      <c r="C46" s="97"/>
      <c r="D46" s="95"/>
      <c r="E46" s="176"/>
      <c r="F46" s="144"/>
      <c r="G46" s="95"/>
      <c r="H46" s="96"/>
      <c r="I46" s="103"/>
      <c r="J46" s="95"/>
      <c r="K46" s="113"/>
      <c r="L46" s="113"/>
      <c r="M46" s="100"/>
      <c r="N46" s="127"/>
      <c r="O46" s="128"/>
      <c r="P46" s="95"/>
      <c r="Q46" s="95"/>
      <c r="R46" s="129"/>
      <c r="S46" s="95"/>
      <c r="T46" s="95"/>
      <c r="V46" s="107"/>
    </row>
    <row r="47" ht="15.75" customHeight="1">
      <c r="A47" s="89"/>
      <c r="B47" s="177"/>
      <c r="C47" s="97"/>
      <c r="D47" s="95"/>
      <c r="E47" s="176"/>
      <c r="F47" s="144"/>
      <c r="G47" s="95"/>
      <c r="H47" s="96"/>
      <c r="I47" s="103"/>
      <c r="J47" s="95"/>
      <c r="K47" s="99"/>
      <c r="L47" s="99"/>
      <c r="M47" s="100"/>
      <c r="N47" s="101"/>
      <c r="O47" s="102"/>
      <c r="P47" s="95"/>
      <c r="Q47" s="114"/>
      <c r="R47" s="115"/>
      <c r="S47" s="103"/>
      <c r="T47" s="103"/>
      <c r="V47" s="107"/>
    </row>
    <row r="48" ht="15.75" customHeight="1">
      <c r="A48" s="89"/>
      <c r="B48" s="177"/>
      <c r="C48" s="97"/>
      <c r="D48" s="95"/>
      <c r="E48" s="176"/>
      <c r="F48" s="144"/>
      <c r="G48" s="95"/>
      <c r="H48" s="96"/>
      <c r="I48" s="103"/>
      <c r="J48" s="95"/>
      <c r="K48" s="113"/>
      <c r="L48" s="113"/>
      <c r="M48" s="100"/>
      <c r="N48" s="101"/>
      <c r="O48" s="102"/>
      <c r="P48" s="95"/>
      <c r="Q48" s="135"/>
      <c r="R48" s="106"/>
      <c r="S48" s="103"/>
      <c r="T48" s="103"/>
      <c r="V48" s="107"/>
    </row>
    <row r="49" ht="15.75" customHeight="1">
      <c r="A49" s="89"/>
      <c r="B49" s="177"/>
      <c r="C49" s="97"/>
      <c r="D49" s="95"/>
      <c r="E49" s="176"/>
      <c r="F49" s="144"/>
      <c r="G49" s="95"/>
      <c r="H49" s="96"/>
      <c r="I49" s="103"/>
      <c r="J49" s="95"/>
      <c r="K49" s="99"/>
      <c r="L49" s="99"/>
      <c r="M49" s="100"/>
      <c r="N49" s="101"/>
      <c r="O49" s="102"/>
      <c r="P49" s="95"/>
      <c r="Q49" s="135"/>
      <c r="R49" s="106"/>
      <c r="S49" s="103"/>
      <c r="T49" s="103"/>
      <c r="V49" s="107"/>
    </row>
    <row r="50" ht="15.75" customHeight="1">
      <c r="A50" s="89"/>
      <c r="B50" s="177"/>
      <c r="C50" s="103"/>
      <c r="D50" s="95"/>
      <c r="E50" s="176"/>
      <c r="F50" s="146"/>
      <c r="G50" s="95"/>
      <c r="H50" s="96"/>
      <c r="I50" s="103"/>
      <c r="J50" s="95"/>
      <c r="K50" s="113"/>
      <c r="L50" s="113"/>
      <c r="M50" s="100"/>
      <c r="N50" s="127"/>
      <c r="O50" s="128"/>
      <c r="P50" s="95"/>
      <c r="Q50" s="95"/>
      <c r="R50" s="129"/>
      <c r="S50" s="95"/>
      <c r="T50" s="103"/>
      <c r="V50" s="107"/>
    </row>
    <row r="51" ht="15.75" customHeight="1">
      <c r="A51" s="89"/>
      <c r="B51" s="177"/>
      <c r="C51" s="103"/>
      <c r="D51" s="95"/>
      <c r="E51" s="176"/>
      <c r="F51" s="179"/>
      <c r="G51" s="95"/>
      <c r="H51" s="96"/>
      <c r="I51" s="103"/>
      <c r="J51" s="95"/>
      <c r="K51" s="99"/>
      <c r="L51" s="99"/>
      <c r="M51" s="100"/>
      <c r="N51" s="101"/>
      <c r="O51" s="102"/>
      <c r="P51" s="95"/>
      <c r="Q51" s="137"/>
      <c r="R51" s="129"/>
      <c r="S51" s="103"/>
      <c r="T51" s="103"/>
      <c r="V51" s="107"/>
    </row>
    <row r="52" ht="15.75" customHeight="1">
      <c r="A52" s="89"/>
      <c r="B52" s="177"/>
      <c r="C52" s="103"/>
      <c r="D52" s="95"/>
      <c r="E52" s="176"/>
      <c r="F52" s="144"/>
      <c r="G52" s="95"/>
      <c r="H52" s="96"/>
      <c r="I52" s="103"/>
      <c r="J52" s="95"/>
      <c r="K52" s="113"/>
      <c r="L52" s="113"/>
      <c r="M52" s="100"/>
      <c r="N52" s="127"/>
      <c r="O52" s="128"/>
      <c r="P52" s="95"/>
      <c r="Q52" s="137"/>
      <c r="R52" s="129"/>
      <c r="S52" s="95"/>
      <c r="T52" s="95"/>
      <c r="V52" s="107"/>
    </row>
    <row r="53" ht="15.75" customHeight="1">
      <c r="A53" s="89"/>
      <c r="B53" s="177"/>
      <c r="C53" s="97"/>
      <c r="D53" s="95"/>
      <c r="E53" s="176"/>
      <c r="F53" s="144"/>
      <c r="G53" s="95"/>
      <c r="H53" s="96"/>
      <c r="I53" s="103"/>
      <c r="J53" s="95"/>
      <c r="K53" s="99"/>
      <c r="L53" s="99"/>
      <c r="M53" s="100"/>
      <c r="N53" s="127"/>
      <c r="O53" s="128"/>
      <c r="P53" s="95"/>
      <c r="Q53" s="135"/>
      <c r="R53" s="106"/>
      <c r="S53" s="95"/>
      <c r="T53" s="103"/>
      <c r="V53" s="107"/>
    </row>
    <row r="54" ht="15.75" customHeight="1">
      <c r="A54" s="89"/>
      <c r="B54" s="177"/>
      <c r="C54" s="96"/>
      <c r="D54" s="95"/>
      <c r="E54" s="176"/>
      <c r="F54" s="144"/>
      <c r="G54" s="95"/>
      <c r="H54" s="96"/>
      <c r="I54" s="103"/>
      <c r="J54" s="95"/>
      <c r="K54" s="113"/>
      <c r="L54" s="113"/>
      <c r="M54" s="100"/>
      <c r="N54" s="101"/>
      <c r="O54" s="102"/>
      <c r="P54" s="95"/>
      <c r="Q54" s="135"/>
      <c r="R54" s="139"/>
      <c r="S54" s="103"/>
      <c r="T54" s="103"/>
      <c r="V54" s="107"/>
    </row>
    <row r="55" ht="15.75" customHeight="1">
      <c r="A55" s="89"/>
      <c r="B55" s="177"/>
      <c r="C55" s="96"/>
      <c r="D55" s="95"/>
      <c r="E55" s="176"/>
      <c r="F55" s="146"/>
      <c r="G55" s="95"/>
      <c r="H55" s="96"/>
      <c r="I55" s="103"/>
      <c r="J55" s="95"/>
      <c r="K55" s="99"/>
      <c r="L55" s="99"/>
      <c r="M55" s="100"/>
      <c r="N55" s="101"/>
      <c r="O55" s="102"/>
      <c r="P55" s="95"/>
      <c r="Q55" s="135"/>
      <c r="R55" s="106"/>
      <c r="S55" s="103"/>
      <c r="T55" s="103"/>
      <c r="V55" s="107"/>
    </row>
    <row r="56" ht="15.75" customHeight="1">
      <c r="A56" s="89"/>
      <c r="B56" s="177"/>
      <c r="C56" s="96"/>
      <c r="D56" s="95"/>
      <c r="E56" s="176"/>
      <c r="F56" s="144"/>
      <c r="G56" s="95"/>
      <c r="H56" s="96"/>
      <c r="I56" s="103"/>
      <c r="J56" s="95"/>
      <c r="K56" s="113"/>
      <c r="L56" s="113"/>
      <c r="M56" s="100"/>
      <c r="N56" s="127"/>
      <c r="O56" s="128"/>
      <c r="P56" s="95"/>
      <c r="Q56" s="114"/>
      <c r="R56" s="106"/>
      <c r="S56" s="95"/>
      <c r="T56" s="103"/>
      <c r="V56" s="107"/>
    </row>
    <row r="57" ht="15.75" customHeight="1">
      <c r="A57" s="89"/>
      <c r="B57" s="177"/>
      <c r="C57" s="96"/>
      <c r="D57" s="95"/>
      <c r="E57" s="176"/>
      <c r="F57" s="144"/>
      <c r="G57" s="95"/>
      <c r="H57" s="96"/>
      <c r="I57" s="103"/>
      <c r="J57" s="95"/>
      <c r="K57" s="99"/>
      <c r="L57" s="99"/>
      <c r="M57" s="100"/>
      <c r="N57" s="127"/>
      <c r="O57" s="128"/>
      <c r="P57" s="95"/>
      <c r="Q57" s="137"/>
      <c r="R57" s="129"/>
      <c r="S57" s="95"/>
      <c r="T57" s="103"/>
      <c r="V57" s="107"/>
    </row>
    <row r="58" ht="15.75" customHeight="1">
      <c r="A58" s="89"/>
      <c r="B58" s="177"/>
      <c r="C58" s="106"/>
      <c r="D58" s="95"/>
      <c r="E58" s="176"/>
      <c r="F58" s="144"/>
      <c r="G58" s="95"/>
      <c r="H58" s="96"/>
      <c r="I58" s="103"/>
      <c r="J58" s="95"/>
      <c r="K58" s="113"/>
      <c r="L58" s="113"/>
      <c r="M58" s="100"/>
      <c r="N58" s="101"/>
      <c r="O58" s="102"/>
      <c r="P58" s="95"/>
      <c r="Q58" s="114"/>
      <c r="R58" s="106"/>
      <c r="S58" s="103"/>
      <c r="T58" s="103"/>
      <c r="V58" s="107"/>
    </row>
    <row r="59" ht="15.75" customHeight="1">
      <c r="A59" s="89"/>
      <c r="B59" s="177"/>
      <c r="C59" s="106"/>
      <c r="D59" s="95"/>
      <c r="E59" s="176"/>
      <c r="F59" s="144"/>
      <c r="G59" s="95"/>
      <c r="H59" s="96"/>
      <c r="I59" s="103"/>
      <c r="J59" s="95"/>
      <c r="K59" s="99"/>
      <c r="L59" s="99"/>
      <c r="M59" s="100"/>
      <c r="N59" s="127"/>
      <c r="O59" s="128"/>
      <c r="P59" s="95"/>
      <c r="Q59" s="95"/>
      <c r="R59" s="129"/>
      <c r="S59" s="95"/>
      <c r="T59" s="95"/>
      <c r="V59" s="107"/>
    </row>
    <row r="60" ht="15.75" customHeight="1">
      <c r="A60" s="89"/>
      <c r="B60" s="177"/>
      <c r="C60" s="106"/>
      <c r="D60" s="95"/>
      <c r="E60" s="96"/>
      <c r="F60" s="144"/>
      <c r="G60" s="95"/>
      <c r="H60" s="96"/>
      <c r="I60" s="103"/>
      <c r="J60" s="95"/>
      <c r="K60" s="113"/>
      <c r="L60" s="113"/>
      <c r="M60" s="100"/>
      <c r="N60" s="127"/>
      <c r="O60" s="128"/>
      <c r="P60" s="95"/>
      <c r="Q60" s="114"/>
      <c r="R60" s="106"/>
      <c r="S60" s="95"/>
      <c r="T60" s="103"/>
      <c r="V60" s="107"/>
    </row>
    <row r="61" ht="15.75" customHeight="1">
      <c r="A61" s="89"/>
      <c r="B61" s="177"/>
      <c r="C61" s="96"/>
      <c r="D61" s="95"/>
      <c r="E61" s="176"/>
      <c r="F61" s="146"/>
      <c r="G61" s="95"/>
      <c r="H61" s="96"/>
      <c r="I61" s="103"/>
      <c r="J61" s="95"/>
      <c r="K61" s="99"/>
      <c r="L61" s="99"/>
      <c r="M61" s="100"/>
      <c r="N61" s="127"/>
      <c r="O61" s="128"/>
      <c r="P61" s="95"/>
      <c r="Q61" s="95"/>
      <c r="R61" s="129"/>
      <c r="S61" s="95"/>
      <c r="T61" s="95"/>
      <c r="V61" s="107"/>
    </row>
    <row r="62" ht="15.75" customHeight="1">
      <c r="A62" s="89"/>
      <c r="B62" s="177"/>
      <c r="C62" s="96"/>
      <c r="D62" s="95"/>
      <c r="E62" s="176"/>
      <c r="F62" s="144"/>
      <c r="G62" s="95"/>
      <c r="H62" s="96"/>
      <c r="I62" s="103"/>
      <c r="J62" s="95"/>
      <c r="K62" s="113"/>
      <c r="L62" s="113"/>
      <c r="M62" s="100"/>
      <c r="N62" s="127"/>
      <c r="O62" s="128"/>
      <c r="P62" s="95"/>
      <c r="Q62" s="95"/>
      <c r="R62" s="129"/>
      <c r="S62" s="95"/>
      <c r="T62" s="95"/>
      <c r="V62" s="107"/>
    </row>
    <row r="63" ht="15.75" customHeight="1">
      <c r="A63" s="89"/>
      <c r="B63" s="177"/>
      <c r="C63" s="140"/>
      <c r="D63" s="95"/>
      <c r="E63" s="176"/>
      <c r="F63" s="146"/>
      <c r="G63" s="95"/>
      <c r="H63" s="96"/>
      <c r="I63" s="103"/>
      <c r="J63" s="95"/>
      <c r="K63" s="99"/>
      <c r="L63" s="99"/>
      <c r="M63" s="100"/>
      <c r="N63" s="127"/>
      <c r="O63" s="128"/>
      <c r="P63" s="95"/>
      <c r="Q63" s="95"/>
      <c r="R63" s="129"/>
      <c r="S63" s="95"/>
      <c r="T63" s="95"/>
      <c r="V63" s="107"/>
    </row>
    <row r="64" ht="15.75" customHeight="1">
      <c r="A64" s="89"/>
      <c r="B64" s="177"/>
      <c r="C64" s="141"/>
      <c r="D64" s="95"/>
      <c r="E64" s="176"/>
      <c r="F64" s="144"/>
      <c r="G64" s="95"/>
      <c r="H64" s="96"/>
      <c r="I64" s="103"/>
      <c r="J64" s="95"/>
      <c r="K64" s="113"/>
      <c r="L64" s="113"/>
      <c r="M64" s="100"/>
      <c r="N64" s="101"/>
      <c r="O64" s="102"/>
      <c r="P64" s="95"/>
      <c r="Q64" s="114"/>
      <c r="R64" s="115"/>
      <c r="S64" s="103"/>
      <c r="T64" s="103"/>
      <c r="V64" s="107"/>
    </row>
    <row r="65" ht="15.75" customHeight="1">
      <c r="A65" s="89"/>
      <c r="B65" s="177"/>
      <c r="C65" s="97"/>
      <c r="D65" s="95"/>
      <c r="E65" s="176"/>
      <c r="F65" s="144"/>
      <c r="G65" s="95"/>
      <c r="H65" s="96"/>
      <c r="I65" s="103"/>
      <c r="J65" s="95"/>
      <c r="K65" s="99"/>
      <c r="L65" s="99"/>
      <c r="M65" s="100"/>
      <c r="N65" s="101"/>
      <c r="O65" s="102"/>
      <c r="P65" s="95"/>
      <c r="Q65" s="135"/>
      <c r="R65" s="115"/>
      <c r="S65" s="103"/>
      <c r="T65" s="103"/>
      <c r="V65" s="107"/>
    </row>
    <row r="66" ht="15.75" customHeight="1">
      <c r="A66" s="89"/>
      <c r="B66" s="177"/>
      <c r="C66" s="106"/>
      <c r="D66" s="95"/>
      <c r="E66" s="176"/>
      <c r="F66" s="144"/>
      <c r="G66" s="95"/>
      <c r="H66" s="96"/>
      <c r="I66" s="103"/>
      <c r="J66" s="95"/>
      <c r="K66" s="113"/>
      <c r="L66" s="113"/>
      <c r="M66" s="100"/>
      <c r="N66" s="127"/>
      <c r="O66" s="128"/>
      <c r="P66" s="95"/>
      <c r="Q66" s="95"/>
      <c r="R66" s="129"/>
      <c r="S66" s="95"/>
      <c r="T66" s="95"/>
      <c r="V66" s="107"/>
    </row>
    <row r="67" ht="15.75" customHeight="1">
      <c r="A67" s="89"/>
      <c r="B67" s="177"/>
      <c r="C67" s="106"/>
      <c r="D67" s="95"/>
      <c r="E67" s="96"/>
      <c r="F67" s="144"/>
      <c r="G67" s="95"/>
      <c r="H67" s="96"/>
      <c r="I67" s="103"/>
      <c r="J67" s="95"/>
      <c r="K67" s="99"/>
      <c r="L67" s="99"/>
      <c r="M67" s="100"/>
      <c r="N67" s="127"/>
      <c r="O67" s="128"/>
      <c r="P67" s="95"/>
      <c r="Q67" s="135"/>
      <c r="R67" s="106"/>
      <c r="S67" s="103"/>
      <c r="T67" s="103"/>
      <c r="V67" s="107"/>
    </row>
    <row r="68" ht="15.75" customHeight="1">
      <c r="A68" s="89"/>
      <c r="B68" s="177"/>
      <c r="C68" s="106"/>
      <c r="D68" s="95"/>
      <c r="E68" s="96"/>
      <c r="F68" s="144"/>
      <c r="G68" s="95"/>
      <c r="H68" s="96"/>
      <c r="I68" s="103"/>
      <c r="J68" s="95"/>
      <c r="K68" s="113"/>
      <c r="L68" s="113"/>
      <c r="M68" s="100"/>
      <c r="N68" s="127"/>
      <c r="O68" s="128"/>
      <c r="P68" s="95"/>
      <c r="Q68" s="135"/>
      <c r="R68" s="129"/>
      <c r="S68" s="95"/>
      <c r="T68" s="103"/>
      <c r="V68" s="107"/>
    </row>
    <row r="69" ht="15.75" customHeight="1">
      <c r="A69" s="89"/>
      <c r="B69" s="177"/>
      <c r="C69" s="96"/>
      <c r="D69" s="95"/>
      <c r="E69" s="96"/>
      <c r="F69" s="146"/>
      <c r="G69" s="95"/>
      <c r="H69" s="96"/>
      <c r="I69" s="103"/>
      <c r="J69" s="95"/>
      <c r="K69" s="99"/>
      <c r="L69" s="99"/>
      <c r="M69" s="100"/>
      <c r="N69" s="127"/>
      <c r="O69" s="128"/>
      <c r="P69" s="95"/>
      <c r="Q69" s="114"/>
      <c r="R69" s="106"/>
      <c r="S69" s="103"/>
      <c r="T69" s="103"/>
      <c r="V69" s="107"/>
    </row>
    <row r="70" ht="15.75" customHeight="1">
      <c r="A70" s="89"/>
      <c r="B70" s="177"/>
      <c r="C70" s="96"/>
      <c r="D70" s="95"/>
      <c r="E70" s="96"/>
      <c r="F70" s="144"/>
      <c r="G70" s="95"/>
      <c r="H70" s="96"/>
      <c r="I70" s="103"/>
      <c r="J70" s="95"/>
      <c r="K70" s="113"/>
      <c r="L70" s="113"/>
      <c r="M70" s="100"/>
      <c r="N70" s="127"/>
      <c r="O70" s="128"/>
      <c r="P70" s="95"/>
      <c r="Q70" s="137"/>
      <c r="R70" s="129"/>
      <c r="S70" s="95"/>
      <c r="T70" s="95"/>
      <c r="V70" s="107"/>
    </row>
    <row r="71" ht="15.75" customHeight="1">
      <c r="A71" s="89"/>
      <c r="B71" s="177"/>
      <c r="C71" s="96"/>
      <c r="D71" s="95"/>
      <c r="E71" s="96"/>
      <c r="F71" s="144"/>
      <c r="G71" s="95"/>
      <c r="H71" s="96"/>
      <c r="I71" s="103"/>
      <c r="J71" s="95"/>
      <c r="K71" s="99"/>
      <c r="L71" s="99"/>
      <c r="M71" s="100"/>
      <c r="N71" s="127"/>
      <c r="O71" s="128"/>
      <c r="P71" s="95"/>
      <c r="Q71" s="135"/>
      <c r="R71" s="106"/>
      <c r="S71" s="103"/>
      <c r="T71" s="103"/>
      <c r="V71" s="107"/>
    </row>
    <row r="72" ht="15.75" customHeight="1">
      <c r="A72" s="89"/>
      <c r="B72" s="177"/>
      <c r="C72" s="96"/>
      <c r="D72" s="95"/>
      <c r="E72" s="176"/>
      <c r="F72" s="144"/>
      <c r="G72" s="95"/>
      <c r="H72" s="96"/>
      <c r="I72" s="103"/>
      <c r="J72" s="95"/>
      <c r="K72" s="113"/>
      <c r="L72" s="113"/>
      <c r="M72" s="100"/>
      <c r="N72" s="101"/>
      <c r="O72" s="128"/>
      <c r="P72" s="95"/>
      <c r="Q72" s="135"/>
      <c r="R72" s="106"/>
      <c r="S72" s="103"/>
      <c r="T72" s="103"/>
      <c r="V72" s="107"/>
    </row>
    <row r="73" ht="15.75" customHeight="1">
      <c r="A73" s="89"/>
      <c r="B73" s="177"/>
      <c r="C73" s="96"/>
      <c r="D73" s="95"/>
      <c r="E73" s="176"/>
      <c r="F73" s="146"/>
      <c r="G73" s="95"/>
      <c r="H73" s="96"/>
      <c r="I73" s="103"/>
      <c r="J73" s="95"/>
      <c r="K73" s="99"/>
      <c r="L73" s="99"/>
      <c r="M73" s="100"/>
      <c r="N73" s="101"/>
      <c r="O73" s="128"/>
      <c r="P73" s="95"/>
      <c r="Q73" s="114"/>
      <c r="R73" s="106"/>
      <c r="S73" s="103"/>
      <c r="T73" s="103"/>
      <c r="V73" s="107"/>
    </row>
    <row r="74" ht="15.75" customHeight="1">
      <c r="A74" s="89"/>
      <c r="B74" s="177"/>
      <c r="C74" s="106"/>
      <c r="D74" s="95"/>
      <c r="E74" s="176"/>
      <c r="F74" s="144"/>
      <c r="G74" s="95"/>
      <c r="H74" s="96"/>
      <c r="I74" s="103"/>
      <c r="J74" s="95"/>
      <c r="K74" s="113"/>
      <c r="L74" s="113"/>
      <c r="M74" s="100"/>
      <c r="N74" s="101"/>
      <c r="O74" s="128"/>
      <c r="P74" s="95"/>
      <c r="Q74" s="114"/>
      <c r="R74" s="106"/>
      <c r="S74" s="103"/>
      <c r="T74" s="103"/>
      <c r="V74" s="107"/>
    </row>
    <row r="75" ht="15.75" customHeight="1">
      <c r="A75" s="89"/>
      <c r="B75" s="177"/>
      <c r="C75" s="106"/>
      <c r="D75" s="95"/>
      <c r="E75" s="176"/>
      <c r="F75" s="144"/>
      <c r="G75" s="95"/>
      <c r="H75" s="96"/>
      <c r="I75" s="103"/>
      <c r="J75" s="95"/>
      <c r="K75" s="99"/>
      <c r="L75" s="99"/>
      <c r="M75" s="100"/>
      <c r="N75" s="127"/>
      <c r="O75" s="128"/>
      <c r="P75" s="95"/>
      <c r="Q75" s="137"/>
      <c r="R75" s="129"/>
      <c r="S75" s="95"/>
      <c r="T75" s="95"/>
      <c r="V75" s="107"/>
    </row>
    <row r="76" ht="15.75" customHeight="1">
      <c r="A76" s="89"/>
      <c r="B76" s="177"/>
      <c r="C76" s="96"/>
      <c r="D76" s="95"/>
      <c r="E76" s="176"/>
      <c r="F76" s="144"/>
      <c r="G76" s="95"/>
      <c r="H76" s="96"/>
      <c r="I76" s="103"/>
      <c r="J76" s="95"/>
      <c r="K76" s="113"/>
      <c r="L76" s="113"/>
      <c r="M76" s="100"/>
      <c r="N76" s="101"/>
      <c r="O76" s="128"/>
      <c r="P76" s="95"/>
      <c r="Q76" s="114"/>
      <c r="R76" s="106"/>
      <c r="S76" s="103"/>
      <c r="T76" s="103"/>
      <c r="V76" s="107"/>
    </row>
    <row r="77" ht="15.75" customHeight="1">
      <c r="A77" s="89"/>
      <c r="B77" s="177"/>
      <c r="C77" s="96"/>
      <c r="D77" s="95"/>
      <c r="E77" s="96"/>
      <c r="F77" s="144"/>
      <c r="G77" s="95"/>
      <c r="H77" s="96"/>
      <c r="I77" s="103"/>
      <c r="J77" s="95"/>
      <c r="K77" s="99"/>
      <c r="L77" s="99"/>
      <c r="M77" s="100"/>
      <c r="N77" s="127"/>
      <c r="O77" s="128"/>
      <c r="P77" s="95"/>
      <c r="Q77" s="137"/>
      <c r="R77" s="129"/>
      <c r="S77" s="95"/>
      <c r="T77" s="95"/>
      <c r="V77" s="107"/>
    </row>
    <row r="78" ht="15.75" customHeight="1">
      <c r="A78" s="89"/>
      <c r="B78" s="177"/>
      <c r="C78" s="96"/>
      <c r="D78" s="95"/>
      <c r="E78" s="176"/>
      <c r="F78" s="144"/>
      <c r="G78" s="95"/>
      <c r="H78" s="96"/>
      <c r="I78" s="103"/>
      <c r="J78" s="95"/>
      <c r="K78" s="113"/>
      <c r="L78" s="113"/>
      <c r="M78" s="100"/>
      <c r="N78" s="101"/>
      <c r="O78" s="128"/>
      <c r="P78" s="95"/>
      <c r="Q78" s="114"/>
      <c r="R78" s="106"/>
      <c r="S78" s="103"/>
      <c r="T78" s="103"/>
      <c r="V78" s="107"/>
    </row>
    <row r="79" ht="15.75" customHeight="1">
      <c r="A79" s="89"/>
      <c r="B79" s="177"/>
      <c r="C79" s="96"/>
      <c r="D79" s="95"/>
      <c r="E79" s="176"/>
      <c r="F79" s="144"/>
      <c r="G79" s="95"/>
      <c r="H79" s="96"/>
      <c r="I79" s="103"/>
      <c r="J79" s="95"/>
      <c r="K79" s="99"/>
      <c r="L79" s="99"/>
      <c r="M79" s="100"/>
      <c r="N79" s="127"/>
      <c r="O79" s="128"/>
      <c r="P79" s="95"/>
      <c r="Q79" s="137"/>
      <c r="R79" s="129"/>
      <c r="S79" s="95"/>
      <c r="T79" s="95"/>
      <c r="V79" s="107"/>
    </row>
    <row r="80" ht="15.75" customHeight="1">
      <c r="A80" s="89"/>
      <c r="B80" s="177"/>
      <c r="C80" s="96"/>
      <c r="D80" s="95"/>
      <c r="E80" s="176"/>
      <c r="F80" s="144"/>
      <c r="G80" s="95"/>
      <c r="H80" s="96"/>
      <c r="I80" s="103"/>
      <c r="J80" s="95"/>
      <c r="K80" s="113"/>
      <c r="L80" s="113"/>
      <c r="M80" s="100"/>
      <c r="N80" s="101"/>
      <c r="O80" s="102"/>
      <c r="P80" s="95"/>
      <c r="Q80" s="135"/>
      <c r="R80" s="106"/>
      <c r="S80" s="103"/>
      <c r="T80" s="103"/>
      <c r="V80" s="107"/>
    </row>
    <row r="81" ht="15.75" customHeight="1">
      <c r="A81" s="89"/>
      <c r="B81" s="177"/>
      <c r="C81" s="106"/>
      <c r="D81" s="95"/>
      <c r="E81" s="176"/>
      <c r="F81" s="144"/>
      <c r="G81" s="95"/>
      <c r="H81" s="96"/>
      <c r="I81" s="103"/>
      <c r="J81" s="95"/>
      <c r="K81" s="99"/>
      <c r="L81" s="99"/>
      <c r="M81" s="100"/>
      <c r="N81" s="101"/>
      <c r="O81" s="102"/>
      <c r="P81" s="95"/>
      <c r="Q81" s="114"/>
      <c r="R81" s="142"/>
      <c r="S81" s="103"/>
      <c r="T81" s="103"/>
      <c r="V81" s="107"/>
    </row>
    <row r="82" ht="15.75" customHeight="1">
      <c r="A82" s="89"/>
      <c r="B82" s="177"/>
      <c r="C82" s="106"/>
      <c r="D82" s="95"/>
      <c r="E82" s="176"/>
      <c r="F82" s="144"/>
      <c r="G82" s="95"/>
      <c r="H82" s="96"/>
      <c r="I82" s="103"/>
      <c r="J82" s="95"/>
      <c r="K82" s="113"/>
      <c r="L82" s="113"/>
      <c r="M82" s="100"/>
      <c r="N82" s="101"/>
      <c r="O82" s="102"/>
      <c r="P82" s="95"/>
      <c r="Q82" s="114"/>
      <c r="R82" s="106"/>
      <c r="S82" s="103"/>
      <c r="T82" s="103"/>
      <c r="V82" s="107"/>
    </row>
    <row r="83" ht="15.75" customHeight="1">
      <c r="A83" s="89"/>
      <c r="B83" s="177"/>
      <c r="C83" s="96"/>
      <c r="D83" s="95"/>
      <c r="E83" s="176"/>
      <c r="F83" s="144"/>
      <c r="G83" s="95"/>
      <c r="H83" s="96"/>
      <c r="I83" s="103"/>
      <c r="J83" s="95"/>
      <c r="K83" s="99"/>
      <c r="L83" s="99"/>
      <c r="M83" s="100"/>
      <c r="N83" s="127"/>
      <c r="O83" s="128"/>
      <c r="P83" s="95"/>
      <c r="Q83" s="137"/>
      <c r="R83" s="129"/>
      <c r="S83" s="95"/>
      <c r="T83" s="95"/>
      <c r="V83" s="107"/>
    </row>
    <row r="84" ht="15.75" customHeight="1">
      <c r="A84" s="89"/>
      <c r="B84" s="177"/>
      <c r="C84" s="96"/>
      <c r="D84" s="95"/>
      <c r="E84" s="176"/>
      <c r="F84" s="144"/>
      <c r="G84" s="95"/>
      <c r="H84" s="96"/>
      <c r="I84" s="103"/>
      <c r="J84" s="95"/>
      <c r="K84" s="113"/>
      <c r="L84" s="113"/>
      <c r="M84" s="100"/>
      <c r="N84" s="127"/>
      <c r="O84" s="128"/>
      <c r="P84" s="95"/>
      <c r="Q84" s="95"/>
      <c r="R84" s="129"/>
      <c r="S84" s="95"/>
      <c r="T84" s="95"/>
      <c r="V84" s="107"/>
    </row>
    <row r="85" ht="15.75" customHeight="1">
      <c r="A85" s="89"/>
      <c r="B85" s="177"/>
      <c r="C85" s="143"/>
      <c r="D85" s="95"/>
      <c r="E85" s="176"/>
      <c r="F85" s="144"/>
      <c r="G85" s="95"/>
      <c r="H85" s="96"/>
      <c r="I85" s="103"/>
      <c r="J85" s="95"/>
      <c r="K85" s="99"/>
      <c r="L85" s="99"/>
      <c r="M85" s="100"/>
      <c r="N85" s="127"/>
      <c r="O85" s="128"/>
      <c r="P85" s="95"/>
      <c r="Q85" s="137"/>
      <c r="R85" s="129"/>
      <c r="S85" s="95"/>
      <c r="T85" s="95"/>
      <c r="V85" s="107"/>
    </row>
    <row r="86" ht="15.75" customHeight="1">
      <c r="A86" s="89"/>
      <c r="B86" s="177"/>
      <c r="C86" s="97"/>
      <c r="D86" s="95"/>
      <c r="E86" s="176"/>
      <c r="F86" s="144"/>
      <c r="G86" s="95"/>
      <c r="H86" s="96"/>
      <c r="I86" s="103"/>
      <c r="J86" s="95"/>
      <c r="K86" s="113"/>
      <c r="L86" s="113"/>
      <c r="M86" s="100"/>
      <c r="N86" s="101"/>
      <c r="O86" s="102"/>
      <c r="P86" s="95"/>
      <c r="Q86" s="135"/>
      <c r="R86" s="115"/>
      <c r="S86" s="103"/>
      <c r="T86" s="103"/>
      <c r="V86" s="107"/>
    </row>
    <row r="87" ht="15.75" customHeight="1">
      <c r="A87" s="89"/>
      <c r="B87" s="177"/>
      <c r="C87" s="96"/>
      <c r="D87" s="95"/>
      <c r="E87" s="176"/>
      <c r="F87" s="144"/>
      <c r="G87" s="95"/>
      <c r="H87" s="96"/>
      <c r="I87" s="103"/>
      <c r="J87" s="95"/>
      <c r="K87" s="99"/>
      <c r="L87" s="99"/>
      <c r="M87" s="100"/>
      <c r="N87" s="127"/>
      <c r="O87" s="102"/>
      <c r="P87" s="95"/>
      <c r="Q87" s="137"/>
      <c r="R87" s="106"/>
      <c r="S87" s="103"/>
      <c r="T87" s="103"/>
      <c r="V87" s="107"/>
    </row>
    <row r="88" ht="15.75" customHeight="1">
      <c r="A88" s="89"/>
      <c r="B88" s="177"/>
      <c r="C88" s="96"/>
      <c r="D88" s="95"/>
      <c r="E88" s="176"/>
      <c r="F88" s="144"/>
      <c r="G88" s="95"/>
      <c r="H88" s="96"/>
      <c r="I88" s="103"/>
      <c r="J88" s="95"/>
      <c r="K88" s="113"/>
      <c r="L88" s="113"/>
      <c r="M88" s="100"/>
      <c r="N88" s="101"/>
      <c r="O88" s="102"/>
      <c r="P88" s="95"/>
      <c r="Q88" s="114"/>
      <c r="R88" s="106"/>
      <c r="S88" s="103"/>
      <c r="T88" s="103"/>
      <c r="V88" s="107"/>
    </row>
    <row r="89" ht="15.75" customHeight="1">
      <c r="A89" s="89"/>
      <c r="B89" s="177"/>
      <c r="C89" s="96"/>
      <c r="D89" s="95"/>
      <c r="E89" s="176"/>
      <c r="F89" s="144"/>
      <c r="G89" s="95"/>
      <c r="H89" s="96"/>
      <c r="I89" s="103"/>
      <c r="J89" s="95"/>
      <c r="K89" s="99"/>
      <c r="L89" s="99"/>
      <c r="M89" s="100"/>
      <c r="N89" s="127"/>
      <c r="O89" s="128"/>
      <c r="P89" s="95"/>
      <c r="Q89" s="95"/>
      <c r="R89" s="129"/>
      <c r="S89" s="95"/>
      <c r="T89" s="95"/>
      <c r="V89" s="107"/>
    </row>
    <row r="90" ht="15.75" customHeight="1">
      <c r="A90" s="89"/>
      <c r="B90" s="177"/>
      <c r="C90" s="144"/>
      <c r="D90" s="95"/>
      <c r="E90" s="176"/>
      <c r="F90" s="180"/>
      <c r="G90" s="95"/>
      <c r="H90" s="96"/>
      <c r="I90" s="103"/>
      <c r="J90" s="95"/>
      <c r="K90" s="113"/>
      <c r="L90" s="113"/>
      <c r="M90" s="100"/>
      <c r="N90" s="101"/>
      <c r="O90" s="102"/>
      <c r="P90" s="95"/>
      <c r="Q90" s="103"/>
      <c r="R90" s="106"/>
      <c r="S90" s="103"/>
      <c r="T90" s="103"/>
      <c r="V90" s="107"/>
    </row>
    <row r="91" ht="15.75" customHeight="1">
      <c r="A91" s="89"/>
      <c r="B91" s="177"/>
      <c r="C91" s="146"/>
      <c r="D91" s="95"/>
      <c r="E91" s="176"/>
      <c r="F91" s="144"/>
      <c r="G91" s="95"/>
      <c r="H91" s="96"/>
      <c r="I91" s="103"/>
      <c r="J91" s="95"/>
      <c r="K91" s="99"/>
      <c r="L91" s="99"/>
      <c r="M91" s="100"/>
      <c r="N91" s="127"/>
      <c r="O91" s="128"/>
      <c r="P91" s="95"/>
      <c r="Q91" s="95"/>
      <c r="R91" s="129"/>
      <c r="S91" s="95"/>
      <c r="T91" s="95"/>
      <c r="V91" s="107"/>
    </row>
    <row r="92" ht="15.75" customHeight="1">
      <c r="A92" s="89"/>
      <c r="B92" s="177"/>
      <c r="C92" s="144"/>
      <c r="D92" s="95"/>
      <c r="E92" s="176"/>
      <c r="F92" s="144"/>
      <c r="G92" s="95"/>
      <c r="H92" s="96"/>
      <c r="I92" s="103"/>
      <c r="J92" s="95"/>
      <c r="K92" s="113"/>
      <c r="L92" s="113"/>
      <c r="M92" s="100"/>
      <c r="N92" s="101"/>
      <c r="O92" s="102"/>
      <c r="P92" s="95"/>
      <c r="Q92" s="135"/>
      <c r="R92" s="106"/>
      <c r="S92" s="103"/>
      <c r="T92" s="103"/>
      <c r="V92" s="107"/>
    </row>
    <row r="93" ht="15.75" customHeight="1">
      <c r="A93" s="89"/>
      <c r="B93" s="177"/>
      <c r="C93" s="146"/>
      <c r="D93" s="95"/>
      <c r="E93" s="144"/>
      <c r="F93" s="144"/>
      <c r="G93" s="95"/>
      <c r="H93" s="96"/>
      <c r="I93" s="103"/>
      <c r="J93" s="95"/>
      <c r="K93" s="99"/>
      <c r="L93" s="99"/>
      <c r="M93" s="100"/>
      <c r="N93" s="127"/>
      <c r="O93" s="128"/>
      <c r="P93" s="95"/>
      <c r="Q93" s="137"/>
      <c r="R93" s="129"/>
      <c r="S93" s="95"/>
      <c r="T93" s="95"/>
      <c r="V93" s="107"/>
    </row>
    <row r="94" ht="15.75" customHeight="1">
      <c r="A94" s="89"/>
      <c r="B94" s="177"/>
      <c r="C94" s="96"/>
      <c r="D94" s="95"/>
      <c r="E94" s="176"/>
      <c r="F94" s="144"/>
      <c r="G94" s="95"/>
      <c r="H94" s="96"/>
      <c r="I94" s="103"/>
      <c r="J94" s="95"/>
      <c r="K94" s="113"/>
      <c r="L94" s="113"/>
      <c r="M94" s="100"/>
      <c r="N94" s="127"/>
      <c r="O94" s="128"/>
      <c r="P94" s="95"/>
      <c r="Q94" s="95"/>
      <c r="R94" s="129"/>
      <c r="S94" s="95"/>
      <c r="T94" s="95"/>
      <c r="V94" s="107"/>
    </row>
    <row r="95" ht="15.75" customHeight="1">
      <c r="A95" s="89"/>
      <c r="B95" s="177"/>
      <c r="C95" s="96"/>
      <c r="D95" s="95"/>
      <c r="E95" s="176"/>
      <c r="F95" s="144"/>
      <c r="G95" s="95"/>
      <c r="H95" s="96"/>
      <c r="I95" s="103"/>
      <c r="J95" s="95"/>
      <c r="K95" s="99"/>
      <c r="L95" s="99"/>
      <c r="M95" s="100"/>
      <c r="N95" s="101"/>
      <c r="O95" s="102"/>
      <c r="P95" s="95"/>
      <c r="Q95" s="114"/>
      <c r="R95" s="106"/>
      <c r="S95" s="103"/>
      <c r="T95" s="103"/>
      <c r="V95" s="107"/>
    </row>
    <row r="96" ht="15.75" customHeight="1">
      <c r="A96" s="89"/>
      <c r="B96" s="177"/>
      <c r="C96" s="96"/>
      <c r="D96" s="95"/>
      <c r="E96" s="176"/>
      <c r="F96" s="144"/>
      <c r="G96" s="95"/>
      <c r="H96" s="96"/>
      <c r="I96" s="103"/>
      <c r="J96" s="95"/>
      <c r="K96" s="113"/>
      <c r="L96" s="113"/>
      <c r="M96" s="100"/>
      <c r="N96" s="127"/>
      <c r="O96" s="128"/>
      <c r="P96" s="95"/>
      <c r="Q96" s="95"/>
      <c r="R96" s="129"/>
      <c r="S96" s="95"/>
      <c r="T96" s="95"/>
      <c r="V96" s="107"/>
    </row>
    <row r="97" ht="15.75" customHeight="1">
      <c r="A97" s="89"/>
      <c r="B97" s="177"/>
      <c r="C97" s="96"/>
      <c r="D97" s="95"/>
      <c r="E97" s="181"/>
      <c r="F97" s="144"/>
      <c r="G97" s="95"/>
      <c r="H97" s="96"/>
      <c r="I97" s="103"/>
      <c r="J97" s="95"/>
      <c r="K97" s="99"/>
      <c r="L97" s="99"/>
      <c r="M97" s="100"/>
      <c r="N97" s="127"/>
      <c r="O97" s="128"/>
      <c r="P97" s="95"/>
      <c r="Q97" s="137"/>
      <c r="R97" s="129"/>
      <c r="S97" s="95"/>
      <c r="T97" s="95"/>
      <c r="V97" s="107"/>
    </row>
    <row r="98" ht="15.75" customHeight="1">
      <c r="A98" s="89"/>
      <c r="B98" s="177"/>
      <c r="C98" s="106"/>
      <c r="D98" s="95"/>
      <c r="E98" s="176"/>
      <c r="F98" s="144"/>
      <c r="G98" s="95"/>
      <c r="H98" s="96"/>
      <c r="I98" s="103"/>
      <c r="J98" s="95"/>
      <c r="K98" s="113"/>
      <c r="L98" s="113"/>
      <c r="M98" s="100"/>
      <c r="N98" s="127"/>
      <c r="O98" s="128"/>
      <c r="P98" s="95"/>
      <c r="Q98" s="135"/>
      <c r="R98" s="106"/>
      <c r="S98" s="95"/>
      <c r="T98" s="103"/>
      <c r="V98" s="107"/>
    </row>
    <row r="99" ht="15.75" customHeight="1">
      <c r="A99" s="89"/>
      <c r="B99" s="177"/>
      <c r="C99" s="106"/>
      <c r="D99" s="95"/>
      <c r="E99" s="176"/>
      <c r="F99" s="144"/>
      <c r="G99" s="95"/>
      <c r="H99" s="96"/>
      <c r="I99" s="103"/>
      <c r="J99" s="95"/>
      <c r="K99" s="99"/>
      <c r="L99" s="99"/>
      <c r="M99" s="100"/>
      <c r="N99" s="127"/>
      <c r="O99" s="128"/>
      <c r="P99" s="95"/>
      <c r="Q99" s="135"/>
      <c r="R99" s="106"/>
      <c r="S99" s="95"/>
      <c r="T99" s="103"/>
      <c r="V99" s="107"/>
    </row>
    <row r="100" ht="15.75" customHeight="1">
      <c r="A100" s="89"/>
      <c r="B100" s="177"/>
      <c r="C100" s="96"/>
      <c r="D100" s="95"/>
      <c r="E100" s="96"/>
      <c r="F100" s="146"/>
      <c r="G100" s="95"/>
      <c r="H100" s="96"/>
      <c r="I100" s="103"/>
      <c r="J100" s="95"/>
      <c r="K100" s="113"/>
      <c r="L100" s="113"/>
      <c r="M100" s="100"/>
      <c r="N100" s="127"/>
      <c r="O100" s="128"/>
      <c r="P100" s="95"/>
      <c r="Q100" s="137"/>
      <c r="R100" s="129"/>
      <c r="S100" s="95"/>
      <c r="T100" s="95"/>
      <c r="V100" s="107"/>
    </row>
    <row r="101" ht="15.75" customHeight="1">
      <c r="A101" s="89"/>
      <c r="B101" s="177"/>
      <c r="C101" s="96"/>
      <c r="D101" s="95"/>
      <c r="E101" s="176"/>
      <c r="F101" s="144"/>
      <c r="G101" s="95"/>
      <c r="H101" s="96"/>
      <c r="I101" s="103"/>
      <c r="J101" s="95"/>
      <c r="K101" s="99"/>
      <c r="L101" s="99"/>
      <c r="M101" s="100"/>
      <c r="N101" s="127"/>
      <c r="O101" s="128"/>
      <c r="P101" s="95"/>
      <c r="Q101" s="95"/>
      <c r="R101" s="129"/>
      <c r="S101" s="95"/>
      <c r="T101" s="95"/>
      <c r="V101" s="107"/>
    </row>
    <row r="102" ht="15.75" customHeight="1">
      <c r="A102" s="89"/>
      <c r="B102" s="177"/>
      <c r="C102" s="96"/>
      <c r="D102" s="95"/>
      <c r="E102" s="176"/>
      <c r="F102" s="144"/>
      <c r="G102" s="95"/>
      <c r="H102" s="96"/>
      <c r="I102" s="103"/>
      <c r="J102" s="95"/>
      <c r="K102" s="113"/>
      <c r="L102" s="113"/>
      <c r="M102" s="100"/>
      <c r="N102" s="101"/>
      <c r="O102" s="102"/>
      <c r="P102" s="95"/>
      <c r="Q102" s="114"/>
      <c r="R102" s="115"/>
      <c r="S102" s="103"/>
      <c r="T102" s="103"/>
      <c r="V102" s="107"/>
    </row>
    <row r="103" ht="15.75" customHeight="1">
      <c r="A103" s="89"/>
      <c r="B103" s="182"/>
      <c r="C103" s="149"/>
      <c r="D103" s="95"/>
      <c r="E103" s="149"/>
      <c r="F103" s="180"/>
      <c r="G103" s="95"/>
      <c r="H103" s="96"/>
      <c r="I103" s="103"/>
      <c r="J103" s="95"/>
      <c r="K103" s="99"/>
      <c r="L103" s="99"/>
      <c r="M103" s="100"/>
      <c r="N103" s="101"/>
      <c r="O103" s="128"/>
      <c r="P103" s="95"/>
      <c r="Q103" s="137"/>
      <c r="R103" s="129"/>
      <c r="S103" s="103"/>
      <c r="T103" s="95"/>
      <c r="V103" s="107"/>
    </row>
    <row r="104" ht="15.75" customHeight="1">
      <c r="A104" s="89"/>
      <c r="B104" s="182"/>
      <c r="C104" s="149"/>
      <c r="D104" s="95"/>
      <c r="E104" s="149"/>
      <c r="F104" s="149"/>
      <c r="G104" s="95"/>
      <c r="H104" s="96"/>
      <c r="I104" s="103"/>
      <c r="J104" s="95"/>
      <c r="K104" s="113"/>
      <c r="L104" s="113"/>
      <c r="M104" s="100"/>
      <c r="N104" s="101"/>
      <c r="O104" s="128"/>
      <c r="P104" s="95"/>
      <c r="Q104" s="95"/>
      <c r="R104" s="129"/>
      <c r="S104" s="103"/>
      <c r="T104" s="95"/>
      <c r="V104" s="107"/>
    </row>
    <row r="105" ht="15.75" customHeight="1">
      <c r="A105" s="89"/>
      <c r="B105" s="182"/>
      <c r="C105" s="107"/>
      <c r="D105" s="95"/>
      <c r="E105" s="149"/>
      <c r="F105" s="149"/>
      <c r="G105" s="95"/>
      <c r="H105" s="96"/>
      <c r="I105" s="103"/>
      <c r="J105" s="95"/>
      <c r="K105" s="99"/>
      <c r="L105" s="99"/>
      <c r="M105" s="100"/>
      <c r="N105" s="101"/>
      <c r="O105" s="128"/>
      <c r="P105" s="95"/>
      <c r="Q105" s="137"/>
      <c r="R105" s="129"/>
      <c r="S105" s="103"/>
      <c r="T105" s="95"/>
      <c r="V105" s="107"/>
    </row>
    <row r="106" ht="15.75" customHeight="1">
      <c r="A106" s="89"/>
      <c r="B106" s="182"/>
      <c r="C106" s="107"/>
      <c r="D106" s="95"/>
      <c r="E106" s="149"/>
      <c r="F106" s="149"/>
      <c r="G106" s="95"/>
      <c r="H106" s="96"/>
      <c r="I106" s="103"/>
      <c r="J106" s="95"/>
      <c r="K106" s="113"/>
      <c r="L106" s="113"/>
      <c r="M106" s="100"/>
      <c r="N106" s="101"/>
      <c r="O106" s="128"/>
      <c r="P106" s="95"/>
      <c r="Q106" s="137"/>
      <c r="R106" s="129"/>
      <c r="S106" s="103"/>
      <c r="T106" s="95"/>
      <c r="V106" s="107"/>
    </row>
    <row r="107" ht="15.75" customHeight="1">
      <c r="A107" s="89"/>
      <c r="B107" s="182"/>
      <c r="C107" s="149"/>
      <c r="D107" s="95"/>
      <c r="E107" s="149"/>
      <c r="F107" s="149"/>
      <c r="G107" s="95"/>
      <c r="H107" s="96"/>
      <c r="I107" s="103"/>
      <c r="J107" s="95"/>
      <c r="K107" s="99"/>
      <c r="L107" s="99"/>
      <c r="M107" s="100"/>
      <c r="N107" s="101"/>
      <c r="O107" s="128"/>
      <c r="P107" s="95"/>
      <c r="Q107" s="137"/>
      <c r="R107" s="129"/>
      <c r="S107" s="103"/>
      <c r="T107" s="95"/>
      <c r="V107" s="107"/>
    </row>
    <row r="108" ht="15.75" customHeight="1">
      <c r="A108" s="89"/>
      <c r="B108" s="182"/>
      <c r="C108" s="149"/>
      <c r="D108" s="95"/>
      <c r="E108" s="149"/>
      <c r="F108" s="149"/>
      <c r="G108" s="95"/>
      <c r="H108" s="96"/>
      <c r="I108" s="103"/>
      <c r="J108" s="95"/>
      <c r="K108" s="113"/>
      <c r="L108" s="113"/>
      <c r="M108" s="100"/>
      <c r="N108" s="101"/>
      <c r="O108" s="128"/>
      <c r="P108" s="95"/>
      <c r="Q108" s="95"/>
      <c r="R108" s="129"/>
      <c r="S108" s="103"/>
      <c r="T108" s="95"/>
      <c r="V108" s="107"/>
    </row>
    <row r="109" ht="15.75" customHeight="1">
      <c r="A109" s="89"/>
      <c r="B109" s="182"/>
      <c r="C109" s="149"/>
      <c r="D109" s="95"/>
      <c r="E109" s="149"/>
      <c r="F109" s="149"/>
      <c r="G109" s="95"/>
      <c r="H109" s="96"/>
      <c r="I109" s="103"/>
      <c r="J109" s="95"/>
      <c r="K109" s="99"/>
      <c r="L109" s="99"/>
      <c r="M109" s="100"/>
      <c r="N109" s="101"/>
      <c r="O109" s="128"/>
      <c r="P109" s="95"/>
      <c r="Q109" s="137"/>
      <c r="R109" s="129"/>
      <c r="S109" s="103"/>
      <c r="T109" s="95"/>
      <c r="V109" s="107"/>
    </row>
    <row r="110" ht="15.75" customHeight="1">
      <c r="A110" s="89"/>
      <c r="B110" s="182"/>
      <c r="C110" s="149"/>
      <c r="D110" s="95"/>
      <c r="E110" s="149"/>
      <c r="F110" s="149"/>
      <c r="G110" s="95"/>
      <c r="H110" s="149"/>
      <c r="I110" s="151"/>
      <c r="J110" s="95"/>
      <c r="K110" s="113"/>
      <c r="L110" s="113"/>
      <c r="M110" s="100"/>
      <c r="N110" s="127"/>
      <c r="O110" s="128"/>
      <c r="P110" s="95"/>
      <c r="Q110" s="95"/>
      <c r="R110" s="129"/>
      <c r="S110" s="95"/>
      <c r="T110" s="95"/>
      <c r="V110" s="107"/>
    </row>
    <row r="111" ht="15.75" customHeight="1">
      <c r="A111" s="89"/>
      <c r="B111" s="182"/>
      <c r="C111" s="149"/>
      <c r="D111" s="95"/>
      <c r="E111" s="149"/>
      <c r="F111" s="149"/>
      <c r="G111" s="95"/>
      <c r="H111" s="149"/>
      <c r="I111" s="95"/>
      <c r="J111" s="95"/>
      <c r="K111" s="99"/>
      <c r="L111" s="99"/>
      <c r="M111" s="100"/>
      <c r="N111" s="127"/>
      <c r="O111" s="128"/>
      <c r="P111" s="95"/>
      <c r="Q111" s="137"/>
      <c r="R111" s="129"/>
      <c r="S111" s="95"/>
      <c r="T111" s="95"/>
      <c r="V111" s="107"/>
    </row>
    <row r="112" ht="15.75" customHeight="1">
      <c r="A112" s="89"/>
      <c r="B112" s="182"/>
      <c r="C112" s="107"/>
      <c r="D112" s="95"/>
      <c r="E112" s="149"/>
      <c r="F112" s="149"/>
      <c r="G112" s="95"/>
      <c r="H112" s="149"/>
      <c r="I112" s="95"/>
      <c r="J112" s="95"/>
      <c r="K112" s="113"/>
      <c r="L112" s="113"/>
      <c r="M112" s="100"/>
      <c r="N112" s="127"/>
      <c r="O112" s="128"/>
      <c r="P112" s="95"/>
      <c r="Q112" s="95"/>
      <c r="R112" s="129"/>
      <c r="S112" s="95"/>
      <c r="T112" s="95"/>
      <c r="V112" s="107"/>
    </row>
    <row r="113" ht="15.75" customHeight="1">
      <c r="A113" s="89"/>
      <c r="B113" s="182"/>
      <c r="C113" s="107"/>
      <c r="D113" s="95"/>
      <c r="E113" s="149"/>
      <c r="F113" s="149"/>
      <c r="G113" s="95"/>
      <c r="H113" s="149"/>
      <c r="I113" s="95"/>
      <c r="J113" s="95"/>
      <c r="K113" s="99"/>
      <c r="L113" s="99"/>
      <c r="M113" s="100"/>
      <c r="N113" s="127"/>
      <c r="O113" s="128"/>
      <c r="P113" s="95"/>
      <c r="Q113" s="95"/>
      <c r="R113" s="129"/>
      <c r="S113" s="95"/>
      <c r="T113" s="95"/>
      <c r="V113" s="107"/>
    </row>
    <row r="114" ht="15.75" customHeight="1">
      <c r="A114" s="89"/>
      <c r="B114" s="182"/>
      <c r="C114" s="107"/>
      <c r="D114" s="95"/>
      <c r="E114" s="149"/>
      <c r="F114" s="149"/>
      <c r="G114" s="95"/>
      <c r="H114" s="149"/>
      <c r="I114" s="95"/>
      <c r="J114" s="95"/>
      <c r="K114" s="113"/>
      <c r="L114" s="113"/>
      <c r="M114" s="100"/>
      <c r="N114" s="127"/>
      <c r="O114" s="128"/>
      <c r="P114" s="95"/>
      <c r="Q114" s="95"/>
      <c r="R114" s="129"/>
      <c r="S114" s="95"/>
      <c r="T114" s="95"/>
      <c r="V114" s="107"/>
    </row>
    <row r="115" ht="15.75" customHeight="1">
      <c r="A115" s="89"/>
      <c r="B115" s="182"/>
      <c r="C115" s="149"/>
      <c r="D115" s="95"/>
      <c r="E115" s="149"/>
      <c r="F115" s="149"/>
      <c r="G115" s="95"/>
      <c r="H115" s="149"/>
      <c r="I115" s="95"/>
      <c r="J115" s="95"/>
      <c r="K115" s="99"/>
      <c r="L115" s="99"/>
      <c r="M115" s="100"/>
      <c r="N115" s="127"/>
      <c r="O115" s="128"/>
      <c r="P115" s="95"/>
      <c r="Q115" s="95"/>
      <c r="R115" s="129"/>
      <c r="S115" s="95"/>
      <c r="T115" s="95"/>
      <c r="V115" s="107"/>
    </row>
    <row r="116" ht="15.75" customHeight="1">
      <c r="A116" s="89"/>
      <c r="B116" s="182"/>
      <c r="C116" s="149"/>
      <c r="D116" s="95"/>
      <c r="E116" s="149"/>
      <c r="F116" s="149"/>
      <c r="G116" s="95"/>
      <c r="H116" s="149"/>
      <c r="I116" s="95"/>
      <c r="J116" s="95"/>
      <c r="K116" s="113"/>
      <c r="L116" s="113"/>
      <c r="M116" s="100"/>
      <c r="N116" s="127"/>
      <c r="O116" s="128"/>
      <c r="P116" s="95"/>
      <c r="Q116" s="95"/>
      <c r="R116" s="129"/>
      <c r="S116" s="95"/>
      <c r="T116" s="95"/>
      <c r="V116" s="107"/>
    </row>
    <row r="117" ht="15.75" customHeight="1">
      <c r="A117" s="89"/>
      <c r="B117" s="182"/>
      <c r="C117" s="149"/>
      <c r="D117" s="95"/>
      <c r="E117" s="149"/>
      <c r="F117" s="149"/>
      <c r="G117" s="95"/>
      <c r="H117" s="149"/>
      <c r="I117" s="95"/>
      <c r="J117" s="95"/>
      <c r="K117" s="99"/>
      <c r="L117" s="99"/>
      <c r="M117" s="100"/>
      <c r="N117" s="127"/>
      <c r="O117" s="128"/>
      <c r="P117" s="95"/>
      <c r="Q117" s="95"/>
      <c r="R117" s="129"/>
      <c r="S117" s="95"/>
      <c r="T117" s="95"/>
      <c r="V117" s="107"/>
    </row>
    <row r="118" ht="15.75" customHeight="1">
      <c r="A118" s="89"/>
      <c r="B118" s="182"/>
      <c r="C118" s="149"/>
      <c r="D118" s="95"/>
      <c r="E118" s="149"/>
      <c r="F118" s="149"/>
      <c r="G118" s="95"/>
      <c r="H118" s="149"/>
      <c r="I118" s="95"/>
      <c r="J118" s="95"/>
      <c r="K118" s="113"/>
      <c r="L118" s="113"/>
      <c r="M118" s="100"/>
      <c r="N118" s="127"/>
      <c r="O118" s="128"/>
      <c r="P118" s="95"/>
      <c r="Q118" s="95"/>
      <c r="R118" s="129"/>
      <c r="S118" s="95"/>
      <c r="T118" s="95"/>
      <c r="V118" s="107"/>
    </row>
    <row r="119" ht="15.75" customHeight="1">
      <c r="A119" s="89"/>
      <c r="B119" s="182"/>
      <c r="C119" s="149"/>
      <c r="D119" s="95"/>
      <c r="E119" s="149"/>
      <c r="F119" s="149"/>
      <c r="G119" s="95"/>
      <c r="H119" s="149"/>
      <c r="I119" s="95"/>
      <c r="J119" s="95"/>
      <c r="K119" s="99"/>
      <c r="L119" s="99"/>
      <c r="M119" s="100"/>
      <c r="N119" s="127"/>
      <c r="O119" s="128"/>
      <c r="P119" s="95"/>
      <c r="Q119" s="137"/>
      <c r="R119" s="129"/>
      <c r="S119" s="95"/>
      <c r="T119" s="95"/>
      <c r="V119" s="107"/>
    </row>
    <row r="120" ht="15.75" customHeight="1">
      <c r="A120" s="89"/>
      <c r="B120" s="182"/>
      <c r="C120" s="107"/>
      <c r="D120" s="95"/>
      <c r="E120" s="149"/>
      <c r="F120" s="149"/>
      <c r="G120" s="95"/>
      <c r="H120" s="149"/>
      <c r="I120" s="95"/>
      <c r="J120" s="95"/>
      <c r="K120" s="113"/>
      <c r="L120" s="113"/>
      <c r="M120" s="100"/>
      <c r="N120" s="127"/>
      <c r="O120" s="128"/>
      <c r="P120" s="95"/>
      <c r="Q120" s="95"/>
      <c r="R120" s="129"/>
      <c r="S120" s="95"/>
      <c r="T120" s="95"/>
      <c r="V120" s="107"/>
    </row>
    <row r="121" ht="15.75" customHeight="1">
      <c r="A121" s="89"/>
      <c r="B121" s="182"/>
      <c r="C121" s="107"/>
      <c r="D121" s="95"/>
      <c r="E121" s="149"/>
      <c r="F121" s="149"/>
      <c r="G121" s="95"/>
      <c r="H121" s="149"/>
      <c r="I121" s="95"/>
      <c r="J121" s="95"/>
      <c r="K121" s="99"/>
      <c r="L121" s="99"/>
      <c r="M121" s="100"/>
      <c r="N121" s="127"/>
      <c r="O121" s="128"/>
      <c r="P121" s="95"/>
      <c r="Q121" s="95"/>
      <c r="R121" s="129"/>
      <c r="S121" s="95"/>
      <c r="T121" s="95"/>
      <c r="V121" s="107"/>
    </row>
    <row r="122" ht="15.75" customHeight="1">
      <c r="A122" s="89"/>
      <c r="B122" s="182"/>
      <c r="C122" s="107"/>
      <c r="D122" s="95"/>
      <c r="E122" s="149"/>
      <c r="F122" s="149"/>
      <c r="G122" s="95"/>
      <c r="H122" s="149"/>
      <c r="I122" s="95"/>
      <c r="J122" s="95"/>
      <c r="K122" s="113"/>
      <c r="L122" s="113"/>
      <c r="M122" s="100"/>
      <c r="N122" s="127"/>
      <c r="O122" s="128"/>
      <c r="P122" s="95"/>
      <c r="Q122" s="137"/>
      <c r="R122" s="129"/>
      <c r="S122" s="95"/>
      <c r="T122" s="95"/>
      <c r="V122" s="107"/>
    </row>
    <row r="123" ht="15.75" customHeight="1">
      <c r="A123" s="89"/>
      <c r="B123" s="182"/>
      <c r="C123" s="149"/>
      <c r="D123" s="95"/>
      <c r="E123" s="149"/>
      <c r="F123" s="149"/>
      <c r="G123" s="95"/>
      <c r="H123" s="149"/>
      <c r="I123" s="95"/>
      <c r="J123" s="95"/>
      <c r="K123" s="99"/>
      <c r="L123" s="99"/>
      <c r="M123" s="100"/>
      <c r="N123" s="127"/>
      <c r="O123" s="128"/>
      <c r="P123" s="95"/>
      <c r="Q123" s="137"/>
      <c r="R123" s="129"/>
      <c r="S123" s="95"/>
      <c r="T123" s="95"/>
      <c r="V123" s="107"/>
    </row>
    <row r="124" ht="15.75" customHeight="1">
      <c r="A124" s="89"/>
      <c r="B124" s="182"/>
      <c r="C124" s="149"/>
      <c r="D124" s="95"/>
      <c r="E124" s="149"/>
      <c r="F124" s="149"/>
      <c r="G124" s="95"/>
      <c r="H124" s="149"/>
      <c r="I124" s="95"/>
      <c r="J124" s="95"/>
      <c r="K124" s="113"/>
      <c r="L124" s="113"/>
      <c r="M124" s="100"/>
      <c r="N124" s="127"/>
      <c r="O124" s="128"/>
      <c r="P124" s="95"/>
      <c r="Q124" s="137"/>
      <c r="R124" s="129"/>
      <c r="S124" s="95"/>
      <c r="T124" s="95"/>
      <c r="V124" s="107"/>
    </row>
    <row r="125" ht="15.75" customHeight="1">
      <c r="A125" s="89"/>
      <c r="B125" s="182"/>
      <c r="C125" s="149"/>
      <c r="D125" s="95"/>
      <c r="E125" s="149"/>
      <c r="F125" s="149"/>
      <c r="G125" s="95"/>
      <c r="H125" s="149"/>
      <c r="I125" s="95"/>
      <c r="J125" s="95"/>
      <c r="K125" s="99"/>
      <c r="L125" s="99"/>
      <c r="M125" s="100"/>
      <c r="N125" s="127"/>
      <c r="O125" s="128"/>
      <c r="P125" s="95"/>
      <c r="Q125" s="137"/>
      <c r="R125" s="129"/>
      <c r="S125" s="95"/>
      <c r="T125" s="95"/>
      <c r="V125" s="107"/>
    </row>
    <row r="126" ht="15.75" customHeight="1">
      <c r="A126" s="89"/>
      <c r="B126" s="182"/>
      <c r="C126" s="149"/>
      <c r="D126" s="95"/>
      <c r="E126" s="149"/>
      <c r="F126" s="149"/>
      <c r="G126" s="95"/>
      <c r="H126" s="149"/>
      <c r="I126" s="95"/>
      <c r="J126" s="95"/>
      <c r="K126" s="113"/>
      <c r="L126" s="113"/>
      <c r="M126" s="100"/>
      <c r="N126" s="127"/>
      <c r="O126" s="128"/>
      <c r="P126" s="95"/>
      <c r="Q126" s="137"/>
      <c r="R126" s="129"/>
      <c r="S126" s="95"/>
      <c r="T126" s="95"/>
      <c r="V126" s="107"/>
    </row>
    <row r="127" ht="15.75" customHeight="1">
      <c r="A127" s="89"/>
      <c r="B127" s="182"/>
      <c r="C127" s="149"/>
      <c r="D127" s="95"/>
      <c r="E127" s="149"/>
      <c r="F127" s="149"/>
      <c r="G127" s="95"/>
      <c r="H127" s="149"/>
      <c r="I127" s="95"/>
      <c r="J127" s="95"/>
      <c r="K127" s="99"/>
      <c r="L127" s="99"/>
      <c r="M127" s="100"/>
      <c r="N127" s="127"/>
      <c r="O127" s="128"/>
      <c r="P127" s="95"/>
      <c r="Q127" s="137"/>
      <c r="R127" s="129"/>
      <c r="S127" s="95"/>
      <c r="T127" s="95"/>
      <c r="V127" s="107"/>
    </row>
    <row r="128" ht="15.75" customHeight="1">
      <c r="A128" s="89"/>
      <c r="B128" s="182"/>
      <c r="C128" s="107"/>
      <c r="D128" s="95"/>
      <c r="E128" s="149"/>
      <c r="F128" s="149"/>
      <c r="G128" s="95"/>
      <c r="H128" s="149"/>
      <c r="I128" s="95"/>
      <c r="J128" s="95"/>
      <c r="K128" s="113"/>
      <c r="L128" s="113"/>
      <c r="M128" s="100"/>
      <c r="N128" s="127"/>
      <c r="O128" s="128"/>
      <c r="P128" s="95"/>
      <c r="Q128" s="95"/>
      <c r="R128" s="129"/>
      <c r="S128" s="95"/>
      <c r="T128" s="95"/>
      <c r="V128" s="107"/>
    </row>
    <row r="129" ht="15.75" customHeight="1">
      <c r="A129" s="89"/>
      <c r="B129" s="182"/>
      <c r="C129" s="107"/>
      <c r="D129" s="95"/>
      <c r="E129" s="149"/>
      <c r="F129" s="149"/>
      <c r="G129" s="95"/>
      <c r="H129" s="149"/>
      <c r="I129" s="95"/>
      <c r="J129" s="95"/>
      <c r="K129" s="99"/>
      <c r="L129" s="99"/>
      <c r="M129" s="100"/>
      <c r="N129" s="127"/>
      <c r="O129" s="128"/>
      <c r="P129" s="95"/>
      <c r="Q129" s="137"/>
      <c r="R129" s="129"/>
      <c r="S129" s="95"/>
      <c r="T129" s="95"/>
      <c r="V129" s="107"/>
    </row>
    <row r="130" ht="15.75" customHeight="1">
      <c r="A130" s="89"/>
      <c r="B130" s="182"/>
      <c r="C130" s="107"/>
      <c r="D130" s="95"/>
      <c r="E130" s="149"/>
      <c r="F130" s="149"/>
      <c r="G130" s="95"/>
      <c r="H130" s="149"/>
      <c r="I130" s="95"/>
      <c r="J130" s="95"/>
      <c r="K130" s="113"/>
      <c r="L130" s="113"/>
      <c r="M130" s="100"/>
      <c r="N130" s="127"/>
      <c r="O130" s="128"/>
      <c r="P130" s="95"/>
      <c r="Q130" s="95"/>
      <c r="R130" s="129"/>
      <c r="S130" s="95"/>
      <c r="T130" s="95"/>
      <c r="V130" s="107"/>
    </row>
    <row r="131" ht="15.75" customHeight="1">
      <c r="A131" s="89"/>
      <c r="B131" s="182"/>
      <c r="C131" s="149"/>
      <c r="D131" s="95"/>
      <c r="E131" s="149"/>
      <c r="F131" s="149"/>
      <c r="G131" s="95"/>
      <c r="H131" s="149"/>
      <c r="I131" s="95"/>
      <c r="J131" s="95"/>
      <c r="K131" s="99"/>
      <c r="L131" s="99"/>
      <c r="M131" s="100"/>
      <c r="N131" s="127"/>
      <c r="O131" s="128"/>
      <c r="P131" s="95"/>
      <c r="Q131" s="95"/>
      <c r="R131" s="129"/>
      <c r="S131" s="95"/>
      <c r="T131" s="95"/>
      <c r="V131" s="107"/>
    </row>
    <row r="132" ht="15.75" customHeight="1">
      <c r="A132" s="89"/>
      <c r="B132" s="182"/>
      <c r="C132" s="149"/>
      <c r="D132" s="95"/>
      <c r="E132" s="149"/>
      <c r="F132" s="149"/>
      <c r="G132" s="95"/>
      <c r="H132" s="149"/>
      <c r="I132" s="95"/>
      <c r="J132" s="95"/>
      <c r="K132" s="113"/>
      <c r="L132" s="113"/>
      <c r="M132" s="100"/>
      <c r="N132" s="127"/>
      <c r="O132" s="128"/>
      <c r="P132" s="95"/>
      <c r="Q132" s="137"/>
      <c r="R132" s="129"/>
      <c r="S132" s="95"/>
      <c r="T132" s="95"/>
      <c r="V132" s="107"/>
    </row>
    <row r="133" ht="15.75" customHeight="1">
      <c r="A133" s="89"/>
      <c r="B133" s="182"/>
      <c r="C133" s="149"/>
      <c r="D133" s="95"/>
      <c r="E133" s="149"/>
      <c r="F133" s="149"/>
      <c r="G133" s="95"/>
      <c r="H133" s="149"/>
      <c r="I133" s="95"/>
      <c r="J133" s="95"/>
      <c r="K133" s="99"/>
      <c r="L133" s="99"/>
      <c r="M133" s="100"/>
      <c r="N133" s="127"/>
      <c r="O133" s="128"/>
      <c r="P133" s="95"/>
      <c r="Q133" s="95"/>
      <c r="R133" s="129"/>
      <c r="S133" s="95"/>
      <c r="T133" s="95"/>
      <c r="V133" s="107"/>
    </row>
    <row r="134" ht="15.75" customHeight="1">
      <c r="A134" s="89"/>
      <c r="B134" s="182"/>
      <c r="C134" s="149"/>
      <c r="D134" s="95"/>
      <c r="E134" s="149"/>
      <c r="F134" s="149"/>
      <c r="G134" s="95"/>
      <c r="H134" s="149"/>
      <c r="I134" s="95"/>
      <c r="J134" s="95"/>
      <c r="K134" s="113"/>
      <c r="L134" s="113"/>
      <c r="M134" s="100"/>
      <c r="N134" s="127"/>
      <c r="O134" s="128"/>
      <c r="P134" s="95"/>
      <c r="Q134" s="95"/>
      <c r="R134" s="129"/>
      <c r="S134" s="95"/>
      <c r="T134" s="95"/>
      <c r="V134" s="107"/>
    </row>
    <row r="135" ht="15.75" customHeight="1">
      <c r="A135" s="89"/>
      <c r="B135" s="182"/>
      <c r="C135" s="149"/>
      <c r="D135" s="95"/>
      <c r="E135" s="149"/>
      <c r="F135" s="149"/>
      <c r="G135" s="95"/>
      <c r="H135" s="149"/>
      <c r="I135" s="95"/>
      <c r="J135" s="95"/>
      <c r="K135" s="99"/>
      <c r="L135" s="99"/>
      <c r="M135" s="100"/>
      <c r="N135" s="127"/>
      <c r="O135" s="128"/>
      <c r="P135" s="95"/>
      <c r="Q135" s="137"/>
      <c r="R135" s="129"/>
      <c r="S135" s="95"/>
      <c r="T135" s="95"/>
      <c r="V135" s="107"/>
    </row>
    <row r="136" ht="15.75" customHeight="1">
      <c r="A136" s="89"/>
      <c r="B136" s="182"/>
      <c r="C136" s="107"/>
      <c r="D136" s="95"/>
      <c r="E136" s="149"/>
      <c r="F136" s="149"/>
      <c r="G136" s="95"/>
      <c r="H136" s="149"/>
      <c r="I136" s="95"/>
      <c r="J136" s="95"/>
      <c r="K136" s="113"/>
      <c r="L136" s="113"/>
      <c r="M136" s="100"/>
      <c r="N136" s="127"/>
      <c r="O136" s="128"/>
      <c r="P136" s="95"/>
      <c r="Q136" s="95"/>
      <c r="R136" s="129"/>
      <c r="S136" s="95"/>
      <c r="T136" s="95"/>
      <c r="V136" s="107"/>
    </row>
    <row r="137" ht="15.75" customHeight="1">
      <c r="A137" s="89"/>
      <c r="B137" s="182"/>
      <c r="C137" s="107"/>
      <c r="D137" s="95"/>
      <c r="E137" s="149"/>
      <c r="F137" s="149"/>
      <c r="G137" s="95"/>
      <c r="H137" s="149"/>
      <c r="I137" s="95"/>
      <c r="J137" s="95"/>
      <c r="K137" s="99"/>
      <c r="L137" s="99"/>
      <c r="M137" s="100"/>
      <c r="N137" s="127"/>
      <c r="O137" s="128"/>
      <c r="P137" s="95"/>
      <c r="Q137" s="137"/>
      <c r="R137" s="129"/>
      <c r="S137" s="95"/>
      <c r="T137" s="95"/>
      <c r="V137" s="107"/>
    </row>
    <row r="138" ht="15.75" customHeight="1">
      <c r="A138" s="89"/>
      <c r="B138" s="182"/>
      <c r="C138" s="107"/>
      <c r="D138" s="95"/>
      <c r="E138" s="149"/>
      <c r="F138" s="149"/>
      <c r="G138" s="95"/>
      <c r="H138" s="149"/>
      <c r="I138" s="95"/>
      <c r="J138" s="95"/>
      <c r="K138" s="113"/>
      <c r="L138" s="113"/>
      <c r="M138" s="100"/>
      <c r="N138" s="127"/>
      <c r="O138" s="128"/>
      <c r="P138" s="95"/>
      <c r="Q138" s="137"/>
      <c r="R138" s="129"/>
      <c r="S138" s="95"/>
      <c r="T138" s="95"/>
      <c r="V138" s="107"/>
    </row>
    <row r="139" ht="15.75" customHeight="1">
      <c r="A139" s="89"/>
      <c r="B139" s="182"/>
      <c r="C139" s="149"/>
      <c r="D139" s="95"/>
      <c r="E139" s="149"/>
      <c r="F139" s="149"/>
      <c r="G139" s="95"/>
      <c r="H139" s="149"/>
      <c r="I139" s="95"/>
      <c r="J139" s="95"/>
      <c r="K139" s="99"/>
      <c r="L139" s="99"/>
      <c r="M139" s="100"/>
      <c r="N139" s="127"/>
      <c r="O139" s="128"/>
      <c r="P139" s="95"/>
      <c r="Q139" s="137"/>
      <c r="R139" s="129"/>
      <c r="S139" s="95"/>
      <c r="T139" s="95"/>
      <c r="V139" s="107"/>
    </row>
    <row r="140" ht="15.75" customHeight="1">
      <c r="A140" s="89"/>
      <c r="B140" s="182"/>
      <c r="C140" s="149"/>
      <c r="D140" s="95"/>
      <c r="E140" s="149"/>
      <c r="F140" s="149"/>
      <c r="G140" s="95"/>
      <c r="H140" s="149"/>
      <c r="I140" s="95"/>
      <c r="J140" s="95"/>
      <c r="K140" s="113"/>
      <c r="L140" s="113"/>
      <c r="M140" s="100"/>
      <c r="N140" s="127"/>
      <c r="O140" s="128"/>
      <c r="P140" s="95"/>
      <c r="Q140" s="95"/>
      <c r="R140" s="129"/>
      <c r="S140" s="95"/>
      <c r="T140" s="95"/>
      <c r="V140" s="107"/>
    </row>
    <row r="141" ht="15.75" customHeight="1">
      <c r="A141" s="89"/>
      <c r="B141" s="182"/>
      <c r="C141" s="149"/>
      <c r="D141" s="95"/>
      <c r="E141" s="149"/>
      <c r="F141" s="149"/>
      <c r="G141" s="95"/>
      <c r="H141" s="149"/>
      <c r="I141" s="95"/>
      <c r="J141" s="95"/>
      <c r="K141" s="99"/>
      <c r="L141" s="99"/>
      <c r="M141" s="100"/>
      <c r="N141" s="127"/>
      <c r="O141" s="128"/>
      <c r="P141" s="95"/>
      <c r="Q141" s="137"/>
      <c r="R141" s="129"/>
      <c r="S141" s="95"/>
      <c r="T141" s="95"/>
      <c r="V141" s="107"/>
    </row>
    <row r="142" ht="15.75" customHeight="1">
      <c r="A142" s="89"/>
      <c r="B142" s="182"/>
      <c r="C142" s="149"/>
      <c r="D142" s="95"/>
      <c r="E142" s="149"/>
      <c r="F142" s="149"/>
      <c r="G142" s="95"/>
      <c r="H142" s="149"/>
      <c r="I142" s="95"/>
      <c r="J142" s="95"/>
      <c r="K142" s="113"/>
      <c r="L142" s="113"/>
      <c r="M142" s="100"/>
      <c r="N142" s="127"/>
      <c r="O142" s="128"/>
      <c r="P142" s="95"/>
      <c r="Q142" s="95"/>
      <c r="R142" s="129"/>
      <c r="S142" s="95"/>
      <c r="T142" s="95"/>
      <c r="V142" s="107"/>
    </row>
    <row r="143" ht="15.75" customHeight="1">
      <c r="A143" s="89"/>
      <c r="B143" s="182"/>
      <c r="C143" s="149"/>
      <c r="D143" s="95"/>
      <c r="E143" s="149"/>
      <c r="F143" s="183"/>
      <c r="G143" s="95"/>
      <c r="H143" s="149"/>
      <c r="I143" s="95"/>
      <c r="J143" s="95"/>
      <c r="K143" s="99"/>
      <c r="L143" s="99"/>
      <c r="M143" s="100"/>
      <c r="N143" s="127"/>
      <c r="O143" s="128"/>
      <c r="P143" s="95"/>
      <c r="Q143" s="137"/>
      <c r="R143" s="129"/>
      <c r="S143" s="95"/>
      <c r="T143" s="95"/>
      <c r="V143" s="107"/>
    </row>
    <row r="144" ht="15.75" customHeight="1">
      <c r="A144" s="89"/>
      <c r="B144" s="182"/>
      <c r="C144" s="107"/>
      <c r="D144" s="95"/>
      <c r="E144" s="149"/>
      <c r="F144" s="149"/>
      <c r="G144" s="95"/>
      <c r="H144" s="149"/>
      <c r="I144" s="95"/>
      <c r="J144" s="95"/>
      <c r="K144" s="113"/>
      <c r="L144" s="113"/>
      <c r="M144" s="100"/>
      <c r="N144" s="127"/>
      <c r="O144" s="128"/>
      <c r="P144" s="95"/>
      <c r="Q144" s="95"/>
      <c r="R144" s="129"/>
      <c r="S144" s="95"/>
      <c r="T144" s="95"/>
      <c r="V144" s="107"/>
    </row>
    <row r="145" ht="15.75" customHeight="1">
      <c r="A145" s="89"/>
      <c r="B145" s="182"/>
      <c r="C145" s="107"/>
      <c r="D145" s="95"/>
      <c r="E145" s="149"/>
      <c r="F145" s="149"/>
      <c r="G145" s="95"/>
      <c r="H145" s="149"/>
      <c r="I145" s="95"/>
      <c r="J145" s="95"/>
      <c r="K145" s="99"/>
      <c r="L145" s="99"/>
      <c r="M145" s="100"/>
      <c r="N145" s="127"/>
      <c r="O145" s="128"/>
      <c r="P145" s="95"/>
      <c r="Q145" s="137"/>
      <c r="R145" s="129"/>
      <c r="S145" s="95"/>
      <c r="T145" s="95"/>
      <c r="V145" s="107"/>
    </row>
    <row r="146" ht="15.75" customHeight="1">
      <c r="A146" s="89"/>
      <c r="B146" s="182"/>
      <c r="C146" s="149"/>
      <c r="D146" s="95"/>
      <c r="E146" s="149"/>
      <c r="F146" s="149"/>
      <c r="G146" s="95"/>
      <c r="H146" s="149"/>
      <c r="I146" s="95"/>
      <c r="J146" s="95"/>
      <c r="K146" s="113"/>
      <c r="L146" s="113"/>
      <c r="M146" s="100"/>
      <c r="N146" s="127"/>
      <c r="O146" s="128"/>
      <c r="P146" s="95"/>
      <c r="Q146" s="137"/>
      <c r="R146" s="129"/>
      <c r="S146" s="95"/>
      <c r="T146" s="95"/>
      <c r="V146" s="107"/>
    </row>
    <row r="147" ht="15.75" customHeight="1">
      <c r="A147" s="89"/>
      <c r="B147" s="182"/>
      <c r="C147" s="149"/>
      <c r="D147" s="95"/>
      <c r="E147" s="149"/>
      <c r="F147" s="149"/>
      <c r="G147" s="95"/>
      <c r="H147" s="149"/>
      <c r="I147" s="95"/>
      <c r="J147" s="95"/>
      <c r="K147" s="99"/>
      <c r="L147" s="99"/>
      <c r="M147" s="100"/>
      <c r="N147" s="127"/>
      <c r="O147" s="128"/>
      <c r="P147" s="95"/>
      <c r="Q147" s="137"/>
      <c r="R147" s="129"/>
      <c r="S147" s="95"/>
      <c r="T147" s="95"/>
      <c r="V147" s="107"/>
    </row>
    <row r="148" ht="15.75" customHeight="1">
      <c r="A148" s="89"/>
      <c r="B148" s="182"/>
      <c r="C148" s="149"/>
      <c r="D148" s="95"/>
      <c r="E148" s="149"/>
      <c r="F148" s="149"/>
      <c r="G148" s="95"/>
      <c r="H148" s="149"/>
      <c r="I148" s="95"/>
      <c r="J148" s="95"/>
      <c r="K148" s="113"/>
      <c r="L148" s="113"/>
      <c r="M148" s="100"/>
      <c r="N148" s="127"/>
      <c r="O148" s="128"/>
      <c r="P148" s="95"/>
      <c r="Q148" s="137"/>
      <c r="R148" s="129"/>
      <c r="S148" s="95"/>
      <c r="T148" s="95"/>
      <c r="V148" s="107"/>
    </row>
    <row r="149" ht="15.75" customHeight="1">
      <c r="A149" s="89"/>
      <c r="B149" s="182"/>
      <c r="C149" s="149"/>
      <c r="D149" s="95"/>
      <c r="E149" s="149"/>
      <c r="F149" s="149"/>
      <c r="G149" s="95"/>
      <c r="H149" s="149"/>
      <c r="I149" s="95"/>
      <c r="J149" s="95"/>
      <c r="K149" s="99"/>
      <c r="L149" s="99"/>
      <c r="M149" s="100"/>
      <c r="N149" s="127"/>
      <c r="O149" s="128"/>
      <c r="P149" s="95"/>
      <c r="Q149" s="137"/>
      <c r="R149" s="129"/>
      <c r="S149" s="95"/>
      <c r="T149" s="95"/>
      <c r="V149" s="107"/>
    </row>
    <row r="150" ht="15.75" customHeight="1">
      <c r="A150" s="89"/>
      <c r="B150" s="182"/>
      <c r="C150" s="149"/>
      <c r="D150" s="95"/>
      <c r="E150" s="149"/>
      <c r="F150" s="149"/>
      <c r="G150" s="95"/>
      <c r="H150" s="149"/>
      <c r="I150" s="95"/>
      <c r="J150" s="95"/>
      <c r="K150" s="113"/>
      <c r="L150" s="113"/>
      <c r="M150" s="100"/>
      <c r="N150" s="127"/>
      <c r="O150" s="128"/>
      <c r="P150" s="95"/>
      <c r="Q150" s="137"/>
      <c r="R150" s="129"/>
      <c r="S150" s="95"/>
      <c r="T150" s="95"/>
      <c r="V150" s="107"/>
    </row>
    <row r="151" ht="15.75" customHeight="1">
      <c r="A151" s="89"/>
      <c r="B151" s="182"/>
      <c r="C151" s="107"/>
      <c r="D151" s="95"/>
      <c r="E151" s="149"/>
      <c r="F151" s="149"/>
      <c r="G151" s="95"/>
      <c r="H151" s="149"/>
      <c r="I151" s="95"/>
      <c r="J151" s="95"/>
      <c r="K151" s="99"/>
      <c r="L151" s="99"/>
      <c r="M151" s="100"/>
      <c r="N151" s="127"/>
      <c r="O151" s="128"/>
      <c r="P151" s="95"/>
      <c r="Q151" s="137"/>
      <c r="R151" s="129"/>
      <c r="S151" s="95"/>
      <c r="T151" s="95"/>
      <c r="V151" s="107"/>
    </row>
    <row r="152" ht="15.75" customHeight="1">
      <c r="A152" s="89"/>
      <c r="B152" s="182"/>
      <c r="C152" s="149"/>
      <c r="D152" s="95"/>
      <c r="E152" s="149"/>
      <c r="F152" s="149"/>
      <c r="G152" s="95"/>
      <c r="H152" s="149"/>
      <c r="I152" s="95"/>
      <c r="J152" s="95"/>
      <c r="K152" s="113"/>
      <c r="L152" s="113"/>
      <c r="M152" s="100"/>
      <c r="N152" s="127"/>
      <c r="O152" s="128"/>
      <c r="P152" s="95"/>
      <c r="Q152" s="137"/>
      <c r="R152" s="129"/>
      <c r="S152" s="95"/>
      <c r="T152" s="95"/>
      <c r="V152" s="107"/>
    </row>
    <row r="153" ht="15.75" customHeight="1">
      <c r="A153" s="89"/>
      <c r="B153" s="182"/>
      <c r="C153" s="149"/>
      <c r="D153" s="95"/>
      <c r="E153" s="149"/>
      <c r="F153" s="149"/>
      <c r="G153" s="95"/>
      <c r="H153" s="149"/>
      <c r="I153" s="95"/>
      <c r="J153" s="95"/>
      <c r="K153" s="99"/>
      <c r="L153" s="99"/>
      <c r="M153" s="100"/>
      <c r="N153" s="127"/>
      <c r="O153" s="128"/>
      <c r="P153" s="95"/>
      <c r="Q153" s="137"/>
      <c r="R153" s="129"/>
      <c r="S153" s="95"/>
      <c r="T153" s="95"/>
      <c r="V153" s="107"/>
    </row>
    <row r="154" ht="15.75" customHeight="1">
      <c r="A154" s="89"/>
      <c r="B154" s="182"/>
      <c r="C154" s="149"/>
      <c r="D154" s="95"/>
      <c r="E154" s="149"/>
      <c r="F154" s="149"/>
      <c r="G154" s="95"/>
      <c r="H154" s="149"/>
      <c r="I154" s="95"/>
      <c r="J154" s="95"/>
      <c r="K154" s="113"/>
      <c r="L154" s="113"/>
      <c r="M154" s="100"/>
      <c r="N154" s="127"/>
      <c r="O154" s="128"/>
      <c r="P154" s="95"/>
      <c r="Q154" s="137"/>
      <c r="R154" s="129"/>
      <c r="S154" s="95"/>
      <c r="T154" s="95"/>
      <c r="V154" s="107"/>
    </row>
    <row r="155" ht="15.75" customHeight="1">
      <c r="A155" s="89"/>
      <c r="B155" s="182"/>
      <c r="C155" s="149"/>
      <c r="D155" s="95"/>
      <c r="E155" s="149"/>
      <c r="F155" s="149"/>
      <c r="G155" s="95"/>
      <c r="H155" s="149"/>
      <c r="I155" s="95"/>
      <c r="J155" s="95"/>
      <c r="K155" s="99"/>
      <c r="L155" s="99"/>
      <c r="M155" s="100"/>
      <c r="N155" s="127"/>
      <c r="O155" s="128"/>
      <c r="P155" s="95"/>
      <c r="Q155" s="137"/>
      <c r="R155" s="129"/>
      <c r="S155" s="95"/>
      <c r="T155" s="95"/>
      <c r="V155" s="107"/>
    </row>
    <row r="156" ht="15.75" customHeight="1">
      <c r="A156" s="89"/>
      <c r="B156" s="182"/>
      <c r="C156" s="149"/>
      <c r="D156" s="95"/>
      <c r="E156" s="149"/>
      <c r="F156" s="149"/>
      <c r="G156" s="95"/>
      <c r="H156" s="149"/>
      <c r="I156" s="95"/>
      <c r="J156" s="95"/>
      <c r="K156" s="113"/>
      <c r="L156" s="113"/>
      <c r="M156" s="100"/>
      <c r="N156" s="127"/>
      <c r="O156" s="128"/>
      <c r="P156" s="95"/>
      <c r="Q156" s="137"/>
      <c r="R156" s="129"/>
      <c r="S156" s="95"/>
      <c r="T156" s="95"/>
      <c r="V156" s="107"/>
    </row>
    <row r="157" ht="15.75" customHeight="1">
      <c r="A157" s="89"/>
      <c r="B157" s="182"/>
      <c r="C157" s="107"/>
      <c r="D157" s="95"/>
      <c r="E157" s="149"/>
      <c r="F157" s="149"/>
      <c r="G157" s="95"/>
      <c r="H157" s="149"/>
      <c r="I157" s="95"/>
      <c r="J157" s="95"/>
      <c r="K157" s="99"/>
      <c r="L157" s="99"/>
      <c r="M157" s="100"/>
      <c r="N157" s="127"/>
      <c r="O157" s="128"/>
      <c r="P157" s="95"/>
      <c r="Q157" s="137"/>
      <c r="R157" s="129"/>
      <c r="S157" s="95"/>
      <c r="T157" s="95"/>
      <c r="V157" s="107"/>
    </row>
    <row r="158" ht="15.75" customHeight="1">
      <c r="A158" s="89"/>
      <c r="B158" s="182"/>
      <c r="C158" s="149"/>
      <c r="D158" s="95"/>
      <c r="E158" s="149"/>
      <c r="F158" s="149"/>
      <c r="G158" s="95"/>
      <c r="H158" s="149"/>
      <c r="I158" s="95"/>
      <c r="J158" s="95"/>
      <c r="K158" s="113"/>
      <c r="L158" s="113"/>
      <c r="M158" s="100"/>
      <c r="N158" s="127"/>
      <c r="O158" s="128"/>
      <c r="P158" s="95"/>
      <c r="Q158" s="137"/>
      <c r="R158" s="129"/>
      <c r="S158" s="95"/>
      <c r="T158" s="95"/>
      <c r="V158" s="107"/>
    </row>
    <row r="159" ht="15.75" customHeight="1">
      <c r="A159" s="89"/>
      <c r="B159" s="182"/>
      <c r="C159" s="149"/>
      <c r="D159" s="95"/>
      <c r="E159" s="149"/>
      <c r="F159" s="149"/>
      <c r="G159" s="95"/>
      <c r="H159" s="149"/>
      <c r="I159" s="95"/>
      <c r="J159" s="95"/>
      <c r="K159" s="99"/>
      <c r="L159" s="99"/>
      <c r="M159" s="100"/>
      <c r="N159" s="127"/>
      <c r="O159" s="128"/>
      <c r="P159" s="95"/>
      <c r="Q159" s="137"/>
      <c r="R159" s="129"/>
      <c r="S159" s="95"/>
      <c r="T159" s="95"/>
      <c r="V159" s="107"/>
    </row>
    <row r="160" ht="15.75" customHeight="1">
      <c r="A160" s="89"/>
      <c r="B160" s="182"/>
      <c r="C160" s="149"/>
      <c r="D160" s="95"/>
      <c r="E160" s="149"/>
      <c r="F160" s="149"/>
      <c r="G160" s="95"/>
      <c r="H160" s="149"/>
      <c r="I160" s="95"/>
      <c r="J160" s="95"/>
      <c r="K160" s="113"/>
      <c r="L160" s="113"/>
      <c r="M160" s="100"/>
      <c r="N160" s="127"/>
      <c r="O160" s="128"/>
      <c r="P160" s="95"/>
      <c r="Q160" s="137"/>
      <c r="R160" s="129"/>
      <c r="S160" s="95"/>
      <c r="T160" s="95"/>
      <c r="V160" s="107"/>
    </row>
    <row r="161" ht="15.75" customHeight="1">
      <c r="A161" s="89"/>
      <c r="B161" s="182"/>
      <c r="C161" s="149"/>
      <c r="D161" s="95"/>
      <c r="E161" s="149"/>
      <c r="F161" s="149"/>
      <c r="G161" s="95"/>
      <c r="H161" s="149"/>
      <c r="I161" s="95"/>
      <c r="J161" s="95"/>
      <c r="K161" s="99"/>
      <c r="L161" s="99"/>
      <c r="M161" s="100"/>
      <c r="N161" s="127"/>
      <c r="O161" s="128"/>
      <c r="P161" s="95"/>
      <c r="Q161" s="137"/>
      <c r="R161" s="129"/>
      <c r="S161" s="95"/>
      <c r="T161" s="95"/>
      <c r="V161" s="107"/>
    </row>
    <row r="162" ht="15.75" customHeight="1">
      <c r="A162" s="89"/>
      <c r="B162" s="182"/>
      <c r="C162" s="149"/>
      <c r="D162" s="95"/>
      <c r="E162" s="149"/>
      <c r="F162" s="149"/>
      <c r="G162" s="95"/>
      <c r="H162" s="149"/>
      <c r="I162" s="95"/>
      <c r="J162" s="95"/>
      <c r="K162" s="113"/>
      <c r="L162" s="113"/>
      <c r="M162" s="100"/>
      <c r="N162" s="127"/>
      <c r="O162" s="128"/>
      <c r="P162" s="95"/>
      <c r="Q162" s="137"/>
      <c r="R162" s="129"/>
      <c r="S162" s="95"/>
      <c r="T162" s="95"/>
      <c r="V162" s="107"/>
    </row>
    <row r="163" ht="15.75" customHeight="1">
      <c r="A163" s="89"/>
      <c r="B163" s="182"/>
      <c r="C163" s="107"/>
      <c r="D163" s="95"/>
      <c r="E163" s="149"/>
      <c r="F163" s="149"/>
      <c r="G163" s="95"/>
      <c r="H163" s="149"/>
      <c r="I163" s="95"/>
      <c r="J163" s="95"/>
      <c r="K163" s="99"/>
      <c r="L163" s="99"/>
      <c r="M163" s="100"/>
      <c r="N163" s="127"/>
      <c r="O163" s="128"/>
      <c r="P163" s="95"/>
      <c r="Q163" s="137"/>
      <c r="R163" s="129"/>
      <c r="S163" s="95"/>
      <c r="T163" s="95"/>
      <c r="V163" s="107"/>
    </row>
    <row r="164" ht="15.75" customHeight="1">
      <c r="A164" s="89"/>
      <c r="B164" s="182"/>
      <c r="C164" s="149"/>
      <c r="D164" s="95"/>
      <c r="E164" s="149"/>
      <c r="F164" s="149"/>
      <c r="G164" s="95"/>
      <c r="H164" s="149"/>
      <c r="I164" s="95"/>
      <c r="J164" s="95"/>
      <c r="K164" s="113"/>
      <c r="L164" s="113"/>
      <c r="M164" s="100"/>
      <c r="N164" s="127"/>
      <c r="O164" s="128"/>
      <c r="P164" s="95"/>
      <c r="Q164" s="137"/>
      <c r="R164" s="129"/>
      <c r="S164" s="95"/>
      <c r="T164" s="95"/>
      <c r="V164" s="107"/>
    </row>
    <row r="165" ht="15.75" customHeight="1">
      <c r="A165" s="89"/>
      <c r="B165" s="182"/>
      <c r="C165" s="149"/>
      <c r="D165" s="95"/>
      <c r="E165" s="149"/>
      <c r="F165" s="149"/>
      <c r="G165" s="95"/>
      <c r="H165" s="149"/>
      <c r="I165" s="95"/>
      <c r="J165" s="95"/>
      <c r="K165" s="99"/>
      <c r="L165" s="99"/>
      <c r="M165" s="100"/>
      <c r="N165" s="127"/>
      <c r="O165" s="128"/>
      <c r="P165" s="95"/>
      <c r="Q165" s="137"/>
      <c r="R165" s="129"/>
      <c r="S165" s="95"/>
      <c r="T165" s="95"/>
      <c r="V165" s="107"/>
    </row>
    <row r="166" ht="15.75" customHeight="1">
      <c r="A166" s="89"/>
      <c r="B166" s="182"/>
      <c r="C166" s="149"/>
      <c r="D166" s="95"/>
      <c r="E166" s="149"/>
      <c r="F166" s="149"/>
      <c r="G166" s="95"/>
      <c r="H166" s="149"/>
      <c r="I166" s="95"/>
      <c r="J166" s="95"/>
      <c r="K166" s="113"/>
      <c r="L166" s="113"/>
      <c r="M166" s="100"/>
      <c r="N166" s="127"/>
      <c r="O166" s="128"/>
      <c r="P166" s="95"/>
      <c r="Q166" s="137"/>
      <c r="R166" s="129"/>
      <c r="S166" s="95"/>
      <c r="T166" s="95"/>
      <c r="V166" s="107"/>
    </row>
    <row r="167" ht="15.75" customHeight="1">
      <c r="A167" s="89"/>
      <c r="B167" s="182"/>
      <c r="C167" s="149"/>
      <c r="D167" s="95"/>
      <c r="E167" s="149"/>
      <c r="F167" s="149"/>
      <c r="G167" s="95"/>
      <c r="H167" s="149"/>
      <c r="I167" s="95"/>
      <c r="J167" s="95"/>
      <c r="K167" s="99"/>
      <c r="L167" s="99"/>
      <c r="M167" s="100"/>
      <c r="N167" s="127"/>
      <c r="O167" s="128"/>
      <c r="P167" s="95"/>
      <c r="Q167" s="137"/>
      <c r="R167" s="129"/>
      <c r="S167" s="95"/>
      <c r="T167" s="95"/>
      <c r="V167" s="107"/>
    </row>
    <row r="168" ht="15.75" customHeight="1">
      <c r="A168" s="89"/>
      <c r="B168" s="182"/>
      <c r="C168" s="149"/>
      <c r="D168" s="95"/>
      <c r="E168" s="149"/>
      <c r="F168" s="149"/>
      <c r="G168" s="95"/>
      <c r="H168" s="149"/>
      <c r="I168" s="95"/>
      <c r="J168" s="95"/>
      <c r="K168" s="113"/>
      <c r="L168" s="113"/>
      <c r="M168" s="100"/>
      <c r="N168" s="127"/>
      <c r="O168" s="128"/>
      <c r="P168" s="95"/>
      <c r="Q168" s="137"/>
      <c r="R168" s="129"/>
      <c r="S168" s="95"/>
      <c r="T168" s="95"/>
      <c r="V168" s="107"/>
    </row>
    <row r="169" ht="15.75" customHeight="1">
      <c r="A169" s="89"/>
      <c r="B169" s="182"/>
      <c r="C169" s="107"/>
      <c r="D169" s="95"/>
      <c r="E169" s="149"/>
      <c r="F169" s="149"/>
      <c r="G169" s="95"/>
      <c r="H169" s="149"/>
      <c r="I169" s="95"/>
      <c r="J169" s="95"/>
      <c r="K169" s="99"/>
      <c r="L169" s="99"/>
      <c r="M169" s="100"/>
      <c r="N169" s="127"/>
      <c r="O169" s="128"/>
      <c r="P169" s="95"/>
      <c r="Q169" s="137"/>
      <c r="R169" s="129"/>
      <c r="S169" s="95"/>
      <c r="T169" s="95"/>
      <c r="V169" s="107"/>
    </row>
    <row r="170" ht="15.75" customHeight="1">
      <c r="A170" s="89"/>
      <c r="B170" s="182"/>
      <c r="C170" s="149"/>
      <c r="D170" s="95"/>
      <c r="E170" s="149"/>
      <c r="F170" s="149"/>
      <c r="G170" s="95"/>
      <c r="H170" s="149"/>
      <c r="I170" s="95"/>
      <c r="J170" s="95"/>
      <c r="K170" s="113"/>
      <c r="L170" s="113"/>
      <c r="M170" s="100"/>
      <c r="N170" s="127"/>
      <c r="O170" s="128"/>
      <c r="P170" s="95"/>
      <c r="Q170" s="137"/>
      <c r="R170" s="129"/>
      <c r="S170" s="95"/>
      <c r="T170" s="95"/>
      <c r="V170" s="107"/>
    </row>
    <row r="171" ht="15.75" customHeight="1">
      <c r="A171" s="89"/>
      <c r="B171" s="182"/>
      <c r="C171" s="149"/>
      <c r="D171" s="95"/>
      <c r="E171" s="149"/>
      <c r="F171" s="149"/>
      <c r="G171" s="95"/>
      <c r="H171" s="149"/>
      <c r="I171" s="95"/>
      <c r="J171" s="95"/>
      <c r="K171" s="99"/>
      <c r="L171" s="99"/>
      <c r="M171" s="100"/>
      <c r="N171" s="127"/>
      <c r="O171" s="128"/>
      <c r="P171" s="95"/>
      <c r="Q171" s="137"/>
      <c r="R171" s="129"/>
      <c r="S171" s="95"/>
      <c r="T171" s="95"/>
      <c r="V171" s="107"/>
    </row>
    <row r="172" ht="15.75" customHeight="1">
      <c r="A172" s="89"/>
      <c r="B172" s="182"/>
      <c r="C172" s="149"/>
      <c r="D172" s="95"/>
      <c r="E172" s="149"/>
      <c r="F172" s="149"/>
      <c r="G172" s="95"/>
      <c r="H172" s="149"/>
      <c r="I172" s="95"/>
      <c r="J172" s="95"/>
      <c r="K172" s="113"/>
      <c r="L172" s="113"/>
      <c r="M172" s="100"/>
      <c r="N172" s="127"/>
      <c r="O172" s="128"/>
      <c r="P172" s="95"/>
      <c r="Q172" s="137"/>
      <c r="R172" s="129"/>
      <c r="S172" s="95"/>
      <c r="T172" s="95"/>
      <c r="V172" s="107"/>
    </row>
    <row r="173" ht="15.75" customHeight="1">
      <c r="A173" s="89"/>
      <c r="B173" s="182"/>
      <c r="C173" s="149"/>
      <c r="D173" s="95"/>
      <c r="E173" s="149"/>
      <c r="F173" s="149"/>
      <c r="G173" s="95"/>
      <c r="H173" s="149"/>
      <c r="I173" s="95"/>
      <c r="J173" s="95"/>
      <c r="K173" s="99"/>
      <c r="L173" s="99"/>
      <c r="M173" s="100"/>
      <c r="N173" s="127"/>
      <c r="O173" s="128"/>
      <c r="P173" s="95"/>
      <c r="Q173" s="137"/>
      <c r="R173" s="129"/>
      <c r="S173" s="95"/>
      <c r="T173" s="95"/>
      <c r="V173" s="107"/>
    </row>
    <row r="174" ht="15.75" customHeight="1">
      <c r="A174" s="89"/>
      <c r="B174" s="182"/>
      <c r="C174" s="149"/>
      <c r="D174" s="95"/>
      <c r="E174" s="149"/>
      <c r="F174" s="149"/>
      <c r="G174" s="95"/>
      <c r="H174" s="149"/>
      <c r="I174" s="95"/>
      <c r="J174" s="95"/>
      <c r="K174" s="113"/>
      <c r="L174" s="113"/>
      <c r="M174" s="100"/>
      <c r="N174" s="127"/>
      <c r="O174" s="128"/>
      <c r="P174" s="95"/>
      <c r="Q174" s="137"/>
      <c r="R174" s="129"/>
      <c r="S174" s="95"/>
      <c r="T174" s="95"/>
      <c r="V174" s="107"/>
    </row>
    <row r="175" ht="15.75" customHeight="1">
      <c r="A175" s="89"/>
      <c r="B175" s="182"/>
      <c r="C175" s="107"/>
      <c r="D175" s="95"/>
      <c r="E175" s="149"/>
      <c r="F175" s="149"/>
      <c r="G175" s="95"/>
      <c r="H175" s="149"/>
      <c r="I175" s="95"/>
      <c r="J175" s="95"/>
      <c r="K175" s="99"/>
      <c r="L175" s="99"/>
      <c r="M175" s="100"/>
      <c r="N175" s="127"/>
      <c r="O175" s="128"/>
      <c r="P175" s="95"/>
      <c r="Q175" s="137"/>
      <c r="R175" s="129"/>
      <c r="S175" s="95"/>
      <c r="T175" s="95"/>
      <c r="V175" s="107"/>
    </row>
    <row r="176" ht="15.75" customHeight="1">
      <c r="A176" s="89"/>
      <c r="B176" s="182"/>
      <c r="C176" s="149"/>
      <c r="D176" s="95"/>
      <c r="E176" s="149"/>
      <c r="F176" s="149"/>
      <c r="G176" s="95"/>
      <c r="H176" s="149"/>
      <c r="I176" s="95"/>
      <c r="J176" s="95"/>
      <c r="K176" s="113"/>
      <c r="L176" s="113"/>
      <c r="M176" s="100"/>
      <c r="N176" s="127"/>
      <c r="O176" s="128"/>
      <c r="P176" s="95"/>
      <c r="Q176" s="137"/>
      <c r="R176" s="129"/>
      <c r="S176" s="95"/>
      <c r="T176" s="95"/>
      <c r="V176" s="107"/>
    </row>
    <row r="177" ht="15.75" customHeight="1">
      <c r="A177" s="89"/>
      <c r="B177" s="182"/>
      <c r="C177" s="149"/>
      <c r="D177" s="95"/>
      <c r="E177" s="149"/>
      <c r="F177" s="149"/>
      <c r="G177" s="95"/>
      <c r="H177" s="149"/>
      <c r="I177" s="95"/>
      <c r="J177" s="95"/>
      <c r="K177" s="99"/>
      <c r="L177" s="99"/>
      <c r="M177" s="100"/>
      <c r="N177" s="127"/>
      <c r="O177" s="128"/>
      <c r="P177" s="95"/>
      <c r="Q177" s="137"/>
      <c r="R177" s="129"/>
      <c r="S177" s="95"/>
      <c r="T177" s="95"/>
      <c r="V177" s="107"/>
    </row>
    <row r="178" ht="15.75" customHeight="1">
      <c r="A178" s="89"/>
      <c r="B178" s="182"/>
      <c r="C178" s="149"/>
      <c r="D178" s="95"/>
      <c r="E178" s="149"/>
      <c r="F178" s="149"/>
      <c r="G178" s="95"/>
      <c r="H178" s="149"/>
      <c r="I178" s="95"/>
      <c r="J178" s="95"/>
      <c r="K178" s="113"/>
      <c r="L178" s="113"/>
      <c r="M178" s="100"/>
      <c r="N178" s="127"/>
      <c r="O178" s="128"/>
      <c r="P178" s="95"/>
      <c r="Q178" s="137"/>
      <c r="R178" s="129"/>
      <c r="S178" s="95"/>
      <c r="T178" s="95"/>
      <c r="V178" s="107"/>
    </row>
    <row r="179" ht="15.75" customHeight="1">
      <c r="A179" s="89"/>
      <c r="B179" s="182"/>
      <c r="C179" s="149"/>
      <c r="D179" s="95"/>
      <c r="E179" s="149"/>
      <c r="F179" s="149"/>
      <c r="G179" s="95"/>
      <c r="H179" s="149"/>
      <c r="I179" s="95"/>
      <c r="J179" s="95"/>
      <c r="K179" s="99"/>
      <c r="L179" s="99"/>
      <c r="M179" s="100"/>
      <c r="N179" s="127"/>
      <c r="O179" s="128"/>
      <c r="P179" s="95"/>
      <c r="Q179" s="137"/>
      <c r="R179" s="129"/>
      <c r="S179" s="95"/>
      <c r="T179" s="95"/>
      <c r="V179" s="107"/>
    </row>
    <row r="180" ht="15.75" customHeight="1">
      <c r="A180" s="89"/>
      <c r="B180" s="182"/>
      <c r="C180" s="149"/>
      <c r="D180" s="95"/>
      <c r="E180" s="149"/>
      <c r="F180" s="149"/>
      <c r="G180" s="95"/>
      <c r="H180" s="149"/>
      <c r="I180" s="95"/>
      <c r="J180" s="95"/>
      <c r="K180" s="113"/>
      <c r="L180" s="113"/>
      <c r="M180" s="100"/>
      <c r="N180" s="127"/>
      <c r="O180" s="128"/>
      <c r="P180" s="95"/>
      <c r="Q180" s="137"/>
      <c r="R180" s="129"/>
      <c r="S180" s="95"/>
      <c r="T180" s="95"/>
      <c r="V180" s="107"/>
    </row>
    <row r="181" ht="15.75" customHeight="1">
      <c r="A181" s="89"/>
      <c r="B181" s="182"/>
      <c r="C181" s="107"/>
      <c r="D181" s="95"/>
      <c r="E181" s="149"/>
      <c r="F181" s="149"/>
      <c r="G181" s="95"/>
      <c r="H181" s="149"/>
      <c r="I181" s="95"/>
      <c r="J181" s="95"/>
      <c r="K181" s="99"/>
      <c r="L181" s="99"/>
      <c r="M181" s="100"/>
      <c r="N181" s="127"/>
      <c r="O181" s="128"/>
      <c r="P181" s="95"/>
      <c r="Q181" s="137"/>
      <c r="R181" s="129"/>
      <c r="S181" s="95"/>
      <c r="T181" s="95"/>
      <c r="V181" s="107"/>
    </row>
    <row r="182" ht="15.75" customHeight="1">
      <c r="A182" s="89"/>
      <c r="B182" s="182"/>
      <c r="C182" s="149"/>
      <c r="D182" s="95"/>
      <c r="E182" s="149"/>
      <c r="F182" s="149"/>
      <c r="G182" s="95"/>
      <c r="H182" s="149"/>
      <c r="I182" s="95"/>
      <c r="J182" s="95"/>
      <c r="K182" s="113"/>
      <c r="L182" s="113"/>
      <c r="M182" s="100"/>
      <c r="N182" s="127"/>
      <c r="O182" s="128"/>
      <c r="P182" s="95"/>
      <c r="Q182" s="137"/>
      <c r="R182" s="129"/>
      <c r="S182" s="95"/>
      <c r="T182" s="95"/>
      <c r="V182" s="107"/>
    </row>
    <row r="183" ht="15.75" customHeight="1">
      <c r="A183" s="89"/>
      <c r="B183" s="182"/>
      <c r="C183" s="149"/>
      <c r="D183" s="95"/>
      <c r="E183" s="149"/>
      <c r="F183" s="149"/>
      <c r="G183" s="95"/>
      <c r="H183" s="149"/>
      <c r="I183" s="95"/>
      <c r="J183" s="95"/>
      <c r="K183" s="99"/>
      <c r="L183" s="99"/>
      <c r="M183" s="100"/>
      <c r="N183" s="127"/>
      <c r="O183" s="128"/>
      <c r="P183" s="95"/>
      <c r="Q183" s="137"/>
      <c r="R183" s="129"/>
      <c r="S183" s="95"/>
      <c r="T183" s="95"/>
      <c r="V183" s="107"/>
    </row>
    <row r="184" ht="15.75" customHeight="1">
      <c r="A184" s="89"/>
      <c r="B184" s="182"/>
      <c r="C184" s="149"/>
      <c r="D184" s="95"/>
      <c r="E184" s="149"/>
      <c r="F184" s="149"/>
      <c r="G184" s="95"/>
      <c r="H184" s="149"/>
      <c r="I184" s="95"/>
      <c r="J184" s="95"/>
      <c r="K184" s="113"/>
      <c r="L184" s="113"/>
      <c r="M184" s="100"/>
      <c r="N184" s="127"/>
      <c r="O184" s="128"/>
      <c r="P184" s="95"/>
      <c r="Q184" s="137"/>
      <c r="R184" s="129"/>
      <c r="S184" s="95"/>
      <c r="T184" s="95"/>
      <c r="V184" s="107"/>
    </row>
    <row r="185" ht="15.75" customHeight="1">
      <c r="A185" s="89"/>
      <c r="B185" s="182"/>
      <c r="C185" s="149"/>
      <c r="D185" s="95"/>
      <c r="E185" s="149"/>
      <c r="F185" s="149"/>
      <c r="G185" s="95"/>
      <c r="H185" s="149"/>
      <c r="I185" s="95"/>
      <c r="J185" s="95"/>
      <c r="K185" s="99"/>
      <c r="L185" s="99"/>
      <c r="M185" s="100"/>
      <c r="N185" s="127"/>
      <c r="O185" s="128"/>
      <c r="P185" s="95"/>
      <c r="Q185" s="137"/>
      <c r="R185" s="129"/>
      <c r="S185" s="95"/>
      <c r="T185" s="95"/>
      <c r="V185" s="107"/>
    </row>
    <row r="186" ht="15.75" customHeight="1">
      <c r="A186" s="89"/>
      <c r="B186" s="182"/>
      <c r="C186" s="149"/>
      <c r="D186" s="95"/>
      <c r="E186" s="149"/>
      <c r="F186" s="149"/>
      <c r="G186" s="95"/>
      <c r="H186" s="149"/>
      <c r="I186" s="95"/>
      <c r="J186" s="95"/>
      <c r="K186" s="113"/>
      <c r="L186" s="113"/>
      <c r="M186" s="100"/>
      <c r="N186" s="127"/>
      <c r="O186" s="128"/>
      <c r="P186" s="95"/>
      <c r="Q186" s="137"/>
      <c r="R186" s="129"/>
      <c r="S186" s="95"/>
      <c r="T186" s="95"/>
      <c r="V186" s="107"/>
    </row>
    <row r="187" ht="15.75" customHeight="1">
      <c r="A187" s="89"/>
      <c r="B187" s="182"/>
      <c r="C187" s="107"/>
      <c r="D187" s="95"/>
      <c r="E187" s="149"/>
      <c r="F187" s="149"/>
      <c r="G187" s="95"/>
      <c r="H187" s="149"/>
      <c r="I187" s="95"/>
      <c r="J187" s="95"/>
      <c r="K187" s="99"/>
      <c r="L187" s="99"/>
      <c r="M187" s="100"/>
      <c r="N187" s="127"/>
      <c r="O187" s="128"/>
      <c r="P187" s="95"/>
      <c r="Q187" s="137"/>
      <c r="R187" s="129"/>
      <c r="S187" s="95"/>
      <c r="T187" s="95"/>
      <c r="V187" s="107"/>
    </row>
    <row r="188" ht="15.75" customHeight="1">
      <c r="A188" s="89"/>
      <c r="B188" s="182"/>
      <c r="C188" s="149"/>
      <c r="D188" s="95"/>
      <c r="E188" s="149"/>
      <c r="F188" s="149"/>
      <c r="G188" s="95"/>
      <c r="H188" s="149"/>
      <c r="I188" s="95"/>
      <c r="J188" s="95"/>
      <c r="K188" s="113"/>
      <c r="L188" s="113"/>
      <c r="M188" s="100"/>
      <c r="N188" s="127"/>
      <c r="O188" s="128"/>
      <c r="P188" s="95"/>
      <c r="Q188" s="137"/>
      <c r="R188" s="129"/>
      <c r="S188" s="95"/>
      <c r="T188" s="95"/>
      <c r="V188" s="107"/>
    </row>
    <row r="189" ht="15.75" customHeight="1">
      <c r="A189" s="89"/>
      <c r="B189" s="182"/>
      <c r="C189" s="149"/>
      <c r="D189" s="95"/>
      <c r="E189" s="149"/>
      <c r="F189" s="149"/>
      <c r="G189" s="95"/>
      <c r="H189" s="149"/>
      <c r="I189" s="95"/>
      <c r="J189" s="95"/>
      <c r="K189" s="99"/>
      <c r="L189" s="99"/>
      <c r="M189" s="100"/>
      <c r="N189" s="127"/>
      <c r="O189" s="128"/>
      <c r="P189" s="95"/>
      <c r="Q189" s="137"/>
      <c r="R189" s="129"/>
      <c r="S189" s="95"/>
      <c r="T189" s="95"/>
      <c r="V189" s="107"/>
    </row>
    <row r="190" ht="15.75" customHeight="1">
      <c r="A190" s="89"/>
      <c r="B190" s="182"/>
      <c r="C190" s="149"/>
      <c r="D190" s="95"/>
      <c r="E190" s="149"/>
      <c r="F190" s="149"/>
      <c r="G190" s="95"/>
      <c r="H190" s="149"/>
      <c r="I190" s="95"/>
      <c r="J190" s="95"/>
      <c r="K190" s="113"/>
      <c r="L190" s="113"/>
      <c r="M190" s="100"/>
      <c r="N190" s="127"/>
      <c r="O190" s="128"/>
      <c r="P190" s="95"/>
      <c r="Q190" s="137"/>
      <c r="R190" s="129"/>
      <c r="S190" s="95"/>
      <c r="T190" s="95"/>
      <c r="V190" s="107"/>
    </row>
    <row r="191" ht="15.75" customHeight="1">
      <c r="A191" s="89"/>
      <c r="B191" s="182"/>
      <c r="C191" s="149"/>
      <c r="D191" s="95"/>
      <c r="E191" s="149"/>
      <c r="F191" s="149"/>
      <c r="G191" s="95"/>
      <c r="H191" s="149"/>
      <c r="I191" s="95"/>
      <c r="J191" s="95"/>
      <c r="K191" s="99"/>
      <c r="L191" s="99"/>
      <c r="M191" s="100"/>
      <c r="N191" s="127"/>
      <c r="O191" s="128"/>
      <c r="P191" s="95"/>
      <c r="Q191" s="137"/>
      <c r="R191" s="129"/>
      <c r="S191" s="95"/>
      <c r="T191" s="95"/>
      <c r="V191" s="107"/>
    </row>
    <row r="192" ht="15.75" customHeight="1">
      <c r="A192" s="89"/>
      <c r="B192" s="182"/>
      <c r="C192" s="149"/>
      <c r="D192" s="95"/>
      <c r="E192" s="149"/>
      <c r="F192" s="149"/>
      <c r="G192" s="95"/>
      <c r="H192" s="149"/>
      <c r="I192" s="95"/>
      <c r="J192" s="95"/>
      <c r="K192" s="113"/>
      <c r="L192" s="113"/>
      <c r="M192" s="100"/>
      <c r="N192" s="127"/>
      <c r="O192" s="128"/>
      <c r="P192" s="95"/>
      <c r="Q192" s="137"/>
      <c r="R192" s="129"/>
      <c r="S192" s="95"/>
      <c r="T192" s="95"/>
      <c r="V192" s="107"/>
    </row>
    <row r="193" ht="15.75" customHeight="1">
      <c r="A193" s="89"/>
      <c r="B193" s="182"/>
      <c r="C193" s="107"/>
      <c r="D193" s="95"/>
      <c r="E193" s="149"/>
      <c r="F193" s="149"/>
      <c r="G193" s="95"/>
      <c r="H193" s="149"/>
      <c r="I193" s="95"/>
      <c r="J193" s="95"/>
      <c r="K193" s="99"/>
      <c r="L193" s="99"/>
      <c r="M193" s="100"/>
      <c r="N193" s="127"/>
      <c r="O193" s="128"/>
      <c r="P193" s="95"/>
      <c r="Q193" s="137"/>
      <c r="R193" s="129"/>
      <c r="S193" s="95"/>
      <c r="T193" s="95"/>
      <c r="V193" s="107"/>
    </row>
    <row r="194" ht="15.75" customHeight="1">
      <c r="A194" s="89"/>
      <c r="B194" s="182"/>
      <c r="C194" s="149"/>
      <c r="D194" s="95"/>
      <c r="E194" s="149"/>
      <c r="F194" s="149"/>
      <c r="G194" s="95"/>
      <c r="H194" s="149"/>
      <c r="I194" s="95"/>
      <c r="J194" s="95"/>
      <c r="K194" s="113"/>
      <c r="L194" s="113"/>
      <c r="M194" s="100"/>
      <c r="N194" s="127"/>
      <c r="O194" s="128"/>
      <c r="P194" s="95"/>
      <c r="Q194" s="137"/>
      <c r="R194" s="129"/>
      <c r="S194" s="95"/>
      <c r="T194" s="95"/>
      <c r="V194" s="107"/>
    </row>
    <row r="195" ht="15.75" customHeight="1">
      <c r="A195" s="89"/>
      <c r="B195" s="182"/>
      <c r="C195" s="149"/>
      <c r="D195" s="95"/>
      <c r="E195" s="149"/>
      <c r="F195" s="149"/>
      <c r="G195" s="95"/>
      <c r="H195" s="149"/>
      <c r="I195" s="95"/>
      <c r="J195" s="95"/>
      <c r="K195" s="99"/>
      <c r="L195" s="99"/>
      <c r="M195" s="100"/>
      <c r="N195" s="127"/>
      <c r="O195" s="128"/>
      <c r="P195" s="95"/>
      <c r="Q195" s="137"/>
      <c r="R195" s="129"/>
      <c r="S195" s="95"/>
      <c r="T195" s="95"/>
      <c r="V195" s="107"/>
    </row>
    <row r="196" ht="15.75" customHeight="1">
      <c r="A196" s="89"/>
      <c r="B196" s="182"/>
      <c r="C196" s="149"/>
      <c r="D196" s="95"/>
      <c r="E196" s="149"/>
      <c r="F196" s="149"/>
      <c r="G196" s="95"/>
      <c r="H196" s="149"/>
      <c r="I196" s="95"/>
      <c r="J196" s="95"/>
      <c r="K196" s="113"/>
      <c r="L196" s="113"/>
      <c r="M196" s="100"/>
      <c r="N196" s="127"/>
      <c r="O196" s="128"/>
      <c r="P196" s="95"/>
      <c r="Q196" s="137"/>
      <c r="R196" s="129"/>
      <c r="S196" s="95"/>
      <c r="T196" s="95"/>
      <c r="V196" s="107"/>
    </row>
    <row r="197" ht="15.75" customHeight="1">
      <c r="A197" s="89"/>
      <c r="B197" s="182"/>
      <c r="C197" s="149"/>
      <c r="D197" s="95"/>
      <c r="E197" s="149"/>
      <c r="F197" s="149"/>
      <c r="G197" s="95"/>
      <c r="H197" s="149"/>
      <c r="I197" s="95"/>
      <c r="J197" s="95"/>
      <c r="K197" s="99"/>
      <c r="L197" s="99"/>
      <c r="M197" s="100"/>
      <c r="N197" s="127"/>
      <c r="O197" s="128"/>
      <c r="P197" s="95"/>
      <c r="Q197" s="137"/>
      <c r="R197" s="129"/>
      <c r="S197" s="95"/>
      <c r="T197" s="95"/>
      <c r="V197" s="107"/>
    </row>
    <row r="198" ht="15.75" customHeight="1">
      <c r="A198" s="89"/>
      <c r="B198" s="182"/>
      <c r="C198" s="149"/>
      <c r="D198" s="95"/>
      <c r="E198" s="149"/>
      <c r="F198" s="149"/>
      <c r="G198" s="95"/>
      <c r="H198" s="149"/>
      <c r="I198" s="95"/>
      <c r="J198" s="95"/>
      <c r="K198" s="113"/>
      <c r="L198" s="113"/>
      <c r="M198" s="100"/>
      <c r="N198" s="127"/>
      <c r="O198" s="128"/>
      <c r="P198" s="95"/>
      <c r="Q198" s="137"/>
      <c r="R198" s="129"/>
      <c r="S198" s="95"/>
      <c r="T198" s="95"/>
      <c r="V198" s="107"/>
    </row>
    <row r="199" ht="15.75" customHeight="1">
      <c r="A199" s="89"/>
      <c r="B199" s="182"/>
      <c r="C199" s="107"/>
      <c r="D199" s="95"/>
      <c r="E199" s="149"/>
      <c r="F199" s="149"/>
      <c r="G199" s="95"/>
      <c r="H199" s="149"/>
      <c r="I199" s="95"/>
      <c r="J199" s="95"/>
      <c r="K199" s="99"/>
      <c r="L199" s="99"/>
      <c r="M199" s="100"/>
      <c r="N199" s="127"/>
      <c r="O199" s="128"/>
      <c r="P199" s="95"/>
      <c r="Q199" s="137"/>
      <c r="R199" s="129"/>
      <c r="S199" s="95"/>
      <c r="T199" s="95"/>
      <c r="V199" s="107"/>
    </row>
    <row r="200" ht="15.75" customHeight="1">
      <c r="A200" s="89"/>
      <c r="B200" s="182"/>
      <c r="C200" s="149"/>
      <c r="D200" s="95"/>
      <c r="E200" s="149"/>
      <c r="F200" s="149"/>
      <c r="G200" s="95"/>
      <c r="H200" s="149"/>
      <c r="I200" s="95"/>
      <c r="J200" s="95"/>
      <c r="K200" s="113"/>
      <c r="L200" s="113"/>
      <c r="M200" s="100"/>
      <c r="N200" s="127"/>
      <c r="O200" s="128"/>
      <c r="P200" s="95"/>
      <c r="Q200" s="137"/>
      <c r="R200" s="129"/>
      <c r="S200" s="95"/>
      <c r="T200" s="95"/>
      <c r="V200" s="107"/>
    </row>
    <row r="201" ht="15.75" customHeight="1">
      <c r="A201" s="89"/>
      <c r="B201" s="182"/>
      <c r="C201" s="149"/>
      <c r="D201" s="95"/>
      <c r="E201" s="149"/>
      <c r="F201" s="149"/>
      <c r="G201" s="95"/>
      <c r="H201" s="149"/>
      <c r="I201" s="95"/>
      <c r="J201" s="95"/>
      <c r="K201" s="99"/>
      <c r="L201" s="99"/>
      <c r="M201" s="100"/>
      <c r="N201" s="127"/>
      <c r="O201" s="128"/>
      <c r="P201" s="95"/>
      <c r="Q201" s="137"/>
      <c r="R201" s="129"/>
      <c r="S201" s="95"/>
      <c r="T201" s="95"/>
      <c r="V201" s="107"/>
    </row>
    <row r="202" ht="15.75" customHeight="1">
      <c r="A202" s="89"/>
      <c r="B202" s="182"/>
      <c r="C202" s="149"/>
      <c r="D202" s="95"/>
      <c r="E202" s="149"/>
      <c r="F202" s="149"/>
      <c r="G202" s="95"/>
      <c r="H202" s="149"/>
      <c r="I202" s="95"/>
      <c r="J202" s="95"/>
      <c r="K202" s="113"/>
      <c r="L202" s="113"/>
      <c r="M202" s="100"/>
      <c r="N202" s="127"/>
      <c r="O202" s="128"/>
      <c r="P202" s="95"/>
      <c r="Q202" s="137"/>
      <c r="R202" s="129"/>
      <c r="S202" s="95"/>
      <c r="T202" s="95"/>
      <c r="V202" s="107"/>
    </row>
    <row r="203" ht="15.75" customHeight="1">
      <c r="A203" s="89"/>
      <c r="B203" s="182"/>
      <c r="C203" s="149"/>
      <c r="D203" s="95"/>
      <c r="E203" s="149"/>
      <c r="F203" s="149"/>
      <c r="G203" s="95"/>
      <c r="H203" s="149"/>
      <c r="I203" s="95"/>
      <c r="J203" s="95"/>
      <c r="K203" s="99"/>
      <c r="L203" s="99"/>
      <c r="M203" s="100"/>
      <c r="N203" s="127"/>
      <c r="O203" s="128"/>
      <c r="P203" s="95"/>
      <c r="Q203" s="137"/>
      <c r="R203" s="129"/>
      <c r="S203" s="95"/>
      <c r="T203" s="95"/>
      <c r="V203" s="107"/>
    </row>
    <row r="204" ht="15.75" customHeight="1">
      <c r="A204" s="89"/>
      <c r="B204" s="182"/>
      <c r="C204" s="149"/>
      <c r="D204" s="95"/>
      <c r="E204" s="149"/>
      <c r="F204" s="149"/>
      <c r="G204" s="95"/>
      <c r="H204" s="149"/>
      <c r="I204" s="95"/>
      <c r="J204" s="95"/>
      <c r="K204" s="113"/>
      <c r="L204" s="113"/>
      <c r="M204" s="100"/>
      <c r="N204" s="127"/>
      <c r="O204" s="128"/>
      <c r="P204" s="95"/>
      <c r="Q204" s="137"/>
      <c r="R204" s="129"/>
      <c r="S204" s="95"/>
      <c r="T204" s="95"/>
      <c r="V204" s="107"/>
    </row>
    <row r="205" ht="15.75" customHeight="1">
      <c r="A205" s="89"/>
      <c r="B205" s="182"/>
      <c r="C205" s="107"/>
      <c r="D205" s="95"/>
      <c r="E205" s="149"/>
      <c r="F205" s="149"/>
      <c r="G205" s="95"/>
      <c r="H205" s="149"/>
      <c r="I205" s="95"/>
      <c r="J205" s="95"/>
      <c r="K205" s="99"/>
      <c r="L205" s="99"/>
      <c r="M205" s="100"/>
      <c r="N205" s="127"/>
      <c r="O205" s="128"/>
      <c r="P205" s="95"/>
      <c r="Q205" s="137"/>
      <c r="R205" s="129"/>
      <c r="S205" s="95"/>
      <c r="T205" s="95"/>
      <c r="V205" s="107"/>
    </row>
    <row r="206" ht="15.75" customHeight="1">
      <c r="A206" s="89"/>
      <c r="B206" s="182"/>
      <c r="C206" s="149"/>
      <c r="D206" s="95"/>
      <c r="E206" s="149"/>
      <c r="F206" s="149"/>
      <c r="G206" s="95"/>
      <c r="H206" s="149"/>
      <c r="I206" s="95"/>
      <c r="J206" s="95"/>
      <c r="K206" s="113"/>
      <c r="L206" s="113"/>
      <c r="M206" s="100"/>
      <c r="N206" s="127"/>
      <c r="O206" s="128"/>
      <c r="P206" s="95"/>
      <c r="Q206" s="137"/>
      <c r="R206" s="129"/>
      <c r="S206" s="95"/>
      <c r="T206" s="95"/>
      <c r="V206" s="107"/>
    </row>
    <row r="207" ht="15.75" customHeight="1">
      <c r="A207" s="89"/>
      <c r="B207" s="182"/>
      <c r="C207" s="149"/>
      <c r="D207" s="95"/>
      <c r="E207" s="149"/>
      <c r="F207" s="149"/>
      <c r="G207" s="95"/>
      <c r="H207" s="149"/>
      <c r="I207" s="95"/>
      <c r="J207" s="95"/>
      <c r="K207" s="99"/>
      <c r="L207" s="99"/>
      <c r="M207" s="100"/>
      <c r="N207" s="127"/>
      <c r="O207" s="128"/>
      <c r="P207" s="95"/>
      <c r="Q207" s="137"/>
      <c r="R207" s="129"/>
      <c r="S207" s="95"/>
      <c r="T207" s="95"/>
      <c r="V207" s="107"/>
    </row>
    <row r="208" ht="15.75" customHeight="1">
      <c r="A208" s="89"/>
      <c r="B208" s="182"/>
      <c r="C208" s="149"/>
      <c r="D208" s="95"/>
      <c r="E208" s="149"/>
      <c r="F208" s="149"/>
      <c r="G208" s="95"/>
      <c r="H208" s="149"/>
      <c r="I208" s="95"/>
      <c r="J208" s="95"/>
      <c r="K208" s="113"/>
      <c r="L208" s="113"/>
      <c r="M208" s="100"/>
      <c r="N208" s="127"/>
      <c r="O208" s="128"/>
      <c r="P208" s="95"/>
      <c r="Q208" s="137"/>
      <c r="R208" s="129"/>
      <c r="S208" s="95"/>
      <c r="T208" s="95"/>
      <c r="V208" s="107"/>
    </row>
    <row r="209" ht="15.75" customHeight="1">
      <c r="A209" s="89"/>
      <c r="B209" s="182"/>
      <c r="C209" s="149"/>
      <c r="D209" s="95"/>
      <c r="E209" s="149"/>
      <c r="F209" s="149"/>
      <c r="G209" s="95"/>
      <c r="H209" s="149"/>
      <c r="I209" s="95"/>
      <c r="J209" s="95"/>
      <c r="K209" s="99"/>
      <c r="L209" s="99"/>
      <c r="M209" s="100"/>
      <c r="N209" s="127"/>
      <c r="O209" s="128"/>
      <c r="P209" s="95"/>
      <c r="Q209" s="137"/>
      <c r="R209" s="129"/>
      <c r="S209" s="95"/>
      <c r="T209" s="95"/>
      <c r="V209" s="107"/>
    </row>
    <row r="210" ht="15.75" customHeight="1">
      <c r="A210" s="89"/>
      <c r="B210" s="182"/>
      <c r="C210" s="149"/>
      <c r="D210" s="95"/>
      <c r="E210" s="149"/>
      <c r="F210" s="149"/>
      <c r="G210" s="95"/>
      <c r="H210" s="149"/>
      <c r="I210" s="95"/>
      <c r="J210" s="95"/>
      <c r="K210" s="113"/>
      <c r="L210" s="113"/>
      <c r="M210" s="100"/>
      <c r="N210" s="127"/>
      <c r="O210" s="128"/>
      <c r="P210" s="95"/>
      <c r="Q210" s="137"/>
      <c r="R210" s="129"/>
      <c r="S210" s="95"/>
      <c r="T210" s="95"/>
      <c r="V210" s="107"/>
    </row>
    <row r="211" ht="15.75" customHeight="1">
      <c r="A211" s="89"/>
      <c r="B211" s="182"/>
      <c r="C211" s="107"/>
      <c r="D211" s="95"/>
      <c r="E211" s="149"/>
      <c r="F211" s="149"/>
      <c r="G211" s="95"/>
      <c r="H211" s="149"/>
      <c r="I211" s="95"/>
      <c r="J211" s="95"/>
      <c r="K211" s="99"/>
      <c r="L211" s="99"/>
      <c r="M211" s="100"/>
      <c r="N211" s="127"/>
      <c r="O211" s="128"/>
      <c r="P211" s="95"/>
      <c r="Q211" s="137"/>
      <c r="R211" s="129"/>
      <c r="S211" s="95"/>
      <c r="T211" s="95"/>
      <c r="V211" s="107"/>
    </row>
    <row r="212" ht="15.75" customHeight="1">
      <c r="A212" s="89"/>
      <c r="B212" s="182"/>
      <c r="C212" s="149"/>
      <c r="D212" s="95"/>
      <c r="E212" s="149"/>
      <c r="F212" s="149"/>
      <c r="G212" s="95"/>
      <c r="H212" s="149"/>
      <c r="I212" s="95"/>
      <c r="J212" s="95"/>
      <c r="K212" s="113"/>
      <c r="L212" s="113"/>
      <c r="M212" s="100"/>
      <c r="N212" s="127"/>
      <c r="O212" s="128"/>
      <c r="P212" s="95"/>
      <c r="Q212" s="137"/>
      <c r="R212" s="129"/>
      <c r="S212" s="95"/>
      <c r="T212" s="95"/>
      <c r="V212" s="107"/>
    </row>
    <row r="213" ht="15.75" customHeight="1">
      <c r="A213" s="89"/>
      <c r="B213" s="182"/>
      <c r="C213" s="149"/>
      <c r="D213" s="95"/>
      <c r="E213" s="149"/>
      <c r="F213" s="149"/>
      <c r="G213" s="95"/>
      <c r="H213" s="149"/>
      <c r="I213" s="95"/>
      <c r="J213" s="95"/>
      <c r="K213" s="99"/>
      <c r="L213" s="99"/>
      <c r="M213" s="100"/>
      <c r="N213" s="127"/>
      <c r="O213" s="128"/>
      <c r="P213" s="95"/>
      <c r="Q213" s="137"/>
      <c r="R213" s="129"/>
      <c r="S213" s="95"/>
      <c r="T213" s="95"/>
      <c r="V213" s="107"/>
    </row>
    <row r="214" ht="15.75" customHeight="1">
      <c r="A214" s="89"/>
      <c r="B214" s="182"/>
      <c r="C214" s="149"/>
      <c r="D214" s="95"/>
      <c r="E214" s="149"/>
      <c r="F214" s="149"/>
      <c r="G214" s="95"/>
      <c r="H214" s="149"/>
      <c r="I214" s="95"/>
      <c r="J214" s="95"/>
      <c r="K214" s="113"/>
      <c r="L214" s="113"/>
      <c r="M214" s="100"/>
      <c r="N214" s="127"/>
      <c r="O214" s="128"/>
      <c r="P214" s="95"/>
      <c r="Q214" s="137"/>
      <c r="R214" s="129"/>
      <c r="S214" s="95"/>
      <c r="T214" s="95"/>
      <c r="V214" s="107"/>
    </row>
    <row r="215" ht="15.75" customHeight="1">
      <c r="A215" s="89"/>
      <c r="B215" s="182"/>
      <c r="C215" s="149"/>
      <c r="D215" s="95"/>
      <c r="E215" s="149"/>
      <c r="F215" s="149"/>
      <c r="G215" s="95"/>
      <c r="H215" s="149"/>
      <c r="I215" s="95"/>
      <c r="J215" s="95"/>
      <c r="K215" s="99"/>
      <c r="L215" s="99"/>
      <c r="M215" s="100"/>
      <c r="N215" s="127"/>
      <c r="O215" s="128"/>
      <c r="P215" s="95"/>
      <c r="Q215" s="137"/>
      <c r="R215" s="129"/>
      <c r="S215" s="95"/>
      <c r="T215" s="95"/>
      <c r="V215" s="107"/>
    </row>
    <row r="216" ht="15.75" customHeight="1">
      <c r="A216" s="89"/>
      <c r="B216" s="182"/>
      <c r="C216" s="149"/>
      <c r="D216" s="95"/>
      <c r="E216" s="149"/>
      <c r="F216" s="149"/>
      <c r="G216" s="95"/>
      <c r="H216" s="149"/>
      <c r="I216" s="95"/>
      <c r="J216" s="95"/>
      <c r="K216" s="113"/>
      <c r="L216" s="113"/>
      <c r="M216" s="100"/>
      <c r="N216" s="127"/>
      <c r="O216" s="128"/>
      <c r="P216" s="95"/>
      <c r="Q216" s="137"/>
      <c r="R216" s="129"/>
      <c r="S216" s="95"/>
      <c r="T216" s="95"/>
      <c r="V216" s="107"/>
    </row>
    <row r="217" ht="15.75" customHeight="1">
      <c r="A217" s="89"/>
      <c r="B217" s="182"/>
      <c r="C217" s="107"/>
      <c r="D217" s="95"/>
      <c r="E217" s="149"/>
      <c r="F217" s="149"/>
      <c r="G217" s="95"/>
      <c r="H217" s="149"/>
      <c r="I217" s="95"/>
      <c r="J217" s="95"/>
      <c r="K217" s="99"/>
      <c r="L217" s="99"/>
      <c r="M217" s="100"/>
      <c r="N217" s="127"/>
      <c r="O217" s="128"/>
      <c r="P217" s="95"/>
      <c r="Q217" s="137"/>
      <c r="R217" s="129"/>
      <c r="S217" s="95"/>
      <c r="T217" s="95"/>
      <c r="V217" s="107"/>
    </row>
    <row r="218" ht="15.75" customHeight="1">
      <c r="A218" s="89"/>
      <c r="B218" s="182"/>
      <c r="C218" s="149"/>
      <c r="D218" s="95"/>
      <c r="E218" s="149"/>
      <c r="F218" s="149"/>
      <c r="G218" s="95"/>
      <c r="H218" s="149"/>
      <c r="I218" s="95"/>
      <c r="J218" s="95"/>
      <c r="K218" s="113"/>
      <c r="L218" s="113"/>
      <c r="M218" s="100"/>
      <c r="N218" s="127"/>
      <c r="O218" s="128"/>
      <c r="P218" s="95"/>
      <c r="Q218" s="137"/>
      <c r="R218" s="129"/>
      <c r="S218" s="95"/>
      <c r="T218" s="95"/>
      <c r="V218" s="107"/>
    </row>
    <row r="219" ht="15.75" customHeight="1">
      <c r="A219" s="89"/>
      <c r="B219" s="182"/>
      <c r="C219" s="149"/>
      <c r="D219" s="95"/>
      <c r="E219" s="149"/>
      <c r="F219" s="149"/>
      <c r="G219" s="95"/>
      <c r="H219" s="149"/>
      <c r="I219" s="95"/>
      <c r="J219" s="95"/>
      <c r="K219" s="99"/>
      <c r="L219" s="99"/>
      <c r="M219" s="100"/>
      <c r="N219" s="127"/>
      <c r="O219" s="128"/>
      <c r="P219" s="95"/>
      <c r="Q219" s="137"/>
      <c r="R219" s="129"/>
      <c r="S219" s="95"/>
      <c r="T219" s="95"/>
      <c r="V219" s="107"/>
    </row>
    <row r="220" ht="15.75" customHeight="1">
      <c r="A220" s="89"/>
      <c r="B220" s="182"/>
      <c r="C220" s="149"/>
      <c r="D220" s="95"/>
      <c r="E220" s="149"/>
      <c r="F220" s="149"/>
      <c r="G220" s="95"/>
      <c r="H220" s="149"/>
      <c r="I220" s="95"/>
      <c r="J220" s="95"/>
      <c r="K220" s="113"/>
      <c r="L220" s="113"/>
      <c r="M220" s="100"/>
      <c r="N220" s="127"/>
      <c r="O220" s="128"/>
      <c r="P220" s="95"/>
      <c r="Q220" s="137"/>
      <c r="R220" s="129"/>
      <c r="S220" s="95"/>
      <c r="T220" s="95"/>
      <c r="V220" s="107"/>
    </row>
    <row r="221" ht="15.75" customHeight="1">
      <c r="A221" s="89"/>
      <c r="B221" s="182"/>
      <c r="C221" s="149"/>
      <c r="D221" s="95"/>
      <c r="E221" s="149"/>
      <c r="F221" s="149"/>
      <c r="G221" s="95"/>
      <c r="H221" s="149"/>
      <c r="I221" s="95"/>
      <c r="J221" s="95"/>
      <c r="K221" s="99"/>
      <c r="L221" s="99"/>
      <c r="M221" s="100"/>
      <c r="N221" s="127"/>
      <c r="O221" s="128"/>
      <c r="P221" s="95"/>
      <c r="Q221" s="137"/>
      <c r="R221" s="129"/>
      <c r="S221" s="95"/>
      <c r="T221" s="95"/>
      <c r="V221" s="107"/>
    </row>
    <row r="222" ht="15.75" customHeight="1">
      <c r="A222" s="89"/>
      <c r="B222" s="182"/>
      <c r="C222" s="149"/>
      <c r="D222" s="95"/>
      <c r="E222" s="149"/>
      <c r="F222" s="149"/>
      <c r="G222" s="95"/>
      <c r="H222" s="149"/>
      <c r="I222" s="95"/>
      <c r="J222" s="95"/>
      <c r="K222" s="113"/>
      <c r="L222" s="113"/>
      <c r="M222" s="100"/>
      <c r="N222" s="127"/>
      <c r="O222" s="128"/>
      <c r="P222" s="95"/>
      <c r="Q222" s="137"/>
      <c r="R222" s="129"/>
      <c r="S222" s="95"/>
      <c r="T222" s="95"/>
      <c r="V222" s="107"/>
    </row>
    <row r="223" ht="15.75" customHeight="1">
      <c r="A223" s="89"/>
      <c r="B223" s="182"/>
      <c r="C223" s="107"/>
      <c r="D223" s="95"/>
      <c r="E223" s="149"/>
      <c r="F223" s="149"/>
      <c r="G223" s="95"/>
      <c r="H223" s="149"/>
      <c r="I223" s="95"/>
      <c r="J223" s="95"/>
      <c r="K223" s="99"/>
      <c r="L223" s="99"/>
      <c r="M223" s="100"/>
      <c r="N223" s="127"/>
      <c r="O223" s="128"/>
      <c r="P223" s="95"/>
      <c r="Q223" s="137"/>
      <c r="R223" s="129"/>
      <c r="S223" s="95"/>
      <c r="T223" s="95"/>
      <c r="V223" s="107"/>
    </row>
    <row r="224" ht="15.75" customHeight="1">
      <c r="A224" s="89"/>
      <c r="B224" s="182"/>
      <c r="C224" s="149"/>
      <c r="D224" s="95"/>
      <c r="E224" s="149"/>
      <c r="F224" s="149"/>
      <c r="G224" s="95"/>
      <c r="H224" s="149"/>
      <c r="I224" s="95"/>
      <c r="J224" s="95"/>
      <c r="K224" s="113"/>
      <c r="L224" s="113"/>
      <c r="M224" s="100"/>
      <c r="N224" s="127"/>
      <c r="O224" s="128"/>
      <c r="P224" s="95"/>
      <c r="Q224" s="137"/>
      <c r="R224" s="129"/>
      <c r="S224" s="95"/>
      <c r="T224" s="95"/>
      <c r="V224" s="107"/>
    </row>
    <row r="225" ht="15.75" customHeight="1">
      <c r="A225" s="89"/>
      <c r="B225" s="182"/>
      <c r="C225" s="149"/>
      <c r="D225" s="95"/>
      <c r="E225" s="149"/>
      <c r="F225" s="149"/>
      <c r="G225" s="95"/>
      <c r="H225" s="149"/>
      <c r="I225" s="95"/>
      <c r="J225" s="95"/>
      <c r="K225" s="99"/>
      <c r="L225" s="99"/>
      <c r="M225" s="100"/>
      <c r="N225" s="127"/>
      <c r="O225" s="128"/>
      <c r="P225" s="95"/>
      <c r="Q225" s="137"/>
      <c r="R225" s="129"/>
      <c r="S225" s="95"/>
      <c r="T225" s="95"/>
      <c r="V225" s="107"/>
    </row>
    <row r="226" ht="15.75" customHeight="1">
      <c r="A226" s="89"/>
      <c r="B226" s="182"/>
      <c r="C226" s="149"/>
      <c r="D226" s="95"/>
      <c r="E226" s="149"/>
      <c r="F226" s="149"/>
      <c r="G226" s="95"/>
      <c r="H226" s="149"/>
      <c r="I226" s="95"/>
      <c r="J226" s="95"/>
      <c r="K226" s="113"/>
      <c r="L226" s="113"/>
      <c r="M226" s="100"/>
      <c r="N226" s="127"/>
      <c r="O226" s="128"/>
      <c r="P226" s="95"/>
      <c r="Q226" s="137"/>
      <c r="R226" s="129"/>
      <c r="S226" s="95"/>
      <c r="T226" s="95"/>
      <c r="V226" s="107"/>
    </row>
    <row r="227" ht="15.75" customHeight="1">
      <c r="A227" s="89"/>
      <c r="B227" s="182"/>
      <c r="C227" s="149"/>
      <c r="D227" s="95"/>
      <c r="E227" s="149"/>
      <c r="F227" s="149"/>
      <c r="G227" s="95"/>
      <c r="H227" s="149"/>
      <c r="I227" s="95"/>
      <c r="J227" s="95"/>
      <c r="K227" s="99"/>
      <c r="L227" s="99"/>
      <c r="M227" s="100"/>
      <c r="N227" s="127"/>
      <c r="O227" s="128"/>
      <c r="P227" s="95"/>
      <c r="Q227" s="137"/>
      <c r="R227" s="129"/>
      <c r="S227" s="95"/>
      <c r="T227" s="95"/>
      <c r="V227" s="107"/>
    </row>
    <row r="228" ht="15.75" customHeight="1">
      <c r="A228" s="89"/>
      <c r="B228" s="182"/>
      <c r="C228" s="149"/>
      <c r="D228" s="95"/>
      <c r="E228" s="149"/>
      <c r="F228" s="149"/>
      <c r="G228" s="95"/>
      <c r="H228" s="149"/>
      <c r="I228" s="95"/>
      <c r="J228" s="95"/>
      <c r="K228" s="113"/>
      <c r="L228" s="113"/>
      <c r="M228" s="100"/>
      <c r="N228" s="127"/>
      <c r="O228" s="128"/>
      <c r="P228" s="95"/>
      <c r="Q228" s="137"/>
      <c r="R228" s="129"/>
      <c r="S228" s="95"/>
      <c r="T228" s="95"/>
      <c r="V228" s="107"/>
    </row>
    <row r="229" ht="15.75" customHeight="1">
      <c r="A229" s="89"/>
      <c r="B229" s="182"/>
      <c r="C229" s="107"/>
      <c r="D229" s="95"/>
      <c r="E229" s="149"/>
      <c r="F229" s="149"/>
      <c r="G229" s="95"/>
      <c r="H229" s="149"/>
      <c r="I229" s="95"/>
      <c r="J229" s="95"/>
      <c r="K229" s="99"/>
      <c r="L229" s="99"/>
      <c r="M229" s="100"/>
      <c r="N229" s="127"/>
      <c r="O229" s="128"/>
      <c r="P229" s="95"/>
      <c r="Q229" s="137"/>
      <c r="R229" s="129"/>
      <c r="S229" s="95"/>
      <c r="T229" s="95"/>
      <c r="V229" s="107"/>
    </row>
    <row r="230" ht="15.75" customHeight="1">
      <c r="A230" s="89"/>
      <c r="B230" s="182"/>
      <c r="C230" s="149"/>
      <c r="D230" s="95"/>
      <c r="E230" s="149"/>
      <c r="F230" s="149"/>
      <c r="G230" s="95"/>
      <c r="H230" s="149"/>
      <c r="I230" s="95"/>
      <c r="J230" s="95"/>
      <c r="K230" s="113"/>
      <c r="L230" s="113"/>
      <c r="M230" s="100"/>
      <c r="N230" s="127"/>
      <c r="O230" s="128"/>
      <c r="P230" s="95"/>
      <c r="Q230" s="137"/>
      <c r="R230" s="129"/>
      <c r="S230" s="95"/>
      <c r="T230" s="95"/>
      <c r="V230" s="107"/>
    </row>
    <row r="231" ht="15.75" customHeight="1">
      <c r="A231" s="89"/>
      <c r="B231" s="182"/>
      <c r="C231" s="149"/>
      <c r="D231" s="95"/>
      <c r="E231" s="149"/>
      <c r="F231" s="149"/>
      <c r="G231" s="95"/>
      <c r="H231" s="149"/>
      <c r="I231" s="95"/>
      <c r="J231" s="95"/>
      <c r="K231" s="99"/>
      <c r="L231" s="99"/>
      <c r="M231" s="100"/>
      <c r="N231" s="127"/>
      <c r="O231" s="128"/>
      <c r="P231" s="95"/>
      <c r="Q231" s="137"/>
      <c r="R231" s="129"/>
      <c r="S231" s="95"/>
      <c r="T231" s="95"/>
      <c r="V231" s="107"/>
    </row>
    <row r="232" ht="15.75" customHeight="1">
      <c r="A232" s="89"/>
      <c r="B232" s="182"/>
      <c r="C232" s="149"/>
      <c r="D232" s="95"/>
      <c r="E232" s="149"/>
      <c r="F232" s="149"/>
      <c r="G232" s="95"/>
      <c r="H232" s="149"/>
      <c r="I232" s="95"/>
      <c r="J232" s="95"/>
      <c r="K232" s="113"/>
      <c r="L232" s="113"/>
      <c r="M232" s="100"/>
      <c r="N232" s="127"/>
      <c r="O232" s="128"/>
      <c r="P232" s="95"/>
      <c r="Q232" s="137"/>
      <c r="R232" s="129"/>
      <c r="S232" s="95"/>
      <c r="T232" s="95"/>
      <c r="V232" s="107"/>
    </row>
    <row r="233" ht="15.75" customHeight="1">
      <c r="A233" s="89"/>
      <c r="B233" s="182"/>
      <c r="C233" s="149"/>
      <c r="D233" s="95"/>
      <c r="E233" s="149"/>
      <c r="F233" s="149"/>
      <c r="G233" s="95"/>
      <c r="H233" s="149"/>
      <c r="I233" s="95"/>
      <c r="J233" s="95"/>
      <c r="K233" s="99"/>
      <c r="L233" s="99"/>
      <c r="M233" s="100"/>
      <c r="N233" s="127"/>
      <c r="O233" s="128"/>
      <c r="P233" s="95"/>
      <c r="Q233" s="137"/>
      <c r="R233" s="129"/>
      <c r="S233" s="95"/>
      <c r="T233" s="95"/>
      <c r="V233" s="107"/>
    </row>
    <row r="234" ht="15.75" customHeight="1">
      <c r="A234" s="89"/>
      <c r="B234" s="182"/>
      <c r="C234" s="149"/>
      <c r="D234" s="95"/>
      <c r="E234" s="149"/>
      <c r="F234" s="149"/>
      <c r="G234" s="95"/>
      <c r="H234" s="149"/>
      <c r="I234" s="95"/>
      <c r="J234" s="95"/>
      <c r="K234" s="113"/>
      <c r="L234" s="113"/>
      <c r="M234" s="100"/>
      <c r="N234" s="127"/>
      <c r="O234" s="128"/>
      <c r="P234" s="95"/>
      <c r="Q234" s="137"/>
      <c r="R234" s="129"/>
      <c r="S234" s="95"/>
      <c r="T234" s="95"/>
      <c r="V234" s="107"/>
    </row>
    <row r="235" ht="15.75" customHeight="1">
      <c r="A235" s="89"/>
      <c r="B235" s="182"/>
      <c r="C235" s="107"/>
      <c r="D235" s="95"/>
      <c r="E235" s="149"/>
      <c r="F235" s="149"/>
      <c r="G235" s="95"/>
      <c r="H235" s="149"/>
      <c r="I235" s="95"/>
      <c r="J235" s="95"/>
      <c r="K235" s="99"/>
      <c r="L235" s="99"/>
      <c r="M235" s="100"/>
      <c r="N235" s="127"/>
      <c r="O235" s="128"/>
      <c r="P235" s="95"/>
      <c r="Q235" s="137"/>
      <c r="R235" s="129"/>
      <c r="S235" s="95"/>
      <c r="T235" s="95"/>
      <c r="V235" s="107"/>
    </row>
    <row r="236" ht="15.75" customHeight="1">
      <c r="A236" s="89"/>
      <c r="B236" s="182"/>
      <c r="C236" s="149"/>
      <c r="D236" s="95"/>
      <c r="E236" s="149"/>
      <c r="F236" s="149"/>
      <c r="G236" s="95"/>
      <c r="H236" s="149"/>
      <c r="I236" s="95"/>
      <c r="J236" s="95"/>
      <c r="K236" s="113"/>
      <c r="L236" s="113"/>
      <c r="M236" s="100"/>
      <c r="N236" s="127"/>
      <c r="O236" s="128"/>
      <c r="P236" s="95"/>
      <c r="Q236" s="137"/>
      <c r="R236" s="129"/>
      <c r="S236" s="95"/>
      <c r="T236" s="95"/>
      <c r="V236" s="107"/>
    </row>
    <row r="237" ht="15.75" customHeight="1">
      <c r="A237" s="89"/>
      <c r="B237" s="182"/>
      <c r="C237" s="149"/>
      <c r="D237" s="95"/>
      <c r="E237" s="149"/>
      <c r="F237" s="149"/>
      <c r="G237" s="95"/>
      <c r="H237" s="149"/>
      <c r="I237" s="95"/>
      <c r="J237" s="95"/>
      <c r="K237" s="99"/>
      <c r="L237" s="99"/>
      <c r="M237" s="100"/>
      <c r="N237" s="127"/>
      <c r="O237" s="128"/>
      <c r="P237" s="95"/>
      <c r="Q237" s="137"/>
      <c r="R237" s="129"/>
      <c r="S237" s="95"/>
      <c r="T237" s="95"/>
      <c r="V237" s="107"/>
    </row>
    <row r="238" ht="15.75" customHeight="1">
      <c r="A238" s="89"/>
      <c r="B238" s="182"/>
      <c r="C238" s="149"/>
      <c r="D238" s="95"/>
      <c r="E238" s="149"/>
      <c r="F238" s="149"/>
      <c r="G238" s="95"/>
      <c r="H238" s="149"/>
      <c r="I238" s="95"/>
      <c r="J238" s="95"/>
      <c r="K238" s="113"/>
      <c r="L238" s="113"/>
      <c r="M238" s="100"/>
      <c r="N238" s="127"/>
      <c r="O238" s="128"/>
      <c r="P238" s="95"/>
      <c r="Q238" s="137"/>
      <c r="R238" s="129"/>
      <c r="S238" s="95"/>
      <c r="T238" s="95"/>
      <c r="V238" s="107"/>
    </row>
    <row r="239" ht="15.75" customHeight="1">
      <c r="A239" s="89"/>
      <c r="B239" s="182"/>
      <c r="C239" s="149"/>
      <c r="D239" s="95"/>
      <c r="E239" s="149"/>
      <c r="F239" s="149"/>
      <c r="G239" s="95"/>
      <c r="H239" s="149"/>
      <c r="I239" s="95"/>
      <c r="J239" s="95"/>
      <c r="K239" s="99"/>
      <c r="L239" s="99"/>
      <c r="M239" s="100"/>
      <c r="N239" s="127"/>
      <c r="O239" s="128"/>
      <c r="P239" s="95"/>
      <c r="Q239" s="137"/>
      <c r="R239" s="129"/>
      <c r="S239" s="95"/>
      <c r="T239" s="95"/>
      <c r="V239" s="107"/>
    </row>
    <row r="240" ht="15.75" customHeight="1">
      <c r="A240" s="89"/>
      <c r="B240" s="182"/>
      <c r="C240" s="149"/>
      <c r="D240" s="95"/>
      <c r="E240" s="149"/>
      <c r="F240" s="149"/>
      <c r="G240" s="95"/>
      <c r="H240" s="149"/>
      <c r="I240" s="95"/>
      <c r="J240" s="95"/>
      <c r="K240" s="113"/>
      <c r="L240" s="113"/>
      <c r="M240" s="100"/>
      <c r="N240" s="127"/>
      <c r="O240" s="128"/>
      <c r="P240" s="95"/>
      <c r="Q240" s="137"/>
      <c r="R240" s="129"/>
      <c r="S240" s="95"/>
      <c r="T240" s="95"/>
      <c r="V240" s="107"/>
    </row>
    <row r="241" ht="15.75" customHeight="1">
      <c r="A241" s="89"/>
      <c r="B241" s="182"/>
      <c r="C241" s="107"/>
      <c r="D241" s="95"/>
      <c r="E241" s="149"/>
      <c r="F241" s="149"/>
      <c r="G241" s="95"/>
      <c r="H241" s="149"/>
      <c r="I241" s="95"/>
      <c r="J241" s="95"/>
      <c r="K241" s="99"/>
      <c r="L241" s="99"/>
      <c r="M241" s="100"/>
      <c r="N241" s="127"/>
      <c r="O241" s="128"/>
      <c r="P241" s="95"/>
      <c r="Q241" s="137"/>
      <c r="R241" s="129"/>
      <c r="S241" s="95"/>
      <c r="T241" s="95"/>
      <c r="V241" s="107"/>
    </row>
    <row r="242" ht="15.75" customHeight="1">
      <c r="A242" s="89"/>
      <c r="B242" s="182"/>
      <c r="C242" s="149"/>
      <c r="D242" s="95"/>
      <c r="E242" s="149"/>
      <c r="F242" s="149"/>
      <c r="G242" s="95"/>
      <c r="H242" s="149"/>
      <c r="I242" s="95"/>
      <c r="J242" s="95"/>
      <c r="K242" s="113"/>
      <c r="L242" s="113"/>
      <c r="M242" s="100"/>
      <c r="N242" s="127"/>
      <c r="O242" s="128"/>
      <c r="P242" s="95"/>
      <c r="Q242" s="137"/>
      <c r="R242" s="129"/>
      <c r="S242" s="95"/>
      <c r="T242" s="95"/>
      <c r="V242" s="107"/>
    </row>
    <row r="243" ht="15.75" customHeight="1">
      <c r="A243" s="89"/>
      <c r="B243" s="182"/>
      <c r="C243" s="149"/>
      <c r="D243" s="95"/>
      <c r="E243" s="149"/>
      <c r="F243" s="149"/>
      <c r="G243" s="95"/>
      <c r="H243" s="149"/>
      <c r="I243" s="95"/>
      <c r="J243" s="95"/>
      <c r="K243" s="99"/>
      <c r="L243" s="99"/>
      <c r="M243" s="100"/>
      <c r="N243" s="127"/>
      <c r="O243" s="128"/>
      <c r="P243" s="95"/>
      <c r="Q243" s="137"/>
      <c r="R243" s="129"/>
      <c r="S243" s="95"/>
      <c r="T243" s="95"/>
      <c r="V243" s="107"/>
    </row>
    <row r="244" ht="15.75" customHeight="1">
      <c r="A244" s="89"/>
      <c r="B244" s="182"/>
      <c r="C244" s="149"/>
      <c r="D244" s="95"/>
      <c r="E244" s="149"/>
      <c r="F244" s="149"/>
      <c r="G244" s="95"/>
      <c r="H244" s="149"/>
      <c r="I244" s="95"/>
      <c r="J244" s="95"/>
      <c r="K244" s="154"/>
      <c r="L244" s="154"/>
      <c r="M244" s="100"/>
      <c r="N244" s="127"/>
      <c r="O244" s="128"/>
      <c r="P244" s="95"/>
      <c r="Q244" s="137"/>
      <c r="R244" s="129"/>
      <c r="S244" s="95"/>
      <c r="T244" s="95"/>
      <c r="V244" s="107"/>
    </row>
    <row r="245" ht="15.75" customHeight="1">
      <c r="A245" s="89"/>
      <c r="B245" s="182"/>
      <c r="C245" s="149"/>
      <c r="D245" s="95"/>
      <c r="E245" s="149"/>
      <c r="F245" s="149"/>
      <c r="G245" s="95"/>
      <c r="H245" s="149"/>
      <c r="I245" s="95"/>
      <c r="J245" s="95"/>
      <c r="K245" s="156"/>
      <c r="L245" s="156"/>
      <c r="M245" s="100"/>
      <c r="N245" s="127"/>
      <c r="O245" s="128"/>
      <c r="P245" s="95"/>
      <c r="Q245" s="137"/>
      <c r="R245" s="129"/>
      <c r="S245" s="95"/>
      <c r="T245" s="95"/>
      <c r="V245" s="107"/>
    </row>
    <row r="246" ht="15.75" customHeight="1">
      <c r="A246" s="89"/>
      <c r="B246" s="182"/>
      <c r="C246" s="149"/>
      <c r="D246" s="95"/>
      <c r="E246" s="149"/>
      <c r="F246" s="149"/>
      <c r="G246" s="95"/>
      <c r="H246" s="149"/>
      <c r="I246" s="95"/>
      <c r="J246" s="95"/>
      <c r="K246" s="154"/>
      <c r="L246" s="154"/>
      <c r="M246" s="100"/>
      <c r="N246" s="127"/>
      <c r="O246" s="128"/>
      <c r="P246" s="95"/>
      <c r="Q246" s="137"/>
      <c r="R246" s="129"/>
      <c r="S246" s="95"/>
      <c r="T246" s="95"/>
      <c r="V246" s="107"/>
    </row>
    <row r="247" ht="15.75" customHeight="1">
      <c r="A247" s="89"/>
      <c r="B247" s="182"/>
      <c r="C247" s="107"/>
      <c r="D247" s="95"/>
      <c r="E247" s="149"/>
      <c r="F247" s="149"/>
      <c r="G247" s="95"/>
      <c r="H247" s="149"/>
      <c r="I247" s="95"/>
      <c r="J247" s="95"/>
      <c r="K247" s="156"/>
      <c r="L247" s="156"/>
      <c r="M247" s="100"/>
      <c r="N247" s="127"/>
      <c r="O247" s="128"/>
      <c r="P247" s="95"/>
      <c r="Q247" s="137"/>
      <c r="R247" s="129"/>
      <c r="S247" s="95"/>
      <c r="T247" s="95"/>
      <c r="V247" s="107"/>
    </row>
    <row r="248" ht="15.75" customHeight="1">
      <c r="A248" s="89"/>
      <c r="B248" s="182"/>
      <c r="C248" s="149"/>
      <c r="D248" s="95"/>
      <c r="E248" s="149"/>
      <c r="F248" s="149"/>
      <c r="G248" s="95"/>
      <c r="H248" s="149"/>
      <c r="I248" s="95"/>
      <c r="J248" s="95"/>
      <c r="K248" s="154"/>
      <c r="L248" s="154"/>
      <c r="M248" s="100"/>
      <c r="N248" s="127"/>
      <c r="O248" s="128"/>
      <c r="P248" s="95"/>
      <c r="Q248" s="137"/>
      <c r="R248" s="129"/>
      <c r="S248" s="95"/>
      <c r="T248" s="95"/>
      <c r="V248" s="107"/>
    </row>
    <row r="249" ht="15.75" customHeight="1">
      <c r="A249" s="89"/>
      <c r="B249" s="182"/>
      <c r="C249" s="149"/>
      <c r="D249" s="95"/>
      <c r="E249" s="149"/>
      <c r="F249" s="149"/>
      <c r="G249" s="95"/>
      <c r="H249" s="149"/>
      <c r="I249" s="95"/>
      <c r="J249" s="95"/>
      <c r="K249" s="156"/>
      <c r="L249" s="156"/>
      <c r="M249" s="100"/>
      <c r="N249" s="127"/>
      <c r="O249" s="128"/>
      <c r="P249" s="95"/>
      <c r="Q249" s="137"/>
      <c r="R249" s="129"/>
      <c r="S249" s="95"/>
      <c r="T249" s="95"/>
      <c r="V249" s="107"/>
    </row>
    <row r="250" ht="15.75" customHeight="1">
      <c r="A250" s="89"/>
      <c r="B250" s="182"/>
      <c r="C250" s="149"/>
      <c r="D250" s="95"/>
      <c r="E250" s="149"/>
      <c r="F250" s="149"/>
      <c r="G250" s="95"/>
      <c r="H250" s="149"/>
      <c r="I250" s="95"/>
      <c r="J250" s="95"/>
      <c r="K250" s="154"/>
      <c r="L250" s="154"/>
      <c r="M250" s="100"/>
      <c r="N250" s="127"/>
      <c r="O250" s="128"/>
      <c r="P250" s="95"/>
      <c r="Q250" s="137"/>
      <c r="R250" s="129"/>
      <c r="S250" s="95"/>
      <c r="T250" s="95"/>
      <c r="V250" s="107"/>
    </row>
    <row r="251" ht="15.75" customHeight="1">
      <c r="A251" s="89"/>
      <c r="B251" s="182"/>
      <c r="C251" s="149"/>
      <c r="D251" s="95"/>
      <c r="E251" s="149"/>
      <c r="F251" s="149"/>
      <c r="G251" s="95"/>
      <c r="H251" s="149"/>
      <c r="I251" s="95"/>
      <c r="J251" s="95"/>
      <c r="K251" s="156"/>
      <c r="L251" s="156"/>
      <c r="M251" s="100"/>
      <c r="N251" s="127"/>
      <c r="O251" s="128"/>
      <c r="P251" s="95"/>
      <c r="Q251" s="137"/>
      <c r="R251" s="129"/>
      <c r="S251" s="95"/>
      <c r="T251" s="95"/>
      <c r="V251" s="107"/>
    </row>
    <row r="252" ht="15.75" customHeight="1">
      <c r="A252" s="89"/>
      <c r="B252" s="182"/>
      <c r="C252" s="149"/>
      <c r="D252" s="95"/>
      <c r="E252" s="149"/>
      <c r="F252" s="149"/>
      <c r="G252" s="95"/>
      <c r="H252" s="149"/>
      <c r="I252" s="95"/>
      <c r="J252" s="95"/>
      <c r="K252" s="154"/>
      <c r="L252" s="154"/>
      <c r="M252" s="100"/>
      <c r="N252" s="127"/>
      <c r="O252" s="128"/>
      <c r="P252" s="95"/>
      <c r="Q252" s="137"/>
      <c r="R252" s="129"/>
      <c r="S252" s="95"/>
      <c r="T252" s="95"/>
      <c r="V252" s="107"/>
    </row>
    <row r="253" ht="15.75" customHeight="1">
      <c r="A253" s="89"/>
      <c r="B253" s="182"/>
      <c r="C253" s="107"/>
      <c r="D253" s="95"/>
      <c r="E253" s="149"/>
      <c r="F253" s="149"/>
      <c r="G253" s="95"/>
      <c r="H253" s="149"/>
      <c r="I253" s="95"/>
      <c r="J253" s="95"/>
      <c r="K253" s="156"/>
      <c r="L253" s="156"/>
      <c r="M253" s="100"/>
      <c r="N253" s="127"/>
      <c r="O253" s="128"/>
      <c r="P253" s="95"/>
      <c r="Q253" s="137"/>
      <c r="R253" s="129"/>
      <c r="S253" s="95"/>
      <c r="T253" s="95"/>
      <c r="V253" s="107"/>
    </row>
    <row r="254" ht="15.75" customHeight="1">
      <c r="A254" s="89"/>
      <c r="B254" s="182"/>
      <c r="C254" s="149"/>
      <c r="D254" s="95"/>
      <c r="E254" s="149"/>
      <c r="F254" s="149"/>
      <c r="G254" s="95"/>
      <c r="H254" s="149"/>
      <c r="I254" s="95"/>
      <c r="J254" s="95"/>
      <c r="K254" s="154"/>
      <c r="L254" s="154"/>
      <c r="M254" s="100"/>
      <c r="N254" s="127"/>
      <c r="O254" s="128"/>
      <c r="P254" s="95"/>
      <c r="Q254" s="137"/>
      <c r="R254" s="129"/>
      <c r="S254" s="95"/>
      <c r="T254" s="95"/>
      <c r="V254" s="107"/>
    </row>
    <row r="255" ht="15.75" customHeight="1">
      <c r="A255" s="89"/>
      <c r="B255" s="182"/>
      <c r="C255" s="149"/>
      <c r="D255" s="95"/>
      <c r="E255" s="149"/>
      <c r="F255" s="149"/>
      <c r="G255" s="95"/>
      <c r="H255" s="149"/>
      <c r="I255" s="95"/>
      <c r="J255" s="95"/>
      <c r="K255" s="156"/>
      <c r="L255" s="156"/>
      <c r="M255" s="100"/>
      <c r="N255" s="127"/>
      <c r="O255" s="128"/>
      <c r="P255" s="95"/>
      <c r="Q255" s="137"/>
      <c r="R255" s="129"/>
      <c r="S255" s="95"/>
      <c r="T255" s="95"/>
      <c r="V255" s="107"/>
    </row>
    <row r="256" ht="15.75" customHeight="1">
      <c r="A256" s="89"/>
      <c r="B256" s="182"/>
      <c r="C256" s="149"/>
      <c r="D256" s="95"/>
      <c r="E256" s="149"/>
      <c r="F256" s="149"/>
      <c r="G256" s="95"/>
      <c r="H256" s="149"/>
      <c r="I256" s="95"/>
      <c r="J256" s="95"/>
      <c r="K256" s="154"/>
      <c r="L256" s="154"/>
      <c r="M256" s="100"/>
      <c r="N256" s="127"/>
      <c r="O256" s="128"/>
      <c r="P256" s="95"/>
      <c r="Q256" s="137"/>
      <c r="R256" s="129"/>
      <c r="S256" s="95"/>
      <c r="T256" s="95"/>
      <c r="V256" s="107"/>
    </row>
    <row r="257" ht="15.75" customHeight="1">
      <c r="A257" s="89"/>
      <c r="B257" s="182"/>
      <c r="C257" s="149"/>
      <c r="D257" s="95"/>
      <c r="E257" s="149"/>
      <c r="F257" s="149"/>
      <c r="G257" s="95"/>
      <c r="H257" s="149"/>
      <c r="I257" s="95"/>
      <c r="J257" s="95"/>
      <c r="K257" s="156"/>
      <c r="L257" s="156"/>
      <c r="M257" s="100"/>
      <c r="N257" s="127"/>
      <c r="O257" s="128"/>
      <c r="P257" s="95"/>
      <c r="Q257" s="137"/>
      <c r="R257" s="129"/>
      <c r="S257" s="95"/>
      <c r="T257" s="95"/>
      <c r="V257" s="107"/>
    </row>
    <row r="258" ht="15.75" customHeight="1">
      <c r="A258" s="89"/>
      <c r="B258" s="182"/>
      <c r="C258" s="149"/>
      <c r="D258" s="95"/>
      <c r="E258" s="149"/>
      <c r="F258" s="149"/>
      <c r="G258" s="95"/>
      <c r="H258" s="149"/>
      <c r="I258" s="95"/>
      <c r="J258" s="95"/>
      <c r="K258" s="154"/>
      <c r="L258" s="154"/>
      <c r="M258" s="100"/>
      <c r="N258" s="127"/>
      <c r="O258" s="128"/>
      <c r="P258" s="95"/>
      <c r="Q258" s="137"/>
      <c r="R258" s="129"/>
      <c r="S258" s="95"/>
      <c r="T258" s="95"/>
      <c r="V258" s="107"/>
    </row>
    <row r="259" ht="15.75" customHeight="1">
      <c r="A259" s="89"/>
      <c r="B259" s="182"/>
      <c r="C259" s="107"/>
      <c r="D259" s="95"/>
      <c r="E259" s="149"/>
      <c r="F259" s="149"/>
      <c r="G259" s="95"/>
      <c r="H259" s="149"/>
      <c r="I259" s="95"/>
      <c r="J259" s="95"/>
      <c r="K259" s="156"/>
      <c r="L259" s="156"/>
      <c r="M259" s="100"/>
      <c r="N259" s="127"/>
      <c r="O259" s="128"/>
      <c r="P259" s="95"/>
      <c r="Q259" s="137"/>
      <c r="R259" s="129"/>
      <c r="S259" s="95"/>
      <c r="T259" s="95"/>
      <c r="V259" s="107"/>
    </row>
    <row r="260" ht="15.75" customHeight="1">
      <c r="A260" s="89"/>
      <c r="B260" s="182"/>
      <c r="C260" s="149"/>
      <c r="D260" s="95"/>
      <c r="E260" s="149"/>
      <c r="F260" s="149"/>
      <c r="G260" s="95"/>
      <c r="H260" s="149"/>
      <c r="I260" s="95"/>
      <c r="J260" s="95"/>
      <c r="K260" s="154"/>
      <c r="L260" s="154"/>
      <c r="M260" s="100"/>
      <c r="N260" s="127"/>
      <c r="O260" s="128"/>
      <c r="P260" s="95"/>
      <c r="Q260" s="137"/>
      <c r="R260" s="129"/>
      <c r="S260" s="95"/>
      <c r="T260" s="95"/>
      <c r="V260" s="107"/>
    </row>
    <row r="261" ht="15.75" customHeight="1">
      <c r="A261" s="89"/>
      <c r="B261" s="182"/>
      <c r="C261" s="149"/>
      <c r="D261" s="95"/>
      <c r="E261" s="149"/>
      <c r="F261" s="149"/>
      <c r="G261" s="95"/>
      <c r="H261" s="149"/>
      <c r="I261" s="95"/>
      <c r="J261" s="95"/>
      <c r="K261" s="156"/>
      <c r="L261" s="156"/>
      <c r="M261" s="100"/>
      <c r="N261" s="127"/>
      <c r="O261" s="128"/>
      <c r="P261" s="95"/>
      <c r="Q261" s="137"/>
      <c r="R261" s="129"/>
      <c r="S261" s="95"/>
      <c r="T261" s="95"/>
      <c r="V261" s="107"/>
    </row>
    <row r="262" ht="15.75" customHeight="1">
      <c r="A262" s="89"/>
      <c r="B262" s="182"/>
      <c r="C262" s="149"/>
      <c r="D262" s="95"/>
      <c r="E262" s="149"/>
      <c r="F262" s="149"/>
      <c r="G262" s="95"/>
      <c r="H262" s="149"/>
      <c r="I262" s="95"/>
      <c r="J262" s="95"/>
      <c r="K262" s="154"/>
      <c r="L262" s="154"/>
      <c r="M262" s="100"/>
      <c r="N262" s="127"/>
      <c r="O262" s="128"/>
      <c r="P262" s="95"/>
      <c r="Q262" s="137"/>
      <c r="R262" s="129"/>
      <c r="S262" s="95"/>
      <c r="T262" s="95"/>
      <c r="V262" s="107"/>
    </row>
    <row r="263" ht="15.75" customHeight="1">
      <c r="A263" s="89"/>
      <c r="B263" s="182"/>
      <c r="C263" s="149"/>
      <c r="D263" s="95"/>
      <c r="E263" s="149"/>
      <c r="F263" s="149"/>
      <c r="G263" s="95"/>
      <c r="H263" s="149"/>
      <c r="I263" s="95"/>
      <c r="J263" s="95"/>
      <c r="K263" s="156"/>
      <c r="L263" s="156"/>
      <c r="M263" s="100"/>
      <c r="N263" s="127"/>
      <c r="O263" s="128"/>
      <c r="P263" s="95"/>
      <c r="Q263" s="137"/>
      <c r="R263" s="129"/>
      <c r="S263" s="95"/>
      <c r="T263" s="95"/>
      <c r="V263" s="107"/>
    </row>
    <row r="264" ht="15.75" customHeight="1">
      <c r="A264" s="89"/>
      <c r="B264" s="182"/>
      <c r="C264" s="149"/>
      <c r="D264" s="95"/>
      <c r="E264" s="149"/>
      <c r="F264" s="149"/>
      <c r="G264" s="95"/>
      <c r="H264" s="149"/>
      <c r="I264" s="95"/>
      <c r="J264" s="95"/>
      <c r="K264" s="154"/>
      <c r="L264" s="154"/>
      <c r="M264" s="100"/>
      <c r="N264" s="127"/>
      <c r="O264" s="128"/>
      <c r="P264" s="95"/>
      <c r="Q264" s="137"/>
      <c r="R264" s="129"/>
      <c r="S264" s="95"/>
      <c r="T264" s="95"/>
      <c r="V264" s="107"/>
    </row>
    <row r="265" ht="15.75" customHeight="1">
      <c r="A265" s="89"/>
      <c r="B265" s="182"/>
      <c r="C265" s="107"/>
      <c r="D265" s="95"/>
      <c r="E265" s="149"/>
      <c r="F265" s="149"/>
      <c r="G265" s="95"/>
      <c r="H265" s="149"/>
      <c r="I265" s="95"/>
      <c r="J265" s="95"/>
      <c r="K265" s="156"/>
      <c r="L265" s="156"/>
      <c r="M265" s="100"/>
      <c r="N265" s="127"/>
      <c r="O265" s="128"/>
      <c r="P265" s="95"/>
      <c r="Q265" s="137"/>
      <c r="R265" s="129"/>
      <c r="S265" s="95"/>
      <c r="T265" s="95"/>
      <c r="V265" s="107"/>
    </row>
    <row r="266" ht="15.75" customHeight="1">
      <c r="A266" s="89"/>
      <c r="B266" s="182"/>
      <c r="C266" s="149"/>
      <c r="D266" s="95"/>
      <c r="E266" s="149"/>
      <c r="F266" s="149"/>
      <c r="G266" s="95"/>
      <c r="H266" s="149"/>
      <c r="I266" s="95"/>
      <c r="J266" s="95"/>
      <c r="K266" s="154"/>
      <c r="L266" s="154"/>
      <c r="M266" s="100"/>
      <c r="N266" s="127"/>
      <c r="O266" s="128"/>
      <c r="P266" s="95"/>
      <c r="Q266" s="137"/>
      <c r="R266" s="129"/>
      <c r="S266" s="95"/>
      <c r="T266" s="95"/>
      <c r="V266" s="107"/>
    </row>
    <row r="267" ht="15.75" customHeight="1">
      <c r="A267" s="89"/>
      <c r="B267" s="182"/>
      <c r="C267" s="149"/>
      <c r="D267" s="95"/>
      <c r="E267" s="149"/>
      <c r="F267" s="149"/>
      <c r="G267" s="95"/>
      <c r="H267" s="149"/>
      <c r="I267" s="95"/>
      <c r="J267" s="95"/>
      <c r="K267" s="156"/>
      <c r="L267" s="156"/>
      <c r="M267" s="100"/>
      <c r="N267" s="127"/>
      <c r="O267" s="128"/>
      <c r="P267" s="95"/>
      <c r="Q267" s="137"/>
      <c r="R267" s="129"/>
      <c r="S267" s="95"/>
      <c r="T267" s="95"/>
      <c r="V267" s="107"/>
    </row>
    <row r="268" ht="15.75" customHeight="1">
      <c r="A268" s="89"/>
      <c r="B268" s="182"/>
      <c r="C268" s="149"/>
      <c r="D268" s="95"/>
      <c r="E268" s="149"/>
      <c r="F268" s="149"/>
      <c r="G268" s="95"/>
      <c r="H268" s="149"/>
      <c r="I268" s="95"/>
      <c r="J268" s="95"/>
      <c r="K268" s="154"/>
      <c r="L268" s="154"/>
      <c r="M268" s="100"/>
      <c r="N268" s="127"/>
      <c r="O268" s="128"/>
      <c r="P268" s="95"/>
      <c r="Q268" s="137"/>
      <c r="R268" s="129"/>
      <c r="S268" s="95"/>
      <c r="T268" s="95"/>
      <c r="V268" s="107"/>
    </row>
    <row r="269" ht="15.75" customHeight="1">
      <c r="A269" s="89"/>
      <c r="B269" s="182"/>
      <c r="C269" s="149"/>
      <c r="D269" s="95"/>
      <c r="E269" s="149"/>
      <c r="F269" s="149"/>
      <c r="G269" s="95"/>
      <c r="H269" s="149"/>
      <c r="I269" s="95"/>
      <c r="J269" s="95"/>
      <c r="K269" s="156"/>
      <c r="L269" s="156"/>
      <c r="M269" s="100"/>
      <c r="N269" s="127"/>
      <c r="O269" s="128"/>
      <c r="P269" s="95"/>
      <c r="Q269" s="137"/>
      <c r="R269" s="129"/>
      <c r="S269" s="95"/>
      <c r="T269" s="95"/>
      <c r="V269" s="107"/>
    </row>
    <row r="270" ht="15.75" customHeight="1">
      <c r="A270" s="89"/>
      <c r="B270" s="182"/>
      <c r="C270" s="149"/>
      <c r="D270" s="95"/>
      <c r="E270" s="149"/>
      <c r="F270" s="149"/>
      <c r="G270" s="95"/>
      <c r="H270" s="149"/>
      <c r="I270" s="95"/>
      <c r="J270" s="95"/>
      <c r="K270" s="154"/>
      <c r="L270" s="154"/>
      <c r="M270" s="100"/>
      <c r="N270" s="127"/>
      <c r="O270" s="128"/>
      <c r="P270" s="95"/>
      <c r="Q270" s="137"/>
      <c r="R270" s="129"/>
      <c r="S270" s="95"/>
      <c r="T270" s="95"/>
      <c r="V270" s="107"/>
    </row>
    <row r="271" ht="15.75" customHeight="1">
      <c r="A271" s="89"/>
      <c r="B271" s="182"/>
      <c r="C271" s="107"/>
      <c r="D271" s="95"/>
      <c r="E271" s="149"/>
      <c r="F271" s="149"/>
      <c r="G271" s="95"/>
      <c r="H271" s="149"/>
      <c r="I271" s="95"/>
      <c r="J271" s="95"/>
      <c r="K271" s="156"/>
      <c r="L271" s="156"/>
      <c r="M271" s="100"/>
      <c r="N271" s="127"/>
      <c r="O271" s="128"/>
      <c r="P271" s="95"/>
      <c r="Q271" s="137"/>
      <c r="R271" s="129"/>
      <c r="S271" s="95"/>
      <c r="T271" s="95"/>
      <c r="V271" s="107"/>
    </row>
    <row r="272" ht="15.75" customHeight="1">
      <c r="A272" s="89"/>
      <c r="B272" s="182"/>
      <c r="C272" s="149"/>
      <c r="D272" s="95"/>
      <c r="E272" s="149"/>
      <c r="F272" s="149"/>
      <c r="G272" s="95"/>
      <c r="H272" s="149"/>
      <c r="I272" s="95"/>
      <c r="J272" s="95"/>
      <c r="K272" s="154"/>
      <c r="L272" s="154"/>
      <c r="M272" s="100"/>
      <c r="N272" s="127"/>
      <c r="O272" s="128"/>
      <c r="P272" s="95"/>
      <c r="Q272" s="137"/>
      <c r="R272" s="129"/>
      <c r="S272" s="95"/>
      <c r="T272" s="95"/>
      <c r="V272" s="107"/>
    </row>
    <row r="273" ht="15.75" customHeight="1">
      <c r="A273" s="89"/>
      <c r="B273" s="182"/>
      <c r="C273" s="149"/>
      <c r="D273" s="95"/>
      <c r="E273" s="149"/>
      <c r="F273" s="149"/>
      <c r="G273" s="95"/>
      <c r="H273" s="149"/>
      <c r="I273" s="95"/>
      <c r="J273" s="95"/>
      <c r="K273" s="156"/>
      <c r="L273" s="156"/>
      <c r="M273" s="100"/>
      <c r="N273" s="127"/>
      <c r="O273" s="128"/>
      <c r="P273" s="95"/>
      <c r="Q273" s="137"/>
      <c r="R273" s="129"/>
      <c r="S273" s="95"/>
      <c r="T273" s="95"/>
      <c r="V273" s="107"/>
    </row>
    <row r="274" ht="15.75" customHeight="1">
      <c r="A274" s="89"/>
      <c r="B274" s="182"/>
      <c r="C274" s="149"/>
      <c r="D274" s="95"/>
      <c r="E274" s="149"/>
      <c r="F274" s="149"/>
      <c r="G274" s="95"/>
      <c r="H274" s="149"/>
      <c r="I274" s="95"/>
      <c r="J274" s="95"/>
      <c r="K274" s="154"/>
      <c r="L274" s="154"/>
      <c r="M274" s="100"/>
      <c r="N274" s="127"/>
      <c r="O274" s="128"/>
      <c r="P274" s="95"/>
      <c r="Q274" s="137"/>
      <c r="R274" s="129"/>
      <c r="S274" s="95"/>
      <c r="T274" s="95"/>
      <c r="V274" s="107"/>
    </row>
    <row r="275" ht="15.75" customHeight="1">
      <c r="A275" s="89"/>
      <c r="B275" s="182"/>
      <c r="C275" s="149"/>
      <c r="D275" s="95"/>
      <c r="E275" s="149"/>
      <c r="F275" s="149"/>
      <c r="G275" s="95"/>
      <c r="H275" s="149"/>
      <c r="I275" s="95"/>
      <c r="J275" s="95"/>
      <c r="K275" s="156"/>
      <c r="L275" s="156"/>
      <c r="M275" s="100"/>
      <c r="N275" s="127"/>
      <c r="O275" s="128"/>
      <c r="P275" s="95"/>
      <c r="Q275" s="137"/>
      <c r="R275" s="129"/>
      <c r="S275" s="95"/>
      <c r="T275" s="95"/>
      <c r="V275" s="107"/>
    </row>
    <row r="276" ht="15.75" customHeight="1">
      <c r="A276" s="89"/>
      <c r="B276" s="182"/>
      <c r="C276" s="149"/>
      <c r="D276" s="95"/>
      <c r="E276" s="149"/>
      <c r="F276" s="149"/>
      <c r="G276" s="95"/>
      <c r="H276" s="149"/>
      <c r="I276" s="95"/>
      <c r="J276" s="95"/>
      <c r="K276" s="154"/>
      <c r="L276" s="154"/>
      <c r="M276" s="100"/>
      <c r="N276" s="127"/>
      <c r="O276" s="128"/>
      <c r="P276" s="95"/>
      <c r="Q276" s="137"/>
      <c r="R276" s="129"/>
      <c r="S276" s="95"/>
      <c r="T276" s="95"/>
      <c r="V276" s="107"/>
    </row>
    <row r="277" ht="15.75" customHeight="1">
      <c r="A277" s="89"/>
      <c r="B277" s="182"/>
      <c r="C277" s="107"/>
      <c r="D277" s="95"/>
      <c r="E277" s="149"/>
      <c r="F277" s="149"/>
      <c r="G277" s="95"/>
      <c r="H277" s="149"/>
      <c r="I277" s="95"/>
      <c r="J277" s="95"/>
      <c r="K277" s="156"/>
      <c r="L277" s="156"/>
      <c r="M277" s="100"/>
      <c r="N277" s="127"/>
      <c r="O277" s="128"/>
      <c r="P277" s="95"/>
      <c r="Q277" s="137"/>
      <c r="R277" s="129"/>
      <c r="S277" s="95"/>
      <c r="T277" s="95"/>
      <c r="V277" s="107"/>
    </row>
    <row r="278" ht="15.75" customHeight="1">
      <c r="A278" s="89"/>
      <c r="B278" s="182"/>
      <c r="C278" s="149"/>
      <c r="D278" s="95"/>
      <c r="E278" s="149"/>
      <c r="F278" s="149"/>
      <c r="G278" s="95"/>
      <c r="H278" s="149"/>
      <c r="I278" s="95"/>
      <c r="J278" s="95"/>
      <c r="K278" s="154"/>
      <c r="L278" s="154"/>
      <c r="M278" s="100"/>
      <c r="N278" s="127"/>
      <c r="O278" s="128"/>
      <c r="P278" s="95"/>
      <c r="Q278" s="137"/>
      <c r="R278" s="129"/>
      <c r="S278" s="95"/>
      <c r="T278" s="95"/>
      <c r="V278" s="107"/>
    </row>
    <row r="279" ht="15.75" customHeight="1">
      <c r="A279" s="89"/>
      <c r="B279" s="182"/>
      <c r="C279" s="149"/>
      <c r="D279" s="95"/>
      <c r="E279" s="149"/>
      <c r="F279" s="149"/>
      <c r="G279" s="95"/>
      <c r="H279" s="149"/>
      <c r="I279" s="95"/>
      <c r="J279" s="95"/>
      <c r="K279" s="156"/>
      <c r="L279" s="156"/>
      <c r="M279" s="100"/>
      <c r="N279" s="127"/>
      <c r="O279" s="128"/>
      <c r="P279" s="95"/>
      <c r="Q279" s="137"/>
      <c r="R279" s="129"/>
      <c r="S279" s="95"/>
      <c r="T279" s="95"/>
      <c r="V279" s="107"/>
    </row>
    <row r="280" ht="15.75" customHeight="1">
      <c r="A280" s="89"/>
      <c r="B280" s="182"/>
      <c r="C280" s="149"/>
      <c r="D280" s="95"/>
      <c r="E280" s="149"/>
      <c r="F280" s="149"/>
      <c r="G280" s="95"/>
      <c r="H280" s="149"/>
      <c r="I280" s="95"/>
      <c r="J280" s="95"/>
      <c r="K280" s="154"/>
      <c r="L280" s="154"/>
      <c r="M280" s="100"/>
      <c r="N280" s="127"/>
      <c r="O280" s="128"/>
      <c r="P280" s="95"/>
      <c r="Q280" s="137"/>
      <c r="R280" s="129"/>
      <c r="S280" s="95"/>
      <c r="T280" s="95"/>
      <c r="V280" s="107"/>
    </row>
    <row r="281" ht="15.75" customHeight="1">
      <c r="A281" s="89"/>
      <c r="B281" s="182"/>
      <c r="C281" s="149"/>
      <c r="D281" s="95"/>
      <c r="E281" s="149"/>
      <c r="F281" s="149"/>
      <c r="G281" s="95"/>
      <c r="H281" s="149"/>
      <c r="I281" s="95"/>
      <c r="J281" s="95"/>
      <c r="K281" s="156"/>
      <c r="L281" s="156"/>
      <c r="M281" s="100"/>
      <c r="N281" s="127"/>
      <c r="O281" s="128"/>
      <c r="P281" s="95"/>
      <c r="Q281" s="137"/>
      <c r="R281" s="129"/>
      <c r="S281" s="95"/>
      <c r="T281" s="95"/>
      <c r="V281" s="107"/>
    </row>
    <row r="282" ht="15.75" customHeight="1">
      <c r="A282" s="89"/>
      <c r="B282" s="182"/>
      <c r="C282" s="149"/>
      <c r="D282" s="95"/>
      <c r="E282" s="149"/>
      <c r="F282" s="149"/>
      <c r="G282" s="95"/>
      <c r="H282" s="149"/>
      <c r="I282" s="95"/>
      <c r="J282" s="95"/>
      <c r="K282" s="154"/>
      <c r="L282" s="154"/>
      <c r="M282" s="100"/>
      <c r="N282" s="127"/>
      <c r="O282" s="128"/>
      <c r="P282" s="95"/>
      <c r="Q282" s="137"/>
      <c r="R282" s="129"/>
      <c r="S282" s="95"/>
      <c r="T282" s="95"/>
      <c r="V282" s="107"/>
    </row>
    <row r="283" ht="15.75" customHeight="1">
      <c r="A283" s="89"/>
      <c r="B283" s="182"/>
      <c r="C283" s="107"/>
      <c r="D283" s="95"/>
      <c r="E283" s="149"/>
      <c r="F283" s="149"/>
      <c r="G283" s="95"/>
      <c r="H283" s="149"/>
      <c r="I283" s="95"/>
      <c r="J283" s="95"/>
      <c r="K283" s="156"/>
      <c r="L283" s="156"/>
      <c r="M283" s="100"/>
      <c r="N283" s="127"/>
      <c r="O283" s="128"/>
      <c r="P283" s="95"/>
      <c r="Q283" s="137"/>
      <c r="R283" s="129"/>
      <c r="S283" s="95"/>
      <c r="T283" s="95"/>
      <c r="V283" s="107"/>
    </row>
    <row r="284" ht="15.75" customHeight="1">
      <c r="A284" s="89"/>
      <c r="B284" s="182"/>
      <c r="C284" s="149"/>
      <c r="D284" s="95"/>
      <c r="E284" s="149"/>
      <c r="F284" s="149"/>
      <c r="G284" s="95"/>
      <c r="H284" s="149"/>
      <c r="I284" s="95"/>
      <c r="J284" s="95"/>
      <c r="K284" s="154"/>
      <c r="L284" s="154"/>
      <c r="M284" s="100"/>
      <c r="N284" s="127"/>
      <c r="O284" s="128"/>
      <c r="P284" s="95"/>
      <c r="Q284" s="137"/>
      <c r="R284" s="129"/>
      <c r="S284" s="95"/>
      <c r="T284" s="95"/>
      <c r="V284" s="107"/>
    </row>
    <row r="285" ht="15.75" customHeight="1">
      <c r="A285" s="89"/>
      <c r="B285" s="182"/>
      <c r="C285" s="149"/>
      <c r="D285" s="95"/>
      <c r="E285" s="149"/>
      <c r="F285" s="149"/>
      <c r="G285" s="95"/>
      <c r="H285" s="149"/>
      <c r="I285" s="95"/>
      <c r="J285" s="95"/>
      <c r="K285" s="156"/>
      <c r="L285" s="156"/>
      <c r="M285" s="100"/>
      <c r="N285" s="127"/>
      <c r="O285" s="128"/>
      <c r="P285" s="95"/>
      <c r="Q285" s="137"/>
      <c r="R285" s="129"/>
      <c r="S285" s="95"/>
      <c r="T285" s="95"/>
      <c r="V285" s="107"/>
    </row>
    <row r="286" ht="15.75" customHeight="1">
      <c r="A286" s="89"/>
      <c r="B286" s="182"/>
      <c r="C286" s="149"/>
      <c r="D286" s="95"/>
      <c r="E286" s="149"/>
      <c r="F286" s="149"/>
      <c r="G286" s="95"/>
      <c r="H286" s="149"/>
      <c r="I286" s="95"/>
      <c r="J286" s="95"/>
      <c r="K286" s="154"/>
      <c r="L286" s="154"/>
      <c r="M286" s="100"/>
      <c r="N286" s="127"/>
      <c r="O286" s="128"/>
      <c r="P286" s="95"/>
      <c r="Q286" s="137"/>
      <c r="R286" s="129"/>
      <c r="S286" s="95"/>
      <c r="T286" s="95"/>
      <c r="V286" s="107"/>
    </row>
    <row r="287" ht="15.75" customHeight="1">
      <c r="A287" s="89"/>
      <c r="B287" s="182"/>
      <c r="C287" s="149"/>
      <c r="D287" s="95"/>
      <c r="E287" s="149"/>
      <c r="F287" s="149"/>
      <c r="G287" s="95"/>
      <c r="H287" s="149"/>
      <c r="I287" s="95"/>
      <c r="J287" s="95"/>
      <c r="K287" s="156"/>
      <c r="L287" s="156"/>
      <c r="M287" s="100"/>
      <c r="N287" s="127"/>
      <c r="O287" s="128"/>
      <c r="P287" s="95"/>
      <c r="Q287" s="137"/>
      <c r="R287" s="129"/>
      <c r="S287" s="95"/>
      <c r="T287" s="95"/>
      <c r="V287" s="107"/>
    </row>
    <row r="288" ht="15.75" customHeight="1">
      <c r="A288" s="89"/>
      <c r="B288" s="182"/>
      <c r="C288" s="149"/>
      <c r="D288" s="95"/>
      <c r="E288" s="149"/>
      <c r="F288" s="149"/>
      <c r="G288" s="95"/>
      <c r="H288" s="149"/>
      <c r="I288" s="95"/>
      <c r="J288" s="95"/>
      <c r="K288" s="154"/>
      <c r="L288" s="154"/>
      <c r="M288" s="100"/>
      <c r="N288" s="127"/>
      <c r="O288" s="128"/>
      <c r="P288" s="95"/>
      <c r="Q288" s="137"/>
      <c r="R288" s="129"/>
      <c r="S288" s="95"/>
      <c r="T288" s="95"/>
      <c r="V288" s="107"/>
    </row>
    <row r="289" ht="15.75" customHeight="1">
      <c r="A289" s="89"/>
      <c r="B289" s="182"/>
      <c r="C289" s="107"/>
      <c r="D289" s="95"/>
      <c r="E289" s="149"/>
      <c r="F289" s="149"/>
      <c r="G289" s="95"/>
      <c r="H289" s="149"/>
      <c r="I289" s="95"/>
      <c r="J289" s="95"/>
      <c r="K289" s="156"/>
      <c r="L289" s="156"/>
      <c r="M289" s="100"/>
      <c r="N289" s="127"/>
      <c r="O289" s="128"/>
      <c r="P289" s="95"/>
      <c r="Q289" s="137"/>
      <c r="R289" s="129"/>
      <c r="S289" s="95"/>
      <c r="T289" s="95"/>
      <c r="V289" s="107"/>
    </row>
    <row r="290" ht="15.75" customHeight="1">
      <c r="A290" s="89"/>
      <c r="B290" s="182"/>
      <c r="C290" s="149"/>
      <c r="D290" s="95"/>
      <c r="E290" s="149"/>
      <c r="F290" s="149"/>
      <c r="G290" s="95"/>
      <c r="H290" s="149"/>
      <c r="I290" s="95"/>
      <c r="J290" s="95"/>
      <c r="K290" s="154"/>
      <c r="L290" s="154"/>
      <c r="M290" s="100"/>
      <c r="N290" s="127"/>
      <c r="O290" s="128"/>
      <c r="P290" s="95"/>
      <c r="Q290" s="137"/>
      <c r="R290" s="129"/>
      <c r="S290" s="95"/>
      <c r="T290" s="95"/>
      <c r="V290" s="107"/>
    </row>
    <row r="291" ht="15.75" customHeight="1">
      <c r="A291" s="89"/>
      <c r="B291" s="182"/>
      <c r="C291" s="149"/>
      <c r="D291" s="95"/>
      <c r="E291" s="149"/>
      <c r="F291" s="149"/>
      <c r="G291" s="95"/>
      <c r="H291" s="149"/>
      <c r="I291" s="95"/>
      <c r="J291" s="95"/>
      <c r="K291" s="156"/>
      <c r="L291" s="156"/>
      <c r="M291" s="100"/>
      <c r="N291" s="127"/>
      <c r="O291" s="128"/>
      <c r="P291" s="95"/>
      <c r="Q291" s="137"/>
      <c r="R291" s="129"/>
      <c r="S291" s="95"/>
      <c r="T291" s="95"/>
      <c r="V291" s="107"/>
    </row>
    <row r="292" ht="15.75" customHeight="1">
      <c r="A292" s="89"/>
      <c r="B292" s="182"/>
      <c r="C292" s="149"/>
      <c r="D292" s="95"/>
      <c r="E292" s="149"/>
      <c r="F292" s="149"/>
      <c r="G292" s="95"/>
      <c r="H292" s="149"/>
      <c r="I292" s="95"/>
      <c r="J292" s="95"/>
      <c r="K292" s="154"/>
      <c r="L292" s="154"/>
      <c r="M292" s="100"/>
      <c r="N292" s="127"/>
      <c r="O292" s="128"/>
      <c r="P292" s="95"/>
      <c r="Q292" s="137"/>
      <c r="R292" s="129"/>
      <c r="S292" s="95"/>
      <c r="T292" s="95"/>
      <c r="V292" s="107"/>
    </row>
    <row r="293" ht="15.75" customHeight="1">
      <c r="A293" s="89"/>
      <c r="B293" s="182"/>
      <c r="C293" s="149"/>
      <c r="D293" s="95"/>
      <c r="E293" s="149"/>
      <c r="F293" s="149"/>
      <c r="G293" s="95"/>
      <c r="H293" s="149"/>
      <c r="I293" s="95"/>
      <c r="J293" s="95"/>
      <c r="K293" s="156"/>
      <c r="L293" s="156"/>
      <c r="M293" s="100"/>
      <c r="N293" s="127"/>
      <c r="O293" s="128"/>
      <c r="P293" s="95"/>
      <c r="Q293" s="137"/>
      <c r="R293" s="129"/>
      <c r="S293" s="95"/>
      <c r="T293" s="95"/>
      <c r="V293" s="107"/>
    </row>
    <row r="294" ht="15.75" customHeight="1">
      <c r="A294" s="89"/>
      <c r="B294" s="182"/>
      <c r="C294" s="149"/>
      <c r="D294" s="95"/>
      <c r="E294" s="149"/>
      <c r="F294" s="149"/>
      <c r="G294" s="95"/>
      <c r="H294" s="149"/>
      <c r="I294" s="95"/>
      <c r="J294" s="95"/>
      <c r="K294" s="154"/>
      <c r="L294" s="154"/>
      <c r="M294" s="100"/>
      <c r="N294" s="127"/>
      <c r="O294" s="128"/>
      <c r="P294" s="95"/>
      <c r="Q294" s="137"/>
      <c r="R294" s="129"/>
      <c r="S294" s="95"/>
      <c r="T294" s="95"/>
      <c r="V294" s="107"/>
    </row>
    <row r="295" ht="15.75" customHeight="1">
      <c r="A295" s="89"/>
      <c r="B295" s="182"/>
      <c r="C295" s="107"/>
      <c r="D295" s="95"/>
      <c r="E295" s="149"/>
      <c r="F295" s="149"/>
      <c r="G295" s="95"/>
      <c r="H295" s="149"/>
      <c r="I295" s="95"/>
      <c r="J295" s="95"/>
      <c r="K295" s="156"/>
      <c r="L295" s="156"/>
      <c r="M295" s="100"/>
      <c r="N295" s="127"/>
      <c r="O295" s="128"/>
      <c r="P295" s="95"/>
      <c r="Q295" s="137"/>
      <c r="R295" s="129"/>
      <c r="S295" s="95"/>
      <c r="T295" s="95"/>
      <c r="V295" s="107"/>
    </row>
    <row r="296" ht="15.75" customHeight="1">
      <c r="A296" s="89"/>
      <c r="B296" s="182"/>
      <c r="C296" s="149"/>
      <c r="D296" s="95"/>
      <c r="E296" s="149"/>
      <c r="F296" s="149"/>
      <c r="G296" s="95"/>
      <c r="H296" s="149"/>
      <c r="I296" s="95"/>
      <c r="J296" s="95"/>
      <c r="K296" s="154"/>
      <c r="L296" s="154"/>
      <c r="M296" s="100"/>
      <c r="N296" s="127"/>
      <c r="O296" s="128"/>
      <c r="P296" s="95"/>
      <c r="Q296" s="137"/>
      <c r="R296" s="129"/>
      <c r="S296" s="95"/>
      <c r="T296" s="95"/>
      <c r="V296" s="107"/>
    </row>
    <row r="297" ht="15.75" customHeight="1">
      <c r="A297" s="89"/>
      <c r="B297" s="182"/>
      <c r="C297" s="149"/>
      <c r="D297" s="95"/>
      <c r="E297" s="149"/>
      <c r="F297" s="149"/>
      <c r="G297" s="95"/>
      <c r="H297" s="149"/>
      <c r="I297" s="95"/>
      <c r="J297" s="95"/>
      <c r="K297" s="156"/>
      <c r="L297" s="156"/>
      <c r="M297" s="100"/>
      <c r="N297" s="127"/>
      <c r="O297" s="128"/>
      <c r="P297" s="95"/>
      <c r="Q297" s="137"/>
      <c r="R297" s="129"/>
      <c r="S297" s="95"/>
      <c r="T297" s="95"/>
      <c r="V297" s="107"/>
    </row>
    <row r="298" ht="15.75" customHeight="1">
      <c r="A298" s="89"/>
      <c r="B298" s="182"/>
      <c r="C298" s="149"/>
      <c r="D298" s="95"/>
      <c r="E298" s="149"/>
      <c r="F298" s="149"/>
      <c r="G298" s="95"/>
      <c r="H298" s="149"/>
      <c r="I298" s="95"/>
      <c r="J298" s="95"/>
      <c r="K298" s="154"/>
      <c r="L298" s="154"/>
      <c r="M298" s="100"/>
      <c r="N298" s="127"/>
      <c r="O298" s="128"/>
      <c r="P298" s="95"/>
      <c r="Q298" s="137"/>
      <c r="R298" s="129"/>
      <c r="S298" s="95"/>
      <c r="T298" s="95"/>
      <c r="V298" s="107"/>
    </row>
    <row r="299" ht="15.75" customHeight="1">
      <c r="A299" s="89"/>
      <c r="B299" s="182"/>
      <c r="C299" s="149"/>
      <c r="D299" s="95"/>
      <c r="E299" s="149"/>
      <c r="F299" s="149"/>
      <c r="G299" s="95"/>
      <c r="H299" s="149"/>
      <c r="I299" s="95"/>
      <c r="J299" s="95"/>
      <c r="K299" s="156"/>
      <c r="L299" s="156"/>
      <c r="M299" s="100"/>
      <c r="N299" s="127"/>
      <c r="O299" s="128"/>
      <c r="P299" s="95"/>
      <c r="Q299" s="137"/>
      <c r="R299" s="129"/>
      <c r="S299" s="95"/>
      <c r="T299" s="95"/>
      <c r="V299" s="107"/>
    </row>
    <row r="300" ht="15.75" customHeight="1">
      <c r="A300" s="89"/>
      <c r="B300" s="182"/>
      <c r="C300" s="149"/>
      <c r="D300" s="95"/>
      <c r="E300" s="149"/>
      <c r="F300" s="149"/>
      <c r="G300" s="95"/>
      <c r="H300" s="149"/>
      <c r="I300" s="95"/>
      <c r="J300" s="95"/>
      <c r="K300" s="154"/>
      <c r="L300" s="154"/>
      <c r="M300" s="100"/>
      <c r="N300" s="127"/>
      <c r="O300" s="128"/>
      <c r="P300" s="95"/>
      <c r="Q300" s="137"/>
      <c r="R300" s="129"/>
      <c r="S300" s="95"/>
      <c r="T300" s="95"/>
      <c r="V300" s="107"/>
    </row>
    <row r="301" ht="15.75" customHeight="1">
      <c r="A301" s="89"/>
      <c r="B301" s="182"/>
      <c r="C301" s="107"/>
      <c r="D301" s="95"/>
      <c r="E301" s="149"/>
      <c r="F301" s="149"/>
      <c r="G301" s="95"/>
      <c r="H301" s="149"/>
      <c r="I301" s="95"/>
      <c r="J301" s="95"/>
      <c r="K301" s="156"/>
      <c r="L301" s="156"/>
      <c r="M301" s="100"/>
      <c r="N301" s="127"/>
      <c r="O301" s="128"/>
      <c r="P301" s="95"/>
      <c r="Q301" s="137"/>
      <c r="R301" s="129"/>
      <c r="S301" s="95"/>
      <c r="T301" s="95"/>
      <c r="V301" s="107"/>
    </row>
    <row r="302" ht="15.75" customHeight="1">
      <c r="A302" s="89"/>
      <c r="B302" s="182"/>
      <c r="C302" s="149"/>
      <c r="D302" s="95"/>
      <c r="E302" s="149"/>
      <c r="F302" s="149"/>
      <c r="G302" s="95"/>
      <c r="H302" s="149"/>
      <c r="I302" s="95"/>
      <c r="J302" s="95"/>
      <c r="K302" s="154"/>
      <c r="L302" s="154"/>
      <c r="M302" s="100"/>
      <c r="N302" s="127"/>
      <c r="O302" s="128"/>
      <c r="P302" s="95"/>
      <c r="Q302" s="137"/>
      <c r="R302" s="129"/>
      <c r="S302" s="95"/>
      <c r="T302" s="95"/>
      <c r="V302" s="107"/>
    </row>
    <row r="303" ht="15.75" customHeight="1">
      <c r="A303" s="89"/>
      <c r="B303" s="182"/>
      <c r="C303" s="149"/>
      <c r="D303" s="95"/>
      <c r="E303" s="149"/>
      <c r="F303" s="149"/>
      <c r="G303" s="95"/>
      <c r="H303" s="149"/>
      <c r="I303" s="95"/>
      <c r="J303" s="95"/>
      <c r="K303" s="156"/>
      <c r="L303" s="156"/>
      <c r="M303" s="100"/>
      <c r="N303" s="127"/>
      <c r="O303" s="128"/>
      <c r="P303" s="95"/>
      <c r="Q303" s="137"/>
      <c r="R303" s="129"/>
      <c r="S303" s="95"/>
      <c r="T303" s="95"/>
      <c r="V303" s="107"/>
    </row>
    <row r="304" ht="15.75" customHeight="1">
      <c r="A304" s="89"/>
      <c r="B304" s="182"/>
      <c r="C304" s="149"/>
      <c r="D304" s="95"/>
      <c r="E304" s="149"/>
      <c r="F304" s="149"/>
      <c r="G304" s="95"/>
      <c r="H304" s="149"/>
      <c r="I304" s="95"/>
      <c r="J304" s="95"/>
      <c r="K304" s="154"/>
      <c r="L304" s="154"/>
      <c r="M304" s="100"/>
      <c r="N304" s="127"/>
      <c r="O304" s="128"/>
      <c r="P304" s="95"/>
      <c r="Q304" s="137"/>
      <c r="R304" s="129"/>
      <c r="S304" s="95"/>
      <c r="T304" s="95"/>
      <c r="V304" s="107"/>
    </row>
    <row r="305" ht="15.75" customHeight="1">
      <c r="A305" s="89"/>
      <c r="B305" s="182"/>
      <c r="C305" s="149"/>
      <c r="D305" s="95"/>
      <c r="E305" s="149"/>
      <c r="F305" s="149"/>
      <c r="G305" s="95"/>
      <c r="H305" s="149"/>
      <c r="I305" s="95"/>
      <c r="J305" s="95"/>
      <c r="K305" s="156"/>
      <c r="L305" s="156"/>
      <c r="M305" s="100"/>
      <c r="N305" s="127"/>
      <c r="O305" s="128"/>
      <c r="P305" s="95"/>
      <c r="Q305" s="137"/>
      <c r="R305" s="129"/>
      <c r="S305" s="95"/>
      <c r="T305" s="95"/>
      <c r="V305" s="107"/>
    </row>
    <row r="306" ht="15.75" customHeight="1">
      <c r="A306" s="89"/>
      <c r="B306" s="182"/>
      <c r="C306" s="149"/>
      <c r="D306" s="95"/>
      <c r="E306" s="149"/>
      <c r="F306" s="149"/>
      <c r="G306" s="95"/>
      <c r="H306" s="149"/>
      <c r="I306" s="95"/>
      <c r="J306" s="95"/>
      <c r="K306" s="154"/>
      <c r="L306" s="154"/>
      <c r="M306" s="100"/>
      <c r="N306" s="127"/>
      <c r="O306" s="128"/>
      <c r="P306" s="95"/>
      <c r="Q306" s="137"/>
      <c r="R306" s="129"/>
      <c r="S306" s="95"/>
      <c r="T306" s="95"/>
      <c r="V306" s="107"/>
    </row>
    <row r="307" ht="15.75" customHeight="1">
      <c r="A307" s="89"/>
      <c r="B307" s="182"/>
      <c r="C307" s="107"/>
      <c r="D307" s="95"/>
      <c r="E307" s="149"/>
      <c r="F307" s="149"/>
      <c r="G307" s="95"/>
      <c r="H307" s="149"/>
      <c r="I307" s="95"/>
      <c r="J307" s="95"/>
      <c r="K307" s="156"/>
      <c r="L307" s="156"/>
      <c r="M307" s="100"/>
      <c r="N307" s="127"/>
      <c r="O307" s="128"/>
      <c r="P307" s="95"/>
      <c r="Q307" s="137"/>
      <c r="R307" s="129"/>
      <c r="S307" s="95"/>
      <c r="T307" s="95"/>
      <c r="V307" s="107"/>
    </row>
    <row r="308" ht="15.75" customHeight="1">
      <c r="A308" s="89"/>
      <c r="B308" s="182"/>
      <c r="C308" s="149"/>
      <c r="D308" s="95"/>
      <c r="E308" s="149"/>
      <c r="F308" s="149"/>
      <c r="G308" s="95"/>
      <c r="H308" s="149"/>
      <c r="I308" s="95"/>
      <c r="J308" s="95"/>
      <c r="K308" s="154"/>
      <c r="L308" s="154"/>
      <c r="M308" s="100"/>
      <c r="N308" s="127"/>
      <c r="O308" s="128"/>
      <c r="P308" s="95"/>
      <c r="Q308" s="137"/>
      <c r="R308" s="129"/>
      <c r="S308" s="95"/>
      <c r="T308" s="95"/>
      <c r="V308" s="107"/>
    </row>
    <row r="309" ht="15.75" customHeight="1">
      <c r="A309" s="89"/>
      <c r="B309" s="182"/>
      <c r="C309" s="149"/>
      <c r="D309" s="95"/>
      <c r="E309" s="149"/>
      <c r="F309" s="149"/>
      <c r="G309" s="95"/>
      <c r="H309" s="149"/>
      <c r="I309" s="95"/>
      <c r="J309" s="95"/>
      <c r="K309" s="156"/>
      <c r="L309" s="156"/>
      <c r="M309" s="100"/>
      <c r="N309" s="127"/>
      <c r="O309" s="128"/>
      <c r="P309" s="95"/>
      <c r="Q309" s="137"/>
      <c r="R309" s="129"/>
      <c r="S309" s="95"/>
      <c r="T309" s="95"/>
      <c r="V309" s="107"/>
    </row>
    <row r="310" ht="15.75" customHeight="1">
      <c r="A310" s="89"/>
      <c r="B310" s="182"/>
      <c r="C310" s="149"/>
      <c r="D310" s="95"/>
      <c r="E310" s="149"/>
      <c r="F310" s="149"/>
      <c r="G310" s="95"/>
      <c r="H310" s="149"/>
      <c r="I310" s="95"/>
      <c r="J310" s="95"/>
      <c r="K310" s="154"/>
      <c r="L310" s="154"/>
      <c r="M310" s="100"/>
      <c r="N310" s="127"/>
      <c r="O310" s="128"/>
      <c r="P310" s="95"/>
      <c r="Q310" s="137"/>
      <c r="R310" s="129"/>
      <c r="S310" s="95"/>
      <c r="T310" s="95"/>
      <c r="V310" s="107"/>
    </row>
    <row r="311" ht="15.75" customHeight="1">
      <c r="A311" s="89"/>
      <c r="B311" s="182"/>
      <c r="C311" s="149"/>
      <c r="D311" s="95"/>
      <c r="E311" s="149"/>
      <c r="F311" s="149"/>
      <c r="G311" s="95"/>
      <c r="H311" s="149"/>
      <c r="I311" s="95"/>
      <c r="J311" s="95"/>
      <c r="K311" s="156"/>
      <c r="L311" s="156"/>
      <c r="M311" s="100"/>
      <c r="N311" s="127"/>
      <c r="O311" s="128"/>
      <c r="P311" s="95"/>
      <c r="Q311" s="137"/>
      <c r="R311" s="129"/>
      <c r="S311" s="95"/>
      <c r="T311" s="95"/>
      <c r="V311" s="107"/>
    </row>
    <row r="312" ht="15.75" customHeight="1">
      <c r="A312" s="89"/>
      <c r="B312" s="182"/>
      <c r="C312" s="149"/>
      <c r="D312" s="95"/>
      <c r="E312" s="149"/>
      <c r="F312" s="149"/>
      <c r="G312" s="95"/>
      <c r="H312" s="149"/>
      <c r="I312" s="95"/>
      <c r="J312" s="95"/>
      <c r="K312" s="154"/>
      <c r="L312" s="154"/>
      <c r="M312" s="100"/>
      <c r="N312" s="127"/>
      <c r="O312" s="128"/>
      <c r="P312" s="95"/>
      <c r="Q312" s="137"/>
      <c r="R312" s="129"/>
      <c r="S312" s="95"/>
      <c r="T312" s="95"/>
      <c r="V312" s="107"/>
    </row>
    <row r="313" ht="15.75" customHeight="1">
      <c r="A313" s="89"/>
      <c r="B313" s="182"/>
      <c r="C313" s="107"/>
      <c r="D313" s="95"/>
      <c r="E313" s="149"/>
      <c r="F313" s="149"/>
      <c r="G313" s="95"/>
      <c r="H313" s="149"/>
      <c r="I313" s="95"/>
      <c r="J313" s="95"/>
      <c r="K313" s="156"/>
      <c r="L313" s="156"/>
      <c r="M313" s="100"/>
      <c r="N313" s="127"/>
      <c r="O313" s="128"/>
      <c r="P313" s="95"/>
      <c r="Q313" s="137"/>
      <c r="R313" s="129"/>
      <c r="S313" s="95"/>
      <c r="T313" s="95"/>
      <c r="V313" s="107"/>
    </row>
    <row r="314" ht="15.75" customHeight="1">
      <c r="A314" s="89"/>
      <c r="B314" s="182"/>
      <c r="C314" s="149"/>
      <c r="D314" s="95"/>
      <c r="E314" s="149"/>
      <c r="F314" s="149"/>
      <c r="G314" s="95"/>
      <c r="H314" s="149"/>
      <c r="I314" s="95"/>
      <c r="J314" s="95"/>
      <c r="K314" s="154"/>
      <c r="L314" s="154"/>
      <c r="M314" s="100"/>
      <c r="N314" s="127"/>
      <c r="O314" s="128"/>
      <c r="P314" s="95"/>
      <c r="Q314" s="137"/>
      <c r="R314" s="129"/>
      <c r="S314" s="95"/>
      <c r="T314" s="95"/>
      <c r="V314" s="107"/>
    </row>
    <row r="315" ht="15.75" customHeight="1">
      <c r="A315" s="89"/>
      <c r="B315" s="182"/>
      <c r="C315" s="149"/>
      <c r="D315" s="95"/>
      <c r="E315" s="149"/>
      <c r="F315" s="149"/>
      <c r="G315" s="95"/>
      <c r="H315" s="149"/>
      <c r="I315" s="95"/>
      <c r="J315" s="95"/>
      <c r="K315" s="156"/>
      <c r="L315" s="156"/>
      <c r="M315" s="100"/>
      <c r="N315" s="127"/>
      <c r="O315" s="128"/>
      <c r="P315" s="95"/>
      <c r="Q315" s="137"/>
      <c r="R315" s="129"/>
      <c r="S315" s="95"/>
      <c r="T315" s="95"/>
      <c r="V315" s="107"/>
    </row>
    <row r="316" ht="15.75" customHeight="1">
      <c r="A316" s="89"/>
      <c r="B316" s="182"/>
      <c r="C316" s="149"/>
      <c r="D316" s="95"/>
      <c r="E316" s="149"/>
      <c r="F316" s="149"/>
      <c r="G316" s="95"/>
      <c r="H316" s="149"/>
      <c r="I316" s="95"/>
      <c r="J316" s="95"/>
      <c r="K316" s="154"/>
      <c r="L316" s="154"/>
      <c r="M316" s="100"/>
      <c r="N316" s="127"/>
      <c r="O316" s="128"/>
      <c r="P316" s="95"/>
      <c r="Q316" s="137"/>
      <c r="R316" s="129"/>
      <c r="S316" s="95"/>
      <c r="T316" s="95"/>
      <c r="V316" s="107"/>
    </row>
    <row r="317" ht="15.75" customHeight="1">
      <c r="A317" s="89"/>
      <c r="B317" s="182"/>
      <c r="C317" s="149"/>
      <c r="D317" s="95"/>
      <c r="E317" s="149"/>
      <c r="F317" s="149"/>
      <c r="G317" s="95"/>
      <c r="H317" s="149"/>
      <c r="I317" s="95"/>
      <c r="J317" s="95"/>
      <c r="K317" s="156"/>
      <c r="L317" s="156"/>
      <c r="M317" s="100"/>
      <c r="N317" s="127"/>
      <c r="O317" s="128"/>
      <c r="P317" s="95"/>
      <c r="Q317" s="137"/>
      <c r="R317" s="129"/>
      <c r="S317" s="95"/>
      <c r="T317" s="95"/>
      <c r="V317" s="107"/>
    </row>
    <row r="318" ht="15.75" customHeight="1">
      <c r="A318" s="89"/>
      <c r="B318" s="182"/>
      <c r="C318" s="149"/>
      <c r="D318" s="95"/>
      <c r="E318" s="149"/>
      <c r="F318" s="149"/>
      <c r="G318" s="95"/>
      <c r="H318" s="149"/>
      <c r="I318" s="95"/>
      <c r="J318" s="95"/>
      <c r="K318" s="154"/>
      <c r="L318" s="154"/>
      <c r="M318" s="100"/>
      <c r="N318" s="127"/>
      <c r="O318" s="128"/>
      <c r="P318" s="95"/>
      <c r="Q318" s="137"/>
      <c r="R318" s="129"/>
      <c r="S318" s="95"/>
      <c r="T318" s="95"/>
      <c r="V318" s="107"/>
    </row>
    <row r="319" ht="15.75" customHeight="1">
      <c r="A319" s="89"/>
      <c r="B319" s="182"/>
      <c r="C319" s="107"/>
      <c r="D319" s="95"/>
      <c r="E319" s="149"/>
      <c r="F319" s="149"/>
      <c r="G319" s="95"/>
      <c r="H319" s="149"/>
      <c r="I319" s="95"/>
      <c r="J319" s="95"/>
      <c r="K319" s="156"/>
      <c r="L319" s="156"/>
      <c r="M319" s="100"/>
      <c r="N319" s="127"/>
      <c r="O319" s="128"/>
      <c r="P319" s="95"/>
      <c r="Q319" s="137"/>
      <c r="R319" s="129"/>
      <c r="S319" s="95"/>
      <c r="T319" s="95"/>
      <c r="V319" s="107"/>
    </row>
    <row r="320" ht="15.75" customHeight="1">
      <c r="A320" s="89"/>
      <c r="B320" s="182"/>
      <c r="C320" s="149"/>
      <c r="D320" s="95"/>
      <c r="E320" s="149"/>
      <c r="F320" s="149"/>
      <c r="G320" s="95"/>
      <c r="H320" s="149"/>
      <c r="I320" s="95"/>
      <c r="J320" s="95"/>
      <c r="K320" s="154"/>
      <c r="L320" s="154"/>
      <c r="M320" s="100"/>
      <c r="N320" s="127"/>
      <c r="O320" s="128"/>
      <c r="P320" s="95"/>
      <c r="Q320" s="137"/>
      <c r="R320" s="129"/>
      <c r="S320" s="95"/>
      <c r="T320" s="95"/>
      <c r="V320" s="107"/>
    </row>
    <row r="321" ht="15.75" customHeight="1">
      <c r="A321" s="89"/>
      <c r="B321" s="182"/>
      <c r="C321" s="149"/>
      <c r="D321" s="95"/>
      <c r="E321" s="149"/>
      <c r="F321" s="149"/>
      <c r="G321" s="95"/>
      <c r="H321" s="149"/>
      <c r="I321" s="95"/>
      <c r="J321" s="95"/>
      <c r="K321" s="156"/>
      <c r="L321" s="156"/>
      <c r="M321" s="100"/>
      <c r="N321" s="127"/>
      <c r="O321" s="128"/>
      <c r="P321" s="95"/>
      <c r="Q321" s="137"/>
      <c r="R321" s="129"/>
      <c r="S321" s="95"/>
      <c r="T321" s="95"/>
      <c r="V321" s="107"/>
    </row>
    <row r="322" ht="15.75" customHeight="1">
      <c r="A322" s="89"/>
      <c r="B322" s="182"/>
      <c r="C322" s="149"/>
      <c r="D322" s="95"/>
      <c r="E322" s="149"/>
      <c r="F322" s="149"/>
      <c r="G322" s="95"/>
      <c r="H322" s="149"/>
      <c r="I322" s="95"/>
      <c r="J322" s="95"/>
      <c r="K322" s="154"/>
      <c r="L322" s="154"/>
      <c r="M322" s="100"/>
      <c r="N322" s="127"/>
      <c r="O322" s="128"/>
      <c r="P322" s="95"/>
      <c r="Q322" s="137"/>
      <c r="R322" s="129"/>
      <c r="S322" s="95"/>
      <c r="T322" s="95"/>
      <c r="V322" s="107"/>
    </row>
    <row r="323" ht="15.75" customHeight="1">
      <c r="A323" s="89"/>
      <c r="B323" s="182"/>
      <c r="C323" s="149"/>
      <c r="D323" s="95"/>
      <c r="E323" s="149"/>
      <c r="F323" s="149"/>
      <c r="G323" s="95"/>
      <c r="H323" s="149"/>
      <c r="I323" s="95"/>
      <c r="J323" s="95"/>
      <c r="K323" s="156"/>
      <c r="L323" s="156"/>
      <c r="M323" s="100"/>
      <c r="N323" s="127"/>
      <c r="O323" s="128"/>
      <c r="P323" s="95"/>
      <c r="Q323" s="137"/>
      <c r="R323" s="129"/>
      <c r="S323" s="95"/>
      <c r="T323" s="95"/>
      <c r="V323" s="107"/>
    </row>
    <row r="324" ht="15.75" customHeight="1">
      <c r="A324" s="89"/>
      <c r="B324" s="182"/>
      <c r="C324" s="149"/>
      <c r="D324" s="95"/>
      <c r="E324" s="149"/>
      <c r="F324" s="149"/>
      <c r="G324" s="95"/>
      <c r="H324" s="149"/>
      <c r="I324" s="95"/>
      <c r="J324" s="95"/>
      <c r="K324" s="154"/>
      <c r="L324" s="154"/>
      <c r="M324" s="100"/>
      <c r="N324" s="127"/>
      <c r="O324" s="128"/>
      <c r="P324" s="95"/>
      <c r="Q324" s="137"/>
      <c r="R324" s="129"/>
      <c r="S324" s="95"/>
      <c r="T324" s="95"/>
      <c r="V324" s="107"/>
    </row>
    <row r="325" ht="15.75" customHeight="1">
      <c r="A325" s="89"/>
      <c r="B325" s="182"/>
      <c r="C325" s="107"/>
      <c r="D325" s="95"/>
      <c r="E325" s="149"/>
      <c r="F325" s="149"/>
      <c r="G325" s="95"/>
      <c r="H325" s="149"/>
      <c r="I325" s="95"/>
      <c r="J325" s="95"/>
      <c r="K325" s="156"/>
      <c r="L325" s="156"/>
      <c r="M325" s="100"/>
      <c r="N325" s="127"/>
      <c r="O325" s="128"/>
      <c r="P325" s="95"/>
      <c r="Q325" s="137"/>
      <c r="R325" s="129"/>
      <c r="S325" s="95"/>
      <c r="T325" s="95"/>
      <c r="V325" s="107"/>
    </row>
    <row r="326" ht="15.75" customHeight="1">
      <c r="A326" s="89"/>
      <c r="B326" s="182"/>
      <c r="C326" s="149"/>
      <c r="D326" s="95"/>
      <c r="E326" s="149"/>
      <c r="F326" s="149"/>
      <c r="G326" s="95"/>
      <c r="H326" s="149"/>
      <c r="I326" s="95"/>
      <c r="J326" s="95"/>
      <c r="K326" s="154"/>
      <c r="L326" s="154"/>
      <c r="M326" s="100"/>
      <c r="N326" s="127"/>
      <c r="O326" s="128"/>
      <c r="P326" s="95"/>
      <c r="Q326" s="137"/>
      <c r="R326" s="129"/>
      <c r="S326" s="95"/>
      <c r="T326" s="95"/>
      <c r="V326" s="107"/>
    </row>
    <row r="327" ht="15.75" customHeight="1">
      <c r="A327" s="89"/>
      <c r="B327" s="182"/>
      <c r="C327" s="149"/>
      <c r="D327" s="95"/>
      <c r="E327" s="149"/>
      <c r="F327" s="149"/>
      <c r="G327" s="95"/>
      <c r="H327" s="149"/>
      <c r="I327" s="95"/>
      <c r="J327" s="95"/>
      <c r="K327" s="156"/>
      <c r="L327" s="156"/>
      <c r="M327" s="100"/>
      <c r="N327" s="127"/>
      <c r="O327" s="128"/>
      <c r="P327" s="95"/>
      <c r="Q327" s="137"/>
      <c r="R327" s="129"/>
      <c r="S327" s="95"/>
      <c r="T327" s="95"/>
      <c r="V327" s="107"/>
    </row>
    <row r="328" ht="15.75" customHeight="1">
      <c r="A328" s="89"/>
      <c r="B328" s="182"/>
      <c r="C328" s="149"/>
      <c r="D328" s="95"/>
      <c r="E328" s="149"/>
      <c r="F328" s="149"/>
      <c r="G328" s="95"/>
      <c r="H328" s="149"/>
      <c r="I328" s="95"/>
      <c r="J328" s="95"/>
      <c r="K328" s="158"/>
      <c r="L328" s="158"/>
      <c r="M328" s="100"/>
      <c r="N328" s="127"/>
      <c r="O328" s="128"/>
      <c r="P328" s="95"/>
      <c r="Q328" s="137"/>
      <c r="R328" s="129"/>
      <c r="S328" s="95"/>
      <c r="T328" s="95"/>
      <c r="V328" s="107"/>
    </row>
    <row r="329" ht="15.75" customHeight="1">
      <c r="A329" s="89"/>
      <c r="B329" s="182"/>
      <c r="C329" s="149"/>
      <c r="D329" s="95"/>
      <c r="E329" s="149"/>
      <c r="F329" s="149"/>
      <c r="G329" s="95"/>
      <c r="H329" s="149"/>
      <c r="I329" s="95"/>
      <c r="J329" s="95"/>
      <c r="K329" s="158"/>
      <c r="L329" s="158"/>
      <c r="M329" s="100"/>
      <c r="N329" s="127"/>
      <c r="O329" s="128"/>
      <c r="P329" s="95"/>
      <c r="Q329" s="137"/>
      <c r="R329" s="129"/>
      <c r="S329" s="95"/>
      <c r="T329" s="95"/>
      <c r="V329" s="107"/>
    </row>
    <row r="330" ht="15.75" customHeight="1">
      <c r="A330" s="89"/>
      <c r="B330" s="182"/>
      <c r="C330" s="149"/>
      <c r="D330" s="95"/>
      <c r="E330" s="149"/>
      <c r="F330" s="149"/>
      <c r="G330" s="95"/>
      <c r="H330" s="149"/>
      <c r="I330" s="95"/>
      <c r="J330" s="95"/>
      <c r="K330" s="158"/>
      <c r="L330" s="158"/>
      <c r="M330" s="100"/>
      <c r="N330" s="127"/>
      <c r="O330" s="128"/>
      <c r="P330" s="95"/>
      <c r="Q330" s="137"/>
      <c r="R330" s="129"/>
      <c r="S330" s="95"/>
      <c r="T330" s="95"/>
      <c r="V330" s="107"/>
    </row>
    <row r="331" ht="15.75" customHeight="1">
      <c r="A331" s="89"/>
      <c r="B331" s="182"/>
      <c r="C331" s="107"/>
      <c r="D331" s="95"/>
      <c r="E331" s="149"/>
      <c r="F331" s="149"/>
      <c r="G331" s="95"/>
      <c r="H331" s="149"/>
      <c r="I331" s="95"/>
      <c r="J331" s="95"/>
      <c r="K331" s="158"/>
      <c r="L331" s="158"/>
      <c r="M331" s="100"/>
      <c r="N331" s="127"/>
      <c r="O331" s="128"/>
      <c r="P331" s="95"/>
      <c r="Q331" s="137"/>
      <c r="R331" s="129"/>
      <c r="S331" s="95"/>
      <c r="T331" s="95"/>
      <c r="V331" s="107"/>
    </row>
    <row r="332" ht="15.75" customHeight="1">
      <c r="A332" s="89"/>
      <c r="B332" s="182"/>
      <c r="C332" s="149"/>
      <c r="D332" s="95"/>
      <c r="E332" s="149"/>
      <c r="F332" s="149"/>
      <c r="G332" s="95"/>
      <c r="H332" s="149"/>
      <c r="I332" s="95"/>
      <c r="J332" s="95"/>
      <c r="K332" s="158"/>
      <c r="L332" s="158"/>
      <c r="M332" s="100"/>
      <c r="N332" s="127"/>
      <c r="O332" s="128"/>
      <c r="P332" s="95"/>
      <c r="Q332" s="137"/>
      <c r="R332" s="129"/>
      <c r="S332" s="95"/>
      <c r="T332" s="95"/>
      <c r="V332" s="107"/>
    </row>
    <row r="333" ht="15.75" customHeight="1">
      <c r="A333" s="89"/>
      <c r="B333" s="182"/>
      <c r="C333" s="149"/>
      <c r="D333" s="95"/>
      <c r="E333" s="149"/>
      <c r="F333" s="149"/>
      <c r="G333" s="95"/>
      <c r="H333" s="149"/>
      <c r="I333" s="95"/>
      <c r="J333" s="95"/>
      <c r="K333" s="158"/>
      <c r="L333" s="158"/>
      <c r="M333" s="100"/>
      <c r="N333" s="127"/>
      <c r="O333" s="128"/>
      <c r="P333" s="95"/>
      <c r="Q333" s="137"/>
      <c r="R333" s="129"/>
      <c r="S333" s="95"/>
      <c r="T333" s="95"/>
      <c r="V333" s="107"/>
    </row>
    <row r="334" ht="15.75" customHeight="1">
      <c r="A334" s="89"/>
      <c r="B334" s="182"/>
      <c r="C334" s="149"/>
      <c r="D334" s="95"/>
      <c r="E334" s="149"/>
      <c r="F334" s="149"/>
      <c r="G334" s="95"/>
      <c r="H334" s="149"/>
      <c r="I334" s="95"/>
      <c r="J334" s="95"/>
      <c r="K334" s="158"/>
      <c r="L334" s="158"/>
      <c r="M334" s="100"/>
      <c r="N334" s="127"/>
      <c r="O334" s="128"/>
      <c r="P334" s="95"/>
      <c r="Q334" s="137"/>
      <c r="R334" s="129"/>
      <c r="S334" s="95"/>
      <c r="T334" s="95"/>
      <c r="V334" s="107"/>
    </row>
    <row r="335" ht="15.75" customHeight="1">
      <c r="A335" s="89"/>
      <c r="B335" s="182"/>
      <c r="C335" s="149"/>
      <c r="D335" s="95"/>
      <c r="E335" s="149"/>
      <c r="F335" s="149"/>
      <c r="G335" s="95"/>
      <c r="H335" s="149"/>
      <c r="I335" s="95"/>
      <c r="J335" s="95"/>
      <c r="K335" s="158"/>
      <c r="L335" s="158"/>
      <c r="M335" s="100"/>
      <c r="N335" s="127"/>
      <c r="O335" s="128"/>
      <c r="P335" s="95"/>
      <c r="Q335" s="137"/>
      <c r="R335" s="129"/>
      <c r="S335" s="95"/>
      <c r="T335" s="95"/>
      <c r="V335" s="107"/>
    </row>
    <row r="336" ht="15.75" customHeight="1">
      <c r="A336" s="89"/>
      <c r="B336" s="182"/>
      <c r="C336" s="149"/>
      <c r="D336" s="95"/>
      <c r="E336" s="149"/>
      <c r="F336" s="149"/>
      <c r="G336" s="95"/>
      <c r="H336" s="149"/>
      <c r="I336" s="95"/>
      <c r="J336" s="95"/>
      <c r="K336" s="158"/>
      <c r="L336" s="158"/>
      <c r="M336" s="100"/>
      <c r="N336" s="127"/>
      <c r="O336" s="128"/>
      <c r="P336" s="95"/>
      <c r="Q336" s="137"/>
      <c r="R336" s="129"/>
      <c r="S336" s="95"/>
      <c r="T336" s="95"/>
      <c r="V336" s="107"/>
    </row>
    <row r="337" ht="15.75" customHeight="1">
      <c r="A337" s="89"/>
      <c r="B337" s="182"/>
      <c r="C337" s="107"/>
      <c r="D337" s="95"/>
      <c r="E337" s="149"/>
      <c r="F337" s="149"/>
      <c r="G337" s="95"/>
      <c r="H337" s="149"/>
      <c r="I337" s="95"/>
      <c r="J337" s="95"/>
      <c r="K337" s="158"/>
      <c r="L337" s="158"/>
      <c r="M337" s="100"/>
      <c r="N337" s="127"/>
      <c r="O337" s="128"/>
      <c r="P337" s="95"/>
      <c r="Q337" s="137"/>
      <c r="R337" s="129"/>
      <c r="S337" s="95"/>
      <c r="T337" s="95"/>
      <c r="V337" s="107"/>
    </row>
    <row r="338" ht="15.75" customHeight="1">
      <c r="A338" s="89"/>
      <c r="B338" s="182"/>
      <c r="C338" s="149"/>
      <c r="D338" s="95"/>
      <c r="E338" s="149"/>
      <c r="F338" s="149"/>
      <c r="G338" s="95"/>
      <c r="H338" s="149"/>
      <c r="I338" s="95"/>
      <c r="J338" s="95"/>
      <c r="K338" s="158"/>
      <c r="L338" s="158"/>
      <c r="M338" s="100"/>
      <c r="N338" s="127"/>
      <c r="O338" s="128"/>
      <c r="P338" s="95"/>
      <c r="Q338" s="137"/>
      <c r="R338" s="129"/>
      <c r="S338" s="95"/>
      <c r="T338" s="95"/>
      <c r="V338" s="107"/>
    </row>
    <row r="339" ht="15.75" customHeight="1">
      <c r="A339" s="89"/>
      <c r="B339" s="182"/>
      <c r="C339" s="149"/>
      <c r="D339" s="95"/>
      <c r="E339" s="149"/>
      <c r="F339" s="149"/>
      <c r="G339" s="95"/>
      <c r="H339" s="149"/>
      <c r="I339" s="95"/>
      <c r="J339" s="95"/>
      <c r="K339" s="158"/>
      <c r="L339" s="158"/>
      <c r="M339" s="100"/>
      <c r="N339" s="127"/>
      <c r="O339" s="128"/>
      <c r="P339" s="95"/>
      <c r="Q339" s="137"/>
      <c r="R339" s="129"/>
      <c r="S339" s="95"/>
      <c r="T339" s="95"/>
      <c r="V339" s="107"/>
    </row>
    <row r="340" ht="15.75" customHeight="1">
      <c r="A340" s="89"/>
      <c r="B340" s="182"/>
      <c r="C340" s="149"/>
      <c r="D340" s="95"/>
      <c r="E340" s="149"/>
      <c r="F340" s="149"/>
      <c r="G340" s="95"/>
      <c r="H340" s="149"/>
      <c r="I340" s="95"/>
      <c r="J340" s="95"/>
      <c r="K340" s="158"/>
      <c r="L340" s="158"/>
      <c r="M340" s="100"/>
      <c r="N340" s="127"/>
      <c r="O340" s="128"/>
      <c r="P340" s="95"/>
      <c r="Q340" s="137"/>
      <c r="R340" s="129"/>
      <c r="S340" s="95"/>
      <c r="T340" s="95"/>
      <c r="V340" s="107"/>
    </row>
    <row r="341" ht="15.75" customHeight="1">
      <c r="A341" s="89"/>
      <c r="B341" s="182"/>
      <c r="C341" s="149"/>
      <c r="D341" s="95"/>
      <c r="E341" s="149"/>
      <c r="F341" s="149"/>
      <c r="G341" s="95"/>
      <c r="H341" s="149"/>
      <c r="I341" s="95"/>
      <c r="J341" s="95"/>
      <c r="K341" s="158"/>
      <c r="L341" s="158"/>
      <c r="M341" s="100"/>
      <c r="N341" s="127"/>
      <c r="O341" s="128"/>
      <c r="P341" s="95"/>
      <c r="Q341" s="137"/>
      <c r="R341" s="129"/>
      <c r="S341" s="95"/>
      <c r="T341" s="95"/>
      <c r="V341" s="107"/>
    </row>
    <row r="342" ht="15.75" customHeight="1">
      <c r="A342" s="89"/>
      <c r="B342" s="182"/>
      <c r="C342" s="149"/>
      <c r="D342" s="95"/>
      <c r="E342" s="149"/>
      <c r="F342" s="149"/>
      <c r="G342" s="95"/>
      <c r="H342" s="149"/>
      <c r="I342" s="95"/>
      <c r="J342" s="95"/>
      <c r="K342" s="158"/>
      <c r="L342" s="158"/>
      <c r="M342" s="100"/>
      <c r="N342" s="127"/>
      <c r="O342" s="128"/>
      <c r="P342" s="95"/>
      <c r="Q342" s="137"/>
      <c r="R342" s="129"/>
      <c r="S342" s="95"/>
      <c r="T342" s="95"/>
      <c r="V342" s="107"/>
    </row>
    <row r="343" ht="15.75" customHeight="1">
      <c r="A343" s="89"/>
      <c r="B343" s="182"/>
      <c r="C343" s="107"/>
      <c r="D343" s="95"/>
      <c r="E343" s="149"/>
      <c r="F343" s="149"/>
      <c r="G343" s="95"/>
      <c r="H343" s="149"/>
      <c r="I343" s="95"/>
      <c r="J343" s="95"/>
      <c r="K343" s="158"/>
      <c r="L343" s="158"/>
      <c r="M343" s="100"/>
      <c r="N343" s="127"/>
      <c r="O343" s="128"/>
      <c r="P343" s="95"/>
      <c r="Q343" s="137"/>
      <c r="R343" s="129"/>
      <c r="S343" s="95"/>
      <c r="T343" s="95"/>
      <c r="V343" s="107"/>
    </row>
    <row r="344" ht="15.75" customHeight="1">
      <c r="A344" s="89"/>
      <c r="B344" s="182"/>
      <c r="C344" s="149"/>
      <c r="D344" s="95"/>
      <c r="E344" s="149"/>
      <c r="F344" s="149"/>
      <c r="G344" s="95"/>
      <c r="H344" s="149"/>
      <c r="I344" s="95"/>
      <c r="J344" s="95"/>
      <c r="K344" s="158"/>
      <c r="L344" s="158"/>
      <c r="M344" s="100"/>
      <c r="N344" s="127"/>
      <c r="O344" s="128"/>
      <c r="P344" s="95"/>
      <c r="Q344" s="137"/>
      <c r="R344" s="129"/>
      <c r="S344" s="95"/>
      <c r="T344" s="95"/>
      <c r="V344" s="107"/>
    </row>
    <row r="345" ht="15.75" customHeight="1">
      <c r="A345" s="89"/>
      <c r="B345" s="182"/>
      <c r="C345" s="149"/>
      <c r="D345" s="95"/>
      <c r="E345" s="149"/>
      <c r="F345" s="149"/>
      <c r="G345" s="95"/>
      <c r="H345" s="149"/>
      <c r="I345" s="95"/>
      <c r="J345" s="95"/>
      <c r="K345" s="158"/>
      <c r="L345" s="158"/>
      <c r="M345" s="100"/>
      <c r="N345" s="127"/>
      <c r="O345" s="128"/>
      <c r="P345" s="95"/>
      <c r="Q345" s="137"/>
      <c r="R345" s="129"/>
      <c r="S345" s="95"/>
      <c r="T345" s="95"/>
      <c r="V345" s="107"/>
    </row>
    <row r="346" ht="15.75" customHeight="1">
      <c r="A346" s="89"/>
      <c r="B346" s="182"/>
      <c r="C346" s="149"/>
      <c r="D346" s="95"/>
      <c r="E346" s="149"/>
      <c r="F346" s="149"/>
      <c r="G346" s="95"/>
      <c r="H346" s="149"/>
      <c r="I346" s="95"/>
      <c r="J346" s="95"/>
      <c r="K346" s="158"/>
      <c r="L346" s="158"/>
      <c r="M346" s="100"/>
      <c r="N346" s="127"/>
      <c r="O346" s="128"/>
      <c r="P346" s="95"/>
      <c r="Q346" s="137"/>
      <c r="R346" s="129"/>
      <c r="S346" s="95"/>
      <c r="T346" s="95"/>
      <c r="V346" s="107"/>
    </row>
    <row r="347" ht="15.75" customHeight="1">
      <c r="A347" s="89"/>
      <c r="B347" s="182"/>
      <c r="C347" s="149"/>
      <c r="D347" s="95"/>
      <c r="E347" s="149"/>
      <c r="F347" s="149"/>
      <c r="G347" s="95"/>
      <c r="H347" s="149"/>
      <c r="I347" s="95"/>
      <c r="J347" s="95"/>
      <c r="K347" s="158"/>
      <c r="L347" s="158"/>
      <c r="M347" s="100"/>
      <c r="N347" s="127"/>
      <c r="O347" s="128"/>
      <c r="P347" s="95"/>
      <c r="Q347" s="137"/>
      <c r="R347" s="129"/>
      <c r="S347" s="95"/>
      <c r="T347" s="95"/>
      <c r="V347" s="107"/>
    </row>
    <row r="348" ht="15.75" customHeight="1">
      <c r="A348" s="89"/>
      <c r="B348" s="182"/>
      <c r="C348" s="149"/>
      <c r="D348" s="95"/>
      <c r="E348" s="149"/>
      <c r="F348" s="149"/>
      <c r="G348" s="95"/>
      <c r="H348" s="149"/>
      <c r="I348" s="95"/>
      <c r="J348" s="95"/>
      <c r="K348" s="158"/>
      <c r="L348" s="158"/>
      <c r="M348" s="100"/>
      <c r="N348" s="127"/>
      <c r="O348" s="128"/>
      <c r="P348" s="95"/>
      <c r="Q348" s="137"/>
      <c r="R348" s="129"/>
      <c r="S348" s="95"/>
      <c r="T348" s="95"/>
      <c r="V348" s="107"/>
    </row>
    <row r="349" ht="15.75" customHeight="1">
      <c r="A349" s="89"/>
      <c r="B349" s="182"/>
      <c r="C349" s="107"/>
      <c r="D349" s="95"/>
      <c r="E349" s="149"/>
      <c r="F349" s="149"/>
      <c r="G349" s="95"/>
      <c r="H349" s="149"/>
      <c r="I349" s="95"/>
      <c r="J349" s="95"/>
      <c r="K349" s="158"/>
      <c r="L349" s="158"/>
      <c r="M349" s="100"/>
      <c r="N349" s="127"/>
      <c r="O349" s="128"/>
      <c r="P349" s="95"/>
      <c r="Q349" s="137"/>
      <c r="R349" s="129"/>
      <c r="S349" s="95"/>
      <c r="T349" s="95"/>
      <c r="V349" s="107"/>
    </row>
    <row r="350" ht="15.75" customHeight="1">
      <c r="A350" s="89"/>
      <c r="B350" s="182"/>
      <c r="C350" s="149"/>
      <c r="D350" s="95"/>
      <c r="E350" s="149"/>
      <c r="F350" s="149"/>
      <c r="G350" s="95"/>
      <c r="H350" s="149"/>
      <c r="I350" s="95"/>
      <c r="J350" s="95"/>
      <c r="K350" s="158"/>
      <c r="L350" s="158"/>
      <c r="M350" s="100"/>
      <c r="N350" s="127"/>
      <c r="O350" s="128"/>
      <c r="P350" s="95"/>
      <c r="Q350" s="137"/>
      <c r="R350" s="129"/>
      <c r="S350" s="95"/>
      <c r="T350" s="95"/>
      <c r="V350" s="107"/>
    </row>
    <row r="351" ht="15.75" customHeight="1">
      <c r="A351" s="89"/>
      <c r="B351" s="182"/>
      <c r="C351" s="149"/>
      <c r="D351" s="95"/>
      <c r="E351" s="149"/>
      <c r="F351" s="149"/>
      <c r="G351" s="95"/>
      <c r="H351" s="149"/>
      <c r="I351" s="95"/>
      <c r="J351" s="95"/>
      <c r="K351" s="158"/>
      <c r="L351" s="158"/>
      <c r="M351" s="100"/>
      <c r="N351" s="127"/>
      <c r="O351" s="128"/>
      <c r="P351" s="95"/>
      <c r="Q351" s="137"/>
      <c r="R351" s="129"/>
      <c r="S351" s="95"/>
      <c r="T351" s="95"/>
      <c r="V351" s="107"/>
    </row>
    <row r="352" ht="15.75" customHeight="1">
      <c r="A352" s="89"/>
      <c r="B352" s="182"/>
      <c r="C352" s="149"/>
      <c r="D352" s="95"/>
      <c r="E352" s="149"/>
      <c r="F352" s="149"/>
      <c r="G352" s="95"/>
      <c r="H352" s="149"/>
      <c r="I352" s="95"/>
      <c r="J352" s="95"/>
      <c r="K352" s="158"/>
      <c r="L352" s="158"/>
      <c r="M352" s="100"/>
      <c r="N352" s="127"/>
      <c r="O352" s="128"/>
      <c r="P352" s="95"/>
      <c r="Q352" s="137"/>
      <c r="R352" s="129"/>
      <c r="S352" s="95"/>
      <c r="T352" s="95"/>
      <c r="V352" s="107"/>
    </row>
    <row r="353" ht="15.75" customHeight="1">
      <c r="A353" s="89"/>
      <c r="B353" s="182"/>
      <c r="C353" s="149"/>
      <c r="D353" s="95"/>
      <c r="E353" s="149"/>
      <c r="F353" s="149"/>
      <c r="G353" s="95"/>
      <c r="H353" s="149"/>
      <c r="I353" s="95"/>
      <c r="J353" s="95"/>
      <c r="K353" s="158"/>
      <c r="L353" s="158"/>
      <c r="M353" s="100"/>
      <c r="N353" s="127"/>
      <c r="O353" s="128"/>
      <c r="P353" s="95"/>
      <c r="Q353" s="137"/>
      <c r="R353" s="129"/>
      <c r="S353" s="95"/>
      <c r="T353" s="95"/>
      <c r="V353" s="107"/>
    </row>
    <row r="354" ht="15.75" customHeight="1">
      <c r="A354" s="89"/>
      <c r="B354" s="182"/>
      <c r="C354" s="149"/>
      <c r="D354" s="95"/>
      <c r="E354" s="149"/>
      <c r="F354" s="149"/>
      <c r="G354" s="95"/>
      <c r="H354" s="149"/>
      <c r="I354" s="95"/>
      <c r="J354" s="95"/>
      <c r="K354" s="158"/>
      <c r="L354" s="158"/>
      <c r="M354" s="100"/>
      <c r="N354" s="127"/>
      <c r="O354" s="128"/>
      <c r="P354" s="95"/>
      <c r="Q354" s="137"/>
      <c r="R354" s="129"/>
      <c r="S354" s="95"/>
      <c r="T354" s="95"/>
      <c r="V354" s="107"/>
    </row>
    <row r="355" ht="15.75" customHeight="1">
      <c r="A355" s="89"/>
      <c r="B355" s="182"/>
      <c r="C355" s="107"/>
      <c r="D355" s="95"/>
      <c r="E355" s="149"/>
      <c r="F355" s="149"/>
      <c r="G355" s="95"/>
      <c r="H355" s="149"/>
      <c r="I355" s="95"/>
      <c r="J355" s="95"/>
      <c r="K355" s="158"/>
      <c r="L355" s="158"/>
      <c r="M355" s="100"/>
      <c r="N355" s="127"/>
      <c r="O355" s="128"/>
      <c r="P355" s="95"/>
      <c r="Q355" s="137"/>
      <c r="R355" s="129"/>
      <c r="S355" s="95"/>
      <c r="T355" s="95"/>
      <c r="V355" s="107"/>
    </row>
    <row r="356" ht="15.75" customHeight="1">
      <c r="A356" s="89"/>
      <c r="B356" s="182"/>
      <c r="C356" s="149"/>
      <c r="D356" s="95"/>
      <c r="E356" s="149"/>
      <c r="F356" s="149"/>
      <c r="G356" s="95"/>
      <c r="H356" s="149"/>
      <c r="I356" s="95"/>
      <c r="J356" s="95"/>
      <c r="K356" s="158"/>
      <c r="L356" s="158"/>
      <c r="M356" s="100"/>
      <c r="N356" s="127"/>
      <c r="O356" s="128"/>
      <c r="P356" s="95"/>
      <c r="Q356" s="137"/>
      <c r="R356" s="129"/>
      <c r="S356" s="95"/>
      <c r="T356" s="95"/>
      <c r="V356" s="107"/>
    </row>
    <row r="357" ht="15.75" customHeight="1">
      <c r="A357" s="89"/>
      <c r="B357" s="182"/>
      <c r="C357" s="149"/>
      <c r="D357" s="95"/>
      <c r="E357" s="149"/>
      <c r="F357" s="149"/>
      <c r="G357" s="95"/>
      <c r="H357" s="149"/>
      <c r="I357" s="95"/>
      <c r="J357" s="95"/>
      <c r="K357" s="158"/>
      <c r="L357" s="158"/>
      <c r="M357" s="100"/>
      <c r="N357" s="127"/>
      <c r="O357" s="128"/>
      <c r="P357" s="95"/>
      <c r="Q357" s="137"/>
      <c r="R357" s="129"/>
      <c r="S357" s="95"/>
      <c r="T357" s="95"/>
      <c r="V357" s="107"/>
    </row>
    <row r="358" ht="15.75" customHeight="1">
      <c r="A358" s="89"/>
      <c r="B358" s="182"/>
      <c r="C358" s="149"/>
      <c r="D358" s="95"/>
      <c r="E358" s="149"/>
      <c r="F358" s="149"/>
      <c r="G358" s="95"/>
      <c r="H358" s="149"/>
      <c r="I358" s="95"/>
      <c r="J358" s="95"/>
      <c r="K358" s="158"/>
      <c r="L358" s="158"/>
      <c r="M358" s="100"/>
      <c r="N358" s="127"/>
      <c r="O358" s="128"/>
      <c r="P358" s="95"/>
      <c r="Q358" s="137"/>
      <c r="R358" s="129"/>
      <c r="S358" s="95"/>
      <c r="T358" s="95"/>
      <c r="V358" s="107"/>
    </row>
    <row r="359" ht="15.75" customHeight="1">
      <c r="A359" s="89"/>
      <c r="B359" s="182"/>
      <c r="C359" s="149"/>
      <c r="D359" s="95"/>
      <c r="E359" s="149"/>
      <c r="F359" s="149"/>
      <c r="G359" s="95"/>
      <c r="H359" s="149"/>
      <c r="I359" s="95"/>
      <c r="J359" s="95"/>
      <c r="K359" s="158"/>
      <c r="L359" s="158"/>
      <c r="M359" s="100"/>
      <c r="N359" s="127"/>
      <c r="O359" s="128"/>
      <c r="P359" s="95"/>
      <c r="Q359" s="137"/>
      <c r="R359" s="129"/>
      <c r="S359" s="95"/>
      <c r="T359" s="95"/>
      <c r="V359" s="107"/>
    </row>
    <row r="360" ht="15.75" customHeight="1">
      <c r="A360" s="89"/>
      <c r="B360" s="182"/>
      <c r="C360" s="149"/>
      <c r="D360" s="95"/>
      <c r="E360" s="149"/>
      <c r="F360" s="149"/>
      <c r="G360" s="95"/>
      <c r="H360" s="149"/>
      <c r="I360" s="95"/>
      <c r="J360" s="95"/>
      <c r="K360" s="158"/>
      <c r="L360" s="158"/>
      <c r="M360" s="100"/>
      <c r="N360" s="127"/>
      <c r="O360" s="128"/>
      <c r="P360" s="95"/>
      <c r="Q360" s="137"/>
      <c r="R360" s="129"/>
      <c r="S360" s="95"/>
      <c r="T360" s="95"/>
      <c r="V360" s="107"/>
    </row>
  </sheetData>
  <autoFilter ref="$A$12:$V$109"/>
  <customSheetViews>
    <customSheetView guid="{3D5205AB-724F-426F-9D73-83BFCBF63977}" filter="1" showAutoFilter="1">
      <autoFilter ref="$R$18:$R$21"/>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R13"/>
    <hyperlink r:id="rId3" ref="R14"/>
    <hyperlink r:id="rId4" ref="R15"/>
    <hyperlink r:id="rId5" ref="R16"/>
    <hyperlink r:id="rId6" ref="R17"/>
    <hyperlink r:id="rId7" ref="R18"/>
    <hyperlink r:id="rId8" ref="R19"/>
    <hyperlink r:id="rId9" ref="R20"/>
    <hyperlink r:id="rId10" ref="R21"/>
    <hyperlink r:id="rId11" ref="R22"/>
    <hyperlink r:id="rId12" ref="R23"/>
    <hyperlink r:id="rId13" ref="R24"/>
    <hyperlink r:id="rId14" ref="R25"/>
    <hyperlink r:id="rId15" ref="R26"/>
  </hyperlinks>
  <drawing r:id="rId16"/>
  <legacy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4.75"/>
    <col customWidth="1" min="4" max="4" width="0.38"/>
    <col customWidth="1" min="5" max="5" width="15.13"/>
    <col customWidth="1" min="6" max="6" width="18.5"/>
    <col customWidth="1" min="7" max="7" width="0.38"/>
    <col customWidth="1" min="8" max="8" width="14.38"/>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188" t="s">
        <v>372</v>
      </c>
      <c r="B1" s="87" t="s">
        <v>31</v>
      </c>
      <c r="C1" s="87" t="s">
        <v>77</v>
      </c>
      <c r="D1" s="35"/>
      <c r="E1" s="38" t="s">
        <v>33</v>
      </c>
      <c r="F1" s="39"/>
      <c r="G1" s="35"/>
      <c r="H1" s="38" t="s">
        <v>34</v>
      </c>
      <c r="I1" s="39"/>
      <c r="J1" s="13"/>
      <c r="K1" s="159" t="s">
        <v>35</v>
      </c>
      <c r="L1" s="41"/>
      <c r="M1" s="13"/>
      <c r="N1" s="38" t="s">
        <v>36</v>
      </c>
      <c r="O1" s="42"/>
      <c r="P1" s="35"/>
      <c r="Q1" s="38" t="s">
        <v>37</v>
      </c>
      <c r="R1" s="43"/>
      <c r="S1" s="39"/>
      <c r="T1" s="39"/>
      <c r="U1" s="35" t="s">
        <v>38</v>
      </c>
      <c r="V1" s="35"/>
    </row>
    <row r="2">
      <c r="A2" s="35"/>
      <c r="B2" s="39"/>
      <c r="C2" s="39"/>
      <c r="D2" s="13"/>
      <c r="E2" s="160" t="s">
        <v>26</v>
      </c>
      <c r="F2" s="161">
        <f>IFERROR(COUNTIFS(I13:I287, "Full-Pay"),"")</f>
        <v>4</v>
      </c>
      <c r="G2" s="13"/>
      <c r="H2" s="46" t="s">
        <v>16</v>
      </c>
      <c r="I2" s="47">
        <f>iferror(I10/I8,"")</f>
        <v>0.6111111111</v>
      </c>
      <c r="J2" s="12"/>
      <c r="K2" s="162" t="s">
        <v>39</v>
      </c>
      <c r="L2" s="49">
        <f>iferror(F8/I6,"")</f>
        <v>0</v>
      </c>
      <c r="M2" s="12"/>
      <c r="N2" s="50" t="s">
        <v>40</v>
      </c>
      <c r="O2" s="51">
        <f>IFERROR(COUNTIFS(N13:N286, "think about it"),"")</f>
        <v>2</v>
      </c>
      <c r="P2" s="13"/>
      <c r="Q2" s="52" t="s">
        <v>41</v>
      </c>
      <c r="R2" s="53">
        <f>IFERROR(COUNTIF(H13:H286,Q2),"")</f>
        <v>0</v>
      </c>
      <c r="S2" s="52" t="s">
        <v>42</v>
      </c>
      <c r="T2" s="54">
        <f>IFERROR(COUNTIF(H13:H286,S2),"")</f>
        <v>0</v>
      </c>
      <c r="U2" s="35"/>
      <c r="V2" s="55"/>
    </row>
    <row r="3">
      <c r="A3" s="13"/>
      <c r="B3" s="163" t="s">
        <v>43</v>
      </c>
      <c r="C3" s="57">
        <f>IFERROR(SUM(K13:K283),"")</f>
        <v>79500</v>
      </c>
      <c r="D3" s="58"/>
      <c r="E3" s="160" t="s">
        <v>27</v>
      </c>
      <c r="F3" s="161">
        <f>IFERROR(COUNTIFS(I13:I287, "Split-Pay"),"")</f>
        <v>7</v>
      </c>
      <c r="G3" s="13"/>
      <c r="H3" s="46" t="s">
        <v>17</v>
      </c>
      <c r="I3" s="47">
        <f>IFERROR(I10/I9,"")</f>
        <v>0.6111111111</v>
      </c>
      <c r="J3" s="12"/>
      <c r="K3" s="162" t="s">
        <v>44</v>
      </c>
      <c r="L3" s="49">
        <f>iferror(F9/I6,"")</f>
        <v>0</v>
      </c>
      <c r="M3" s="12"/>
      <c r="N3" s="50" t="s">
        <v>45</v>
      </c>
      <c r="O3" s="59">
        <f>IFERROR(COUNTIFS(N13:N286, "money"),"")</f>
        <v>9</v>
      </c>
      <c r="P3" s="13"/>
      <c r="Q3" s="52" t="s">
        <v>46</v>
      </c>
      <c r="R3" s="53">
        <f>IFERROR(COUNTIF(H13:H286,Q3),"")</f>
        <v>0</v>
      </c>
      <c r="S3" s="52" t="s">
        <v>47</v>
      </c>
      <c r="T3" s="54">
        <f>IFERROR(COUNTIF(H13:H286,S3),"")</f>
        <v>0</v>
      </c>
      <c r="U3" s="35"/>
      <c r="V3" s="55"/>
    </row>
    <row r="4">
      <c r="A4" s="13"/>
      <c r="B4" s="164" t="s">
        <v>48</v>
      </c>
      <c r="C4" s="61">
        <f>IFERROR(SUM(L13:L284),"")</f>
        <v>47000</v>
      </c>
      <c r="D4" s="58"/>
      <c r="E4" s="160" t="s">
        <v>28</v>
      </c>
      <c r="F4" s="161">
        <f>IFERROR(COUNTIFS(I13:I287, "Deposit"),"")</f>
        <v>0</v>
      </c>
      <c r="G4" s="13"/>
      <c r="H4" s="189" t="s">
        <v>18</v>
      </c>
      <c r="I4" s="47">
        <f>IFERROR(I9/I8,"")</f>
        <v>1</v>
      </c>
      <c r="J4" s="12"/>
      <c r="K4" s="162" t="s">
        <v>49</v>
      </c>
      <c r="L4" s="49">
        <f>iferror(F10/I6,"")</f>
        <v>0</v>
      </c>
      <c r="M4" s="12"/>
      <c r="N4" s="50" t="s">
        <v>50</v>
      </c>
      <c r="O4" s="51">
        <f>IFERROR(COUNTIFS(N13:N286, "time"),"")</f>
        <v>0</v>
      </c>
      <c r="P4" s="13"/>
      <c r="Q4" s="52" t="s">
        <v>51</v>
      </c>
      <c r="R4" s="53">
        <f>IFERROR(COUNTIF(H13:H286,Q4),"")</f>
        <v>0</v>
      </c>
      <c r="S4" s="52" t="s">
        <v>52</v>
      </c>
      <c r="T4" s="54">
        <f>IFERROR(COUNTIF(H13:H286,S4),"")</f>
        <v>0</v>
      </c>
      <c r="U4" s="35"/>
      <c r="V4" s="35"/>
    </row>
    <row r="5">
      <c r="A5" s="35"/>
      <c r="B5" s="39"/>
      <c r="C5" s="39"/>
      <c r="D5" s="13"/>
      <c r="E5" s="160" t="s">
        <v>53</v>
      </c>
      <c r="F5" s="161">
        <f>IFERROR(COUNTIFS(I13:I287, "Offer &amp; Didn't Buy"),"")</f>
        <v>7</v>
      </c>
      <c r="G5" s="13"/>
      <c r="H5" s="46" t="s">
        <v>54</v>
      </c>
      <c r="I5" s="47">
        <f>IFERROR(F7/(C6+F7+F8),"")</f>
        <v>0</v>
      </c>
      <c r="J5" s="13"/>
      <c r="K5" s="162" t="s">
        <v>54</v>
      </c>
      <c r="L5" s="49">
        <f>iferror(F7/I6,"")</f>
        <v>0</v>
      </c>
      <c r="M5" s="12"/>
      <c r="N5" s="50" t="s">
        <v>55</v>
      </c>
      <c r="O5" s="51">
        <f>IFERROR(COUNTIFS(N13:N286, "partner"),"")</f>
        <v>0</v>
      </c>
      <c r="P5" s="13"/>
      <c r="Q5" s="52" t="s">
        <v>56</v>
      </c>
      <c r="R5" s="53">
        <f>IFERROR(COUNTIF(H13:H286,Q5),"")</f>
        <v>0</v>
      </c>
      <c r="S5" s="52" t="s">
        <v>57</v>
      </c>
      <c r="T5" s="54">
        <f>IFERROR(COUNTIF(H13:H286,S5),"")</f>
        <v>0</v>
      </c>
      <c r="U5" s="35"/>
      <c r="V5" s="55"/>
    </row>
    <row r="6">
      <c r="A6" s="13"/>
      <c r="B6" s="165" t="s">
        <v>58</v>
      </c>
      <c r="C6" s="63">
        <f>IFERROR(SUM(F2:F6),"")</f>
        <v>18</v>
      </c>
      <c r="D6" s="13"/>
      <c r="E6" s="160" t="s">
        <v>59</v>
      </c>
      <c r="F6" s="161">
        <f>IFERROR(COUNTIFS(I13:I287, "Bad Fit &amp; No Offer"),"")</f>
        <v>0</v>
      </c>
      <c r="G6" s="13"/>
      <c r="H6" s="46" t="s">
        <v>21</v>
      </c>
      <c r="I6" s="64">
        <f>IFERROR(SUM(F2:F10),"")</f>
        <v>18</v>
      </c>
      <c r="J6" s="13"/>
      <c r="K6" s="166" t="s">
        <v>29</v>
      </c>
      <c r="L6" s="49">
        <f>iferror(I7/I6,"")</f>
        <v>1</v>
      </c>
      <c r="M6" s="12"/>
      <c r="N6" s="50" t="s">
        <v>60</v>
      </c>
      <c r="O6" s="51">
        <f>IFERROR(COUNTIFS(N13:N286, "fear"),"")</f>
        <v>2</v>
      </c>
      <c r="P6" s="13"/>
      <c r="Q6" s="52" t="s">
        <v>61</v>
      </c>
      <c r="R6" s="53">
        <f>IFERROR(COUNTIF(H13:H286,Q6),"")</f>
        <v>0</v>
      </c>
      <c r="S6" s="52" t="s">
        <v>62</v>
      </c>
      <c r="T6" s="54">
        <f>IFERROR(COUNTIF(H13:H286,S6),"")</f>
        <v>0</v>
      </c>
      <c r="U6" s="35"/>
      <c r="V6" s="55"/>
    </row>
    <row r="7">
      <c r="A7" s="13"/>
      <c r="B7" s="165" t="s">
        <v>63</v>
      </c>
      <c r="C7" s="66">
        <f>IFERROR(F2+F3,"")</f>
        <v>11</v>
      </c>
      <c r="D7" s="13"/>
      <c r="E7" s="160" t="s">
        <v>64</v>
      </c>
      <c r="F7" s="161">
        <f>IFERROR(COUNTIFS(I13:I287, "Drag Over &amp; Show"),"")</f>
        <v>0</v>
      </c>
      <c r="G7" s="13"/>
      <c r="H7" s="46" t="s">
        <v>22</v>
      </c>
      <c r="I7" s="64">
        <f>IFERROR(SUM(F2:F7),"")</f>
        <v>18</v>
      </c>
      <c r="J7" s="13"/>
      <c r="K7" s="167" t="s">
        <v>30</v>
      </c>
      <c r="L7" s="68">
        <f>IFERROR(I8/I6,"")</f>
        <v>1</v>
      </c>
      <c r="M7" s="12"/>
      <c r="N7" s="69" t="s">
        <v>65</v>
      </c>
      <c r="O7" s="70">
        <f>IFERROR(COUNTIFS(N14:N287, "value"),"")</f>
        <v>1</v>
      </c>
      <c r="P7" s="13"/>
      <c r="Q7" s="52" t="s">
        <v>66</v>
      </c>
      <c r="R7" s="53">
        <f>IFERROR(COUNTIF(H13:H286,Q7),"")</f>
        <v>0</v>
      </c>
      <c r="S7" s="52" t="s">
        <v>67</v>
      </c>
      <c r="T7" s="54">
        <f>IFERROR(COUNTIF(H13:H286,S7),"")</f>
        <v>0</v>
      </c>
      <c r="U7" s="35"/>
      <c r="V7" s="35"/>
    </row>
    <row r="8">
      <c r="A8" s="13"/>
      <c r="B8" s="165" t="s">
        <v>68</v>
      </c>
      <c r="C8" s="71">
        <f>COUNTIF(I13:I286,"offer &amp; didn't buy")+countif(I13:I286,"deposit")+countif(I13:I286,"bad fit &amp; no offer")</f>
        <v>7</v>
      </c>
      <c r="D8" s="72"/>
      <c r="E8" s="160" t="s">
        <v>69</v>
      </c>
      <c r="F8" s="161">
        <f>IFERROR(COUNTIFS(I13:I287, "Rescheduled"),"")</f>
        <v>0</v>
      </c>
      <c r="G8" s="13"/>
      <c r="H8" s="46" t="s">
        <v>23</v>
      </c>
      <c r="I8" s="64">
        <f>IFERROR(SUM(F2:F6),"")</f>
        <v>18</v>
      </c>
      <c r="J8" s="35"/>
      <c r="K8" s="35"/>
      <c r="L8" s="35"/>
      <c r="M8" s="35"/>
      <c r="N8" s="35"/>
      <c r="O8" s="74"/>
      <c r="P8" s="13"/>
      <c r="Q8" s="75" t="s">
        <v>70</v>
      </c>
      <c r="R8" s="76">
        <f>IFERROR(COUNTIF(H13:H286,Q8),"")</f>
        <v>0</v>
      </c>
      <c r="S8" s="75" t="s">
        <v>71</v>
      </c>
      <c r="T8" s="77">
        <f>IFERROR(COUNTIF(H13:H286,S8),"")</f>
        <v>0</v>
      </c>
      <c r="U8" s="35"/>
      <c r="V8" s="35"/>
    </row>
    <row r="9">
      <c r="A9" s="13"/>
      <c r="B9" s="165" t="s">
        <v>72</v>
      </c>
      <c r="C9" s="78">
        <f>iferror(SUM(C7/C6),"")</f>
        <v>0.6111111111</v>
      </c>
      <c r="D9" s="12"/>
      <c r="E9" s="160" t="s">
        <v>73</v>
      </c>
      <c r="F9" s="161">
        <f>IFERROR(COUNTIFS(I13:I287, "Cancelled"),"")</f>
        <v>0</v>
      </c>
      <c r="G9" s="13"/>
      <c r="H9" s="46" t="s">
        <v>24</v>
      </c>
      <c r="I9" s="64">
        <f>IFERROR(sum(F2:F5),"")</f>
        <v>18</v>
      </c>
      <c r="J9" s="35"/>
      <c r="K9" s="35"/>
      <c r="L9" s="35"/>
      <c r="M9" s="35"/>
      <c r="N9" s="35"/>
      <c r="O9" s="74"/>
      <c r="P9" s="35"/>
      <c r="Q9" s="35"/>
      <c r="R9" s="35"/>
      <c r="S9" s="35"/>
      <c r="T9" s="35"/>
      <c r="V9" s="35"/>
    </row>
    <row r="10">
      <c r="A10" s="35"/>
      <c r="B10" s="188" t="s">
        <v>373</v>
      </c>
      <c r="C10" s="190">
        <f>C3/C6</f>
        <v>4416.666667</v>
      </c>
      <c r="D10" s="13"/>
      <c r="E10" s="168" t="s">
        <v>74</v>
      </c>
      <c r="F10" s="169">
        <f>IFERROR(COUNTIFS(I13:I287, "No-Show"),"")</f>
        <v>0</v>
      </c>
      <c r="G10" s="13"/>
      <c r="H10" s="81" t="s">
        <v>75</v>
      </c>
      <c r="I10" s="82">
        <f>F2+F3</f>
        <v>11</v>
      </c>
      <c r="J10" s="35"/>
      <c r="K10" s="35"/>
      <c r="L10" s="35"/>
      <c r="M10" s="35"/>
      <c r="N10" s="35"/>
      <c r="O10" s="74"/>
      <c r="P10" s="35"/>
      <c r="Q10" s="35"/>
      <c r="R10" s="35"/>
      <c r="S10" s="35"/>
      <c r="T10" s="35"/>
      <c r="V10" s="35"/>
    </row>
    <row r="11" ht="6.0" customHeight="1">
      <c r="A11" s="35"/>
      <c r="B11" s="35"/>
      <c r="C11" s="35"/>
      <c r="D11" s="35"/>
      <c r="E11" s="35"/>
      <c r="F11" s="35"/>
      <c r="G11" s="35"/>
      <c r="H11" s="35"/>
      <c r="I11" s="35"/>
      <c r="J11" s="35"/>
      <c r="K11" s="35"/>
      <c r="L11" s="35"/>
      <c r="M11" s="35"/>
      <c r="N11" s="35"/>
      <c r="O11" s="74"/>
      <c r="P11" s="35"/>
      <c r="Q11" s="35"/>
      <c r="R11" s="35"/>
      <c r="S11" s="35"/>
      <c r="T11" s="35"/>
      <c r="V11" s="35"/>
    </row>
    <row r="12">
      <c r="A12" s="35"/>
      <c r="B12" s="85" t="s">
        <v>76</v>
      </c>
      <c r="C12" s="85" t="s">
        <v>77</v>
      </c>
      <c r="D12" s="35"/>
      <c r="E12" s="87" t="s">
        <v>78</v>
      </c>
      <c r="F12" s="87" t="s">
        <v>56</v>
      </c>
      <c r="G12" s="35"/>
      <c r="H12" s="87" t="s">
        <v>37</v>
      </c>
      <c r="I12" s="87" t="s">
        <v>33</v>
      </c>
      <c r="J12" s="35"/>
      <c r="K12" s="87" t="s">
        <v>79</v>
      </c>
      <c r="L12" s="87" t="s">
        <v>48</v>
      </c>
      <c r="M12" s="35"/>
      <c r="N12" s="87" t="s">
        <v>80</v>
      </c>
      <c r="O12" s="88" t="s">
        <v>81</v>
      </c>
      <c r="P12" s="35"/>
      <c r="Q12" s="87" t="s">
        <v>82</v>
      </c>
      <c r="R12" s="87" t="s">
        <v>83</v>
      </c>
      <c r="S12" s="87" t="s">
        <v>84</v>
      </c>
      <c r="T12" s="87" t="s">
        <v>85</v>
      </c>
      <c r="V12" s="55"/>
    </row>
    <row r="13" ht="15.75" customHeight="1">
      <c r="A13" s="89"/>
      <c r="B13" s="96" t="s">
        <v>374</v>
      </c>
      <c r="C13" s="191" t="s">
        <v>375</v>
      </c>
      <c r="D13" s="92"/>
      <c r="E13" s="130" t="s">
        <v>376</v>
      </c>
      <c r="F13" s="94" t="s">
        <v>377</v>
      </c>
      <c r="G13" s="95"/>
      <c r="H13" s="96" t="s">
        <v>89</v>
      </c>
      <c r="I13" s="97" t="s">
        <v>276</v>
      </c>
      <c r="J13" s="95"/>
      <c r="K13" s="99">
        <v>6000.0</v>
      </c>
      <c r="L13" s="99">
        <v>3000.0</v>
      </c>
      <c r="M13" s="100"/>
      <c r="N13" s="101"/>
      <c r="O13" s="102"/>
      <c r="P13" s="95"/>
      <c r="Q13" s="103" t="s">
        <v>213</v>
      </c>
      <c r="R13" s="171" t="s">
        <v>378</v>
      </c>
      <c r="S13" s="103" t="s">
        <v>113</v>
      </c>
      <c r="T13" s="105" t="s">
        <v>379</v>
      </c>
      <c r="U13" s="106"/>
      <c r="V13" s="107"/>
    </row>
    <row r="14" ht="15.75" customHeight="1">
      <c r="A14" s="89"/>
      <c r="B14" s="96" t="s">
        <v>374</v>
      </c>
      <c r="C14" s="174" t="s">
        <v>380</v>
      </c>
      <c r="D14" s="92"/>
      <c r="E14" s="130" t="s">
        <v>381</v>
      </c>
      <c r="F14" s="94" t="s">
        <v>382</v>
      </c>
      <c r="G14" s="95"/>
      <c r="H14" s="96" t="s">
        <v>89</v>
      </c>
      <c r="I14" s="97" t="s">
        <v>90</v>
      </c>
      <c r="J14" s="95"/>
      <c r="K14" s="99"/>
      <c r="L14" s="99"/>
      <c r="M14" s="100"/>
      <c r="N14" s="101" t="s">
        <v>45</v>
      </c>
      <c r="O14" s="102" t="s">
        <v>383</v>
      </c>
      <c r="P14" s="95"/>
      <c r="Q14" s="103" t="s">
        <v>213</v>
      </c>
      <c r="R14" s="115"/>
      <c r="S14" s="103" t="s">
        <v>94</v>
      </c>
      <c r="T14" s="105" t="s">
        <v>384</v>
      </c>
      <c r="U14" s="106"/>
      <c r="V14" s="107"/>
    </row>
    <row r="15" ht="15.75" customHeight="1">
      <c r="A15" s="95"/>
      <c r="B15" s="96" t="s">
        <v>385</v>
      </c>
      <c r="C15" s="192" t="s">
        <v>386</v>
      </c>
      <c r="D15" s="95"/>
      <c r="E15" s="130" t="s">
        <v>387</v>
      </c>
      <c r="F15" s="94" t="s">
        <v>388</v>
      </c>
      <c r="G15" s="95"/>
      <c r="H15" s="96" t="s">
        <v>89</v>
      </c>
      <c r="I15" s="97" t="s">
        <v>276</v>
      </c>
      <c r="J15" s="95"/>
      <c r="K15" s="99">
        <v>9000.0</v>
      </c>
      <c r="L15" s="99">
        <v>1500.0</v>
      </c>
      <c r="M15" s="100"/>
      <c r="N15" s="101" t="s">
        <v>45</v>
      </c>
      <c r="O15" s="102" t="s">
        <v>389</v>
      </c>
      <c r="P15" s="95"/>
      <c r="Q15" s="103" t="s">
        <v>111</v>
      </c>
      <c r="R15" s="170" t="s">
        <v>390</v>
      </c>
      <c r="S15" s="103" t="s">
        <v>113</v>
      </c>
      <c r="T15" s="110" t="s">
        <v>391</v>
      </c>
      <c r="U15" s="103"/>
      <c r="V15" s="107"/>
    </row>
    <row r="16" ht="15.75" customHeight="1">
      <c r="A16" s="95"/>
      <c r="B16" s="96" t="s">
        <v>392</v>
      </c>
      <c r="C16" s="108" t="s">
        <v>393</v>
      </c>
      <c r="D16" s="103"/>
      <c r="E16" s="130" t="s">
        <v>394</v>
      </c>
      <c r="F16" s="109" t="s">
        <v>395</v>
      </c>
      <c r="G16" s="95"/>
      <c r="H16" s="96" t="s">
        <v>89</v>
      </c>
      <c r="I16" s="97" t="s">
        <v>90</v>
      </c>
      <c r="J16" s="95"/>
      <c r="K16" s="113"/>
      <c r="L16" s="113"/>
      <c r="M16" s="100"/>
      <c r="N16" s="101" t="s">
        <v>60</v>
      </c>
      <c r="O16" s="102" t="s">
        <v>396</v>
      </c>
      <c r="P16" s="95"/>
      <c r="Q16" s="103" t="s">
        <v>397</v>
      </c>
      <c r="R16" s="170" t="s">
        <v>398</v>
      </c>
      <c r="S16" s="103" t="s">
        <v>94</v>
      </c>
      <c r="T16" s="116" t="s">
        <v>399</v>
      </c>
      <c r="U16" s="103"/>
      <c r="V16" s="107"/>
    </row>
    <row r="17" ht="15.75" customHeight="1">
      <c r="A17" s="95"/>
      <c r="B17" s="96" t="s">
        <v>392</v>
      </c>
      <c r="C17" s="193" t="s">
        <v>400</v>
      </c>
      <c r="D17" s="95"/>
      <c r="E17" s="130" t="s">
        <v>401</v>
      </c>
      <c r="F17" s="194" t="s">
        <v>402</v>
      </c>
      <c r="G17" s="95"/>
      <c r="H17" s="96" t="s">
        <v>89</v>
      </c>
      <c r="I17" s="97" t="s">
        <v>110</v>
      </c>
      <c r="J17" s="95"/>
      <c r="K17" s="99">
        <v>7500.0</v>
      </c>
      <c r="L17" s="99">
        <v>7500.0</v>
      </c>
      <c r="M17" s="100"/>
      <c r="N17" s="101"/>
      <c r="O17" s="128"/>
      <c r="P17" s="95"/>
      <c r="Q17" s="103" t="s">
        <v>308</v>
      </c>
      <c r="R17" s="171" t="s">
        <v>403</v>
      </c>
      <c r="S17" s="103" t="s">
        <v>113</v>
      </c>
      <c r="T17" s="119" t="s">
        <v>404</v>
      </c>
      <c r="U17" s="95"/>
      <c r="V17" s="107"/>
    </row>
    <row r="18" ht="15.75" customHeight="1">
      <c r="A18" s="95"/>
      <c r="B18" s="96" t="s">
        <v>405</v>
      </c>
      <c r="C18" s="195" t="s">
        <v>406</v>
      </c>
      <c r="D18" s="95"/>
      <c r="E18" s="130" t="s">
        <v>407</v>
      </c>
      <c r="F18" s="94" t="s">
        <v>408</v>
      </c>
      <c r="G18" s="95"/>
      <c r="H18" s="96" t="s">
        <v>89</v>
      </c>
      <c r="I18" s="97" t="s">
        <v>276</v>
      </c>
      <c r="J18" s="95"/>
      <c r="K18" s="99">
        <v>7500.0</v>
      </c>
      <c r="L18" s="99">
        <v>5000.0</v>
      </c>
      <c r="M18" s="100"/>
      <c r="N18" s="101" t="s">
        <v>45</v>
      </c>
      <c r="O18" s="102" t="s">
        <v>277</v>
      </c>
      <c r="P18" s="95"/>
      <c r="Q18" s="103" t="s">
        <v>409</v>
      </c>
      <c r="R18" s="170" t="s">
        <v>410</v>
      </c>
      <c r="S18" s="103" t="s">
        <v>113</v>
      </c>
      <c r="T18" s="103" t="s">
        <v>411</v>
      </c>
      <c r="V18" s="107"/>
    </row>
    <row r="19" ht="15.75" customHeight="1">
      <c r="A19" s="95"/>
      <c r="B19" s="96" t="s">
        <v>412</v>
      </c>
      <c r="C19" s="196" t="s">
        <v>413</v>
      </c>
      <c r="D19" s="95"/>
      <c r="E19" s="130" t="s">
        <v>414</v>
      </c>
      <c r="F19" s="194" t="s">
        <v>415</v>
      </c>
      <c r="G19" s="95"/>
      <c r="H19" s="96" t="s">
        <v>89</v>
      </c>
      <c r="I19" s="97" t="s">
        <v>110</v>
      </c>
      <c r="J19" s="95"/>
      <c r="K19" s="99">
        <v>7500.0</v>
      </c>
      <c r="L19" s="99">
        <v>7500.0</v>
      </c>
      <c r="M19" s="100"/>
      <c r="N19" s="101" t="s">
        <v>45</v>
      </c>
      <c r="O19" s="102" t="s">
        <v>416</v>
      </c>
      <c r="P19" s="95"/>
      <c r="Q19" s="103" t="s">
        <v>308</v>
      </c>
      <c r="R19" s="171" t="s">
        <v>417</v>
      </c>
      <c r="S19" s="103" t="s">
        <v>113</v>
      </c>
      <c r="T19" s="119" t="s">
        <v>418</v>
      </c>
      <c r="U19" s="95"/>
      <c r="V19" s="107"/>
    </row>
    <row r="20" ht="15.75" customHeight="1">
      <c r="A20" s="95"/>
      <c r="B20" s="119" t="s">
        <v>419</v>
      </c>
      <c r="C20" s="197" t="s">
        <v>420</v>
      </c>
      <c r="D20" s="95"/>
      <c r="E20" s="130" t="s">
        <v>421</v>
      </c>
      <c r="F20" s="194" t="s">
        <v>422</v>
      </c>
      <c r="G20" s="95"/>
      <c r="H20" s="96" t="s">
        <v>89</v>
      </c>
      <c r="I20" s="97" t="s">
        <v>110</v>
      </c>
      <c r="J20" s="95"/>
      <c r="K20" s="99">
        <v>9000.0</v>
      </c>
      <c r="L20" s="99">
        <v>9000.0</v>
      </c>
      <c r="M20" s="100"/>
      <c r="N20" s="127"/>
      <c r="O20" s="102"/>
      <c r="P20" s="95"/>
      <c r="Q20" s="103" t="s">
        <v>111</v>
      </c>
      <c r="R20" s="171" t="s">
        <v>423</v>
      </c>
      <c r="S20" s="103" t="s">
        <v>113</v>
      </c>
      <c r="T20" s="119" t="s">
        <v>424</v>
      </c>
      <c r="U20" s="95"/>
      <c r="V20" s="107"/>
    </row>
    <row r="21" ht="15.75" customHeight="1">
      <c r="A21" s="89"/>
      <c r="B21" s="96" t="s">
        <v>419</v>
      </c>
      <c r="C21" s="108" t="s">
        <v>425</v>
      </c>
      <c r="D21" s="95"/>
      <c r="E21" s="130" t="s">
        <v>426</v>
      </c>
      <c r="F21" s="194" t="s">
        <v>427</v>
      </c>
      <c r="G21" s="95"/>
      <c r="H21" s="96" t="s">
        <v>89</v>
      </c>
      <c r="I21" s="97" t="s">
        <v>90</v>
      </c>
      <c r="J21" s="95"/>
      <c r="K21" s="99"/>
      <c r="L21" s="99"/>
      <c r="M21" s="100"/>
      <c r="N21" s="101" t="s">
        <v>65</v>
      </c>
      <c r="O21" s="102" t="s">
        <v>428</v>
      </c>
      <c r="P21" s="95"/>
      <c r="Q21" s="103" t="s">
        <v>213</v>
      </c>
      <c r="R21" s="186" t="s">
        <v>429</v>
      </c>
      <c r="S21" s="103" t="s">
        <v>94</v>
      </c>
      <c r="T21" s="103" t="s">
        <v>430</v>
      </c>
      <c r="V21" s="107"/>
    </row>
    <row r="22" ht="15.75" customHeight="1">
      <c r="A22" s="89"/>
      <c r="B22" s="96" t="s">
        <v>431</v>
      </c>
      <c r="C22" s="122" t="s">
        <v>432</v>
      </c>
      <c r="D22" s="95"/>
      <c r="E22" s="130" t="s">
        <v>433</v>
      </c>
      <c r="F22" s="194" t="s">
        <v>434</v>
      </c>
      <c r="G22" s="95"/>
      <c r="H22" s="96" t="s">
        <v>89</v>
      </c>
      <c r="I22" s="97" t="s">
        <v>110</v>
      </c>
      <c r="J22" s="95"/>
      <c r="K22" s="99">
        <v>7500.0</v>
      </c>
      <c r="L22" s="99">
        <v>7500.0</v>
      </c>
      <c r="M22" s="100"/>
      <c r="N22" s="127"/>
      <c r="O22" s="102"/>
      <c r="P22" s="95"/>
      <c r="Q22" s="103" t="s">
        <v>308</v>
      </c>
      <c r="R22" s="171" t="s">
        <v>435</v>
      </c>
      <c r="S22" s="103" t="s">
        <v>113</v>
      </c>
      <c r="T22" s="103" t="s">
        <v>436</v>
      </c>
      <c r="V22" s="107"/>
    </row>
    <row r="23" ht="15.75" customHeight="1">
      <c r="A23" s="89"/>
      <c r="B23" s="96" t="s">
        <v>437</v>
      </c>
      <c r="C23" s="198" t="s">
        <v>438</v>
      </c>
      <c r="D23" s="95"/>
      <c r="E23" s="130" t="s">
        <v>439</v>
      </c>
      <c r="F23" s="194" t="s">
        <v>440</v>
      </c>
      <c r="G23" s="95"/>
      <c r="H23" s="96" t="s">
        <v>89</v>
      </c>
      <c r="I23" s="103" t="s">
        <v>276</v>
      </c>
      <c r="J23" s="95"/>
      <c r="K23" s="99">
        <v>9000.0</v>
      </c>
      <c r="L23" s="99">
        <v>3000.0</v>
      </c>
      <c r="M23" s="100"/>
      <c r="N23" s="101" t="s">
        <v>45</v>
      </c>
      <c r="O23" s="102"/>
      <c r="P23" s="95"/>
      <c r="Q23" s="103" t="s">
        <v>111</v>
      </c>
      <c r="R23" s="171" t="s">
        <v>441</v>
      </c>
      <c r="S23" s="103" t="s">
        <v>113</v>
      </c>
      <c r="T23" s="103" t="s">
        <v>442</v>
      </c>
      <c r="V23" s="107"/>
    </row>
    <row r="24" ht="15.75" customHeight="1">
      <c r="A24" s="89"/>
      <c r="B24" s="96" t="s">
        <v>443</v>
      </c>
      <c r="C24" s="122" t="s">
        <v>444</v>
      </c>
      <c r="D24" s="95"/>
      <c r="E24" s="130" t="s">
        <v>445</v>
      </c>
      <c r="F24" s="194" t="s">
        <v>446</v>
      </c>
      <c r="G24" s="95"/>
      <c r="H24" s="96" t="s">
        <v>89</v>
      </c>
      <c r="I24" s="103" t="s">
        <v>90</v>
      </c>
      <c r="J24" s="95"/>
      <c r="K24" s="113"/>
      <c r="L24" s="113"/>
      <c r="M24" s="100"/>
      <c r="N24" s="101" t="s">
        <v>45</v>
      </c>
      <c r="O24" s="102" t="s">
        <v>447</v>
      </c>
      <c r="P24" s="95"/>
      <c r="Q24" s="103" t="s">
        <v>111</v>
      </c>
      <c r="R24" s="171" t="s">
        <v>448</v>
      </c>
      <c r="S24" s="103" t="s">
        <v>94</v>
      </c>
      <c r="T24" s="103" t="s">
        <v>449</v>
      </c>
      <c r="V24" s="107"/>
    </row>
    <row r="25" ht="15.75" customHeight="1">
      <c r="A25" s="89"/>
      <c r="B25" s="96" t="s">
        <v>450</v>
      </c>
      <c r="C25" s="122" t="s">
        <v>451</v>
      </c>
      <c r="D25" s="95"/>
      <c r="E25" s="130" t="s">
        <v>452</v>
      </c>
      <c r="F25" s="194" t="s">
        <v>453</v>
      </c>
      <c r="G25" s="95"/>
      <c r="H25" s="96" t="s">
        <v>89</v>
      </c>
      <c r="I25" s="103" t="s">
        <v>90</v>
      </c>
      <c r="J25" s="95"/>
      <c r="K25" s="99"/>
      <c r="L25" s="99"/>
      <c r="M25" s="100"/>
      <c r="N25" s="101" t="s">
        <v>91</v>
      </c>
      <c r="O25" s="102" t="s">
        <v>454</v>
      </c>
      <c r="P25" s="95"/>
      <c r="Q25" s="103" t="s">
        <v>111</v>
      </c>
      <c r="R25" s="171" t="s">
        <v>455</v>
      </c>
      <c r="S25" s="103" t="s">
        <v>94</v>
      </c>
      <c r="T25" s="103" t="s">
        <v>456</v>
      </c>
      <c r="V25" s="107"/>
    </row>
    <row r="26" ht="15.75" customHeight="1">
      <c r="A26" s="89"/>
      <c r="B26" s="96" t="s">
        <v>457</v>
      </c>
      <c r="C26" s="122" t="s">
        <v>458</v>
      </c>
      <c r="D26" s="95"/>
      <c r="E26" s="130" t="s">
        <v>459</v>
      </c>
      <c r="F26" s="194" t="s">
        <v>460</v>
      </c>
      <c r="G26" s="95"/>
      <c r="H26" s="96" t="s">
        <v>89</v>
      </c>
      <c r="I26" s="103" t="s">
        <v>90</v>
      </c>
      <c r="J26" s="95"/>
      <c r="K26" s="113"/>
      <c r="L26" s="113"/>
      <c r="M26" s="100"/>
      <c r="N26" s="101" t="s">
        <v>60</v>
      </c>
      <c r="O26" s="102"/>
      <c r="P26" s="95"/>
      <c r="Q26" s="103" t="s">
        <v>308</v>
      </c>
      <c r="R26" s="171" t="s">
        <v>461</v>
      </c>
      <c r="S26" s="103" t="s">
        <v>94</v>
      </c>
      <c r="T26" s="103" t="s">
        <v>462</v>
      </c>
      <c r="V26" s="107"/>
    </row>
    <row r="27" ht="15.75" customHeight="1">
      <c r="A27" s="89"/>
      <c r="B27" s="96" t="s">
        <v>457</v>
      </c>
      <c r="C27" s="122" t="s">
        <v>463</v>
      </c>
      <c r="D27" s="95"/>
      <c r="E27" s="130" t="s">
        <v>464</v>
      </c>
      <c r="F27" s="194" t="s">
        <v>465</v>
      </c>
      <c r="G27" s="95"/>
      <c r="H27" s="96" t="s">
        <v>89</v>
      </c>
      <c r="I27" s="103" t="s">
        <v>276</v>
      </c>
      <c r="J27" s="95"/>
      <c r="K27" s="99"/>
      <c r="L27" s="99"/>
      <c r="M27" s="100"/>
      <c r="N27" s="101" t="s">
        <v>45</v>
      </c>
      <c r="O27" s="128"/>
      <c r="P27" s="95"/>
      <c r="Q27" s="103" t="s">
        <v>111</v>
      </c>
      <c r="R27" s="171" t="s">
        <v>466</v>
      </c>
      <c r="S27" s="103" t="s">
        <v>113</v>
      </c>
      <c r="T27" s="103" t="s">
        <v>467</v>
      </c>
      <c r="V27" s="107"/>
    </row>
    <row r="28" ht="15.75" customHeight="1">
      <c r="A28" s="89"/>
      <c r="B28" s="96" t="s">
        <v>457</v>
      </c>
      <c r="C28" s="122" t="s">
        <v>468</v>
      </c>
      <c r="D28" s="95"/>
      <c r="E28" s="130" t="s">
        <v>469</v>
      </c>
      <c r="F28" s="194" t="s">
        <v>470</v>
      </c>
      <c r="G28" s="95"/>
      <c r="H28" s="96" t="s">
        <v>89</v>
      </c>
      <c r="I28" s="103" t="s">
        <v>90</v>
      </c>
      <c r="J28" s="95"/>
      <c r="K28" s="113"/>
      <c r="L28" s="113"/>
      <c r="M28" s="100"/>
      <c r="N28" s="101" t="s">
        <v>91</v>
      </c>
      <c r="O28" s="102"/>
      <c r="P28" s="95"/>
      <c r="Q28" s="103" t="s">
        <v>308</v>
      </c>
      <c r="R28" s="170" t="s">
        <v>471</v>
      </c>
      <c r="S28" s="103" t="s">
        <v>94</v>
      </c>
      <c r="T28" s="103" t="s">
        <v>472</v>
      </c>
      <c r="V28" s="107"/>
    </row>
    <row r="29" ht="15.75" customHeight="1">
      <c r="A29" s="89"/>
      <c r="B29" s="96" t="s">
        <v>473</v>
      </c>
      <c r="C29" s="172" t="s">
        <v>474</v>
      </c>
      <c r="D29" s="95"/>
      <c r="E29" s="130" t="s">
        <v>475</v>
      </c>
      <c r="F29" s="194" t="s">
        <v>476</v>
      </c>
      <c r="G29" s="95"/>
      <c r="H29" s="96" t="s">
        <v>89</v>
      </c>
      <c r="I29" s="103" t="s">
        <v>276</v>
      </c>
      <c r="J29" s="95"/>
      <c r="K29" s="99">
        <v>7500.0</v>
      </c>
      <c r="L29" s="99">
        <v>1500.0</v>
      </c>
      <c r="M29" s="100"/>
      <c r="N29" s="101" t="s">
        <v>45</v>
      </c>
      <c r="O29" s="128"/>
      <c r="P29" s="95"/>
      <c r="Q29" s="103" t="s">
        <v>308</v>
      </c>
      <c r="R29" s="171" t="s">
        <v>477</v>
      </c>
      <c r="S29" s="103" t="s">
        <v>113</v>
      </c>
      <c r="T29" s="103" t="s">
        <v>478</v>
      </c>
      <c r="V29" s="107"/>
    </row>
    <row r="30" ht="15.75" customHeight="1">
      <c r="A30" s="89"/>
      <c r="B30" s="96" t="s">
        <v>473</v>
      </c>
      <c r="C30" s="122" t="s">
        <v>479</v>
      </c>
      <c r="D30" s="95"/>
      <c r="E30" s="130" t="s">
        <v>480</v>
      </c>
      <c r="F30" s="194" t="s">
        <v>481</v>
      </c>
      <c r="G30" s="95"/>
      <c r="H30" s="96" t="s">
        <v>89</v>
      </c>
      <c r="I30" s="103" t="s">
        <v>276</v>
      </c>
      <c r="J30" s="95"/>
      <c r="K30" s="99">
        <v>9000.0</v>
      </c>
      <c r="L30" s="99">
        <v>1500.0</v>
      </c>
      <c r="M30" s="100"/>
      <c r="N30" s="101" t="s">
        <v>45</v>
      </c>
      <c r="O30" s="128"/>
      <c r="P30" s="95"/>
      <c r="Q30" s="103" t="s">
        <v>111</v>
      </c>
      <c r="R30" s="171" t="s">
        <v>482</v>
      </c>
      <c r="S30" s="103" t="s">
        <v>113</v>
      </c>
      <c r="T30" s="103" t="s">
        <v>483</v>
      </c>
      <c r="V30" s="107"/>
    </row>
    <row r="31" ht="15.75" customHeight="1">
      <c r="A31" s="89"/>
      <c r="B31" s="177"/>
      <c r="C31" s="97"/>
      <c r="D31" s="95"/>
      <c r="E31" s="176"/>
      <c r="F31" s="144"/>
      <c r="G31" s="95"/>
      <c r="H31" s="96"/>
      <c r="I31" s="103"/>
      <c r="J31" s="95"/>
      <c r="K31" s="99"/>
      <c r="L31" s="99"/>
      <c r="M31" s="100"/>
      <c r="N31" s="101"/>
      <c r="O31" s="102"/>
      <c r="P31" s="95"/>
      <c r="Q31" s="114"/>
      <c r="R31" s="106"/>
      <c r="S31" s="103"/>
      <c r="T31" s="103"/>
      <c r="V31" s="107"/>
    </row>
    <row r="32" ht="15.75" customHeight="1">
      <c r="A32" s="89"/>
      <c r="B32" s="177"/>
      <c r="C32" s="97"/>
      <c r="D32" s="95"/>
      <c r="E32" s="176"/>
      <c r="F32" s="144"/>
      <c r="G32" s="95"/>
      <c r="H32" s="96"/>
      <c r="I32" s="103"/>
      <c r="J32" s="95"/>
      <c r="K32" s="113"/>
      <c r="L32" s="113"/>
      <c r="M32" s="100"/>
      <c r="N32" s="127"/>
      <c r="O32" s="128"/>
      <c r="P32" s="95"/>
      <c r="Q32" s="95"/>
      <c r="R32" s="129"/>
      <c r="S32" s="95"/>
      <c r="T32" s="95"/>
      <c r="V32" s="107"/>
    </row>
    <row r="33" ht="15.75" customHeight="1">
      <c r="A33" s="89"/>
      <c r="B33" s="177"/>
      <c r="C33" s="97"/>
      <c r="D33" s="95"/>
      <c r="E33" s="176"/>
      <c r="F33" s="146"/>
      <c r="G33" s="95"/>
      <c r="H33" s="96"/>
      <c r="I33" s="103"/>
      <c r="J33" s="95"/>
      <c r="K33" s="99"/>
      <c r="L33" s="99"/>
      <c r="M33" s="100"/>
      <c r="N33" s="101"/>
      <c r="O33" s="102"/>
      <c r="P33" s="95"/>
      <c r="Q33" s="114"/>
      <c r="R33" s="106"/>
      <c r="S33" s="103"/>
      <c r="T33" s="103"/>
      <c r="V33" s="107"/>
    </row>
    <row r="34" ht="15.75" customHeight="1">
      <c r="A34" s="89"/>
      <c r="B34" s="177"/>
      <c r="C34" s="97"/>
      <c r="D34" s="95"/>
      <c r="E34" s="176"/>
      <c r="F34" s="144"/>
      <c r="G34" s="95"/>
      <c r="H34" s="96"/>
      <c r="I34" s="103"/>
      <c r="J34" s="95"/>
      <c r="K34" s="113"/>
      <c r="L34" s="113"/>
      <c r="M34" s="100"/>
      <c r="N34" s="127"/>
      <c r="O34" s="128"/>
      <c r="P34" s="95"/>
      <c r="Q34" s="95"/>
      <c r="R34" s="129"/>
      <c r="S34" s="95"/>
      <c r="T34" s="95"/>
      <c r="V34" s="107"/>
    </row>
    <row r="35" ht="15.75" customHeight="1">
      <c r="A35" s="89"/>
      <c r="B35" s="177"/>
      <c r="C35" s="103"/>
      <c r="D35" s="95"/>
      <c r="E35" s="176"/>
      <c r="F35" s="144"/>
      <c r="G35" s="95"/>
      <c r="H35" s="96"/>
      <c r="I35" s="103"/>
      <c r="J35" s="95"/>
      <c r="K35" s="99"/>
      <c r="L35" s="99"/>
      <c r="M35" s="100"/>
      <c r="N35" s="127"/>
      <c r="O35" s="128"/>
      <c r="P35" s="95"/>
      <c r="Q35" s="95"/>
      <c r="R35" s="129"/>
      <c r="S35" s="95"/>
      <c r="T35" s="95"/>
      <c r="V35" s="107"/>
    </row>
    <row r="36" ht="15.75" customHeight="1">
      <c r="A36" s="89"/>
      <c r="B36" s="177"/>
      <c r="C36" s="103"/>
      <c r="D36" s="95"/>
      <c r="E36" s="176"/>
      <c r="F36" s="146"/>
      <c r="G36" s="95"/>
      <c r="H36" s="96"/>
      <c r="I36" s="103"/>
      <c r="J36" s="95"/>
      <c r="K36" s="113"/>
      <c r="L36" s="113"/>
      <c r="M36" s="100"/>
      <c r="N36" s="127"/>
      <c r="O36" s="128"/>
      <c r="P36" s="95"/>
      <c r="Q36" s="95"/>
      <c r="R36" s="129"/>
      <c r="S36" s="95"/>
      <c r="T36" s="103"/>
      <c r="V36" s="107"/>
    </row>
    <row r="37" ht="15.75" customHeight="1">
      <c r="A37" s="89"/>
      <c r="B37" s="177"/>
      <c r="C37" s="97"/>
      <c r="D37" s="95"/>
      <c r="E37" s="176"/>
      <c r="F37" s="144"/>
      <c r="G37" s="95"/>
      <c r="H37" s="96"/>
      <c r="I37" s="103"/>
      <c r="J37" s="95"/>
      <c r="K37" s="99"/>
      <c r="L37" s="99"/>
      <c r="M37" s="100"/>
      <c r="N37" s="101"/>
      <c r="O37" s="102"/>
      <c r="P37" s="95"/>
      <c r="Q37" s="114"/>
      <c r="R37" s="106"/>
      <c r="S37" s="103"/>
      <c r="T37" s="103"/>
      <c r="V37" s="107"/>
    </row>
    <row r="38" ht="15.75" customHeight="1">
      <c r="A38" s="89"/>
      <c r="B38" s="177"/>
      <c r="C38" s="97"/>
      <c r="D38" s="95"/>
      <c r="E38" s="176"/>
      <c r="F38" s="144"/>
      <c r="G38" s="95"/>
      <c r="H38" s="96"/>
      <c r="I38" s="103"/>
      <c r="J38" s="95"/>
      <c r="K38" s="113"/>
      <c r="L38" s="113"/>
      <c r="M38" s="100"/>
      <c r="N38" s="127"/>
      <c r="O38" s="128"/>
      <c r="P38" s="95"/>
      <c r="Q38" s="135"/>
      <c r="R38" s="106"/>
      <c r="S38" s="95"/>
      <c r="V38" s="107"/>
    </row>
    <row r="39" ht="15.75" customHeight="1">
      <c r="A39" s="89"/>
      <c r="B39" s="177"/>
      <c r="C39" s="97"/>
      <c r="D39" s="95"/>
      <c r="E39" s="176"/>
      <c r="F39" s="178"/>
      <c r="G39" s="95"/>
      <c r="H39" s="96"/>
      <c r="I39" s="103"/>
      <c r="J39" s="95"/>
      <c r="K39" s="99"/>
      <c r="L39" s="99"/>
      <c r="M39" s="100"/>
      <c r="N39" s="127"/>
      <c r="O39" s="128"/>
      <c r="P39" s="95"/>
      <c r="Q39" s="114"/>
      <c r="R39" s="106"/>
      <c r="S39" s="95"/>
      <c r="T39" s="103"/>
      <c r="V39" s="107"/>
    </row>
    <row r="40" ht="15.75" customHeight="1">
      <c r="A40" s="89"/>
      <c r="B40" s="177"/>
      <c r="C40" s="97"/>
      <c r="D40" s="95"/>
      <c r="E40" s="176"/>
      <c r="F40" s="144"/>
      <c r="G40" s="95"/>
      <c r="H40" s="96"/>
      <c r="I40" s="103"/>
      <c r="J40" s="95"/>
      <c r="K40" s="113"/>
      <c r="L40" s="113"/>
      <c r="M40" s="100"/>
      <c r="N40" s="101"/>
      <c r="O40" s="102"/>
      <c r="P40" s="95"/>
      <c r="Q40" s="114"/>
      <c r="R40" s="106"/>
      <c r="S40" s="103"/>
      <c r="T40" s="103"/>
      <c r="V40" s="107"/>
    </row>
    <row r="41" ht="15.75" customHeight="1">
      <c r="A41" s="89"/>
      <c r="B41" s="177"/>
      <c r="C41" s="97"/>
      <c r="D41" s="95"/>
      <c r="E41" s="96"/>
      <c r="F41" s="146"/>
      <c r="G41" s="95"/>
      <c r="H41" s="96"/>
      <c r="I41" s="103"/>
      <c r="J41" s="95"/>
      <c r="K41" s="99"/>
      <c r="L41" s="99"/>
      <c r="M41" s="100"/>
      <c r="N41" s="127"/>
      <c r="O41" s="128"/>
      <c r="P41" s="95"/>
      <c r="Q41" s="95"/>
      <c r="R41" s="129"/>
      <c r="S41" s="95"/>
      <c r="T41" s="95"/>
      <c r="V41" s="107"/>
    </row>
    <row r="42" ht="15.75" customHeight="1">
      <c r="A42" s="89"/>
      <c r="B42" s="177"/>
      <c r="C42" s="103"/>
      <c r="D42" s="95"/>
      <c r="E42" s="176"/>
      <c r="F42" s="96"/>
      <c r="G42" s="95"/>
      <c r="H42" s="96"/>
      <c r="I42" s="103"/>
      <c r="J42" s="95"/>
      <c r="K42" s="113"/>
      <c r="L42" s="113"/>
      <c r="M42" s="100"/>
      <c r="N42" s="101"/>
      <c r="O42" s="102"/>
      <c r="P42" s="95"/>
      <c r="Q42" s="114"/>
      <c r="R42" s="106"/>
      <c r="S42" s="103"/>
      <c r="T42" s="103"/>
      <c r="V42" s="107"/>
    </row>
    <row r="43" ht="15.75" customHeight="1">
      <c r="A43" s="89"/>
      <c r="B43" s="177"/>
      <c r="C43" s="103"/>
      <c r="D43" s="95"/>
      <c r="E43" s="176"/>
      <c r="F43" s="144"/>
      <c r="G43" s="95"/>
      <c r="H43" s="96"/>
      <c r="I43" s="103"/>
      <c r="J43" s="95"/>
      <c r="K43" s="99"/>
      <c r="L43" s="99"/>
      <c r="M43" s="100"/>
      <c r="N43" s="127"/>
      <c r="O43" s="128"/>
      <c r="P43" s="95"/>
      <c r="Q43" s="137"/>
      <c r="R43" s="129"/>
      <c r="S43" s="95"/>
      <c r="T43" s="95"/>
      <c r="V43" s="107"/>
    </row>
    <row r="44" ht="15.75" customHeight="1">
      <c r="A44" s="89"/>
      <c r="B44" s="177"/>
      <c r="C44" s="103"/>
      <c r="D44" s="95"/>
      <c r="E44" s="176"/>
      <c r="F44" s="144"/>
      <c r="G44" s="95"/>
      <c r="H44" s="96"/>
      <c r="I44" s="103"/>
      <c r="J44" s="95"/>
      <c r="K44" s="113"/>
      <c r="L44" s="113"/>
      <c r="M44" s="100"/>
      <c r="N44" s="127"/>
      <c r="O44" s="128"/>
      <c r="P44" s="95"/>
      <c r="Q44" s="95"/>
      <c r="R44" s="129"/>
      <c r="S44" s="95"/>
      <c r="T44" s="95"/>
      <c r="V44" s="107"/>
    </row>
    <row r="45" ht="15.75" customHeight="1">
      <c r="A45" s="89"/>
      <c r="B45" s="177"/>
      <c r="C45" s="97"/>
      <c r="D45" s="95"/>
      <c r="E45" s="176"/>
      <c r="F45" s="144"/>
      <c r="G45" s="95"/>
      <c r="H45" s="96"/>
      <c r="I45" s="103"/>
      <c r="J45" s="95"/>
      <c r="K45" s="99"/>
      <c r="L45" s="99"/>
      <c r="M45" s="100"/>
      <c r="N45" s="127"/>
      <c r="O45" s="128"/>
      <c r="P45" s="95"/>
      <c r="Q45" s="95"/>
      <c r="R45" s="129"/>
      <c r="S45" s="95"/>
      <c r="T45" s="95"/>
      <c r="V45" s="107"/>
    </row>
    <row r="46" ht="15.75" customHeight="1">
      <c r="A46" s="89"/>
      <c r="B46" s="177"/>
      <c r="C46" s="97"/>
      <c r="D46" s="95"/>
      <c r="E46" s="176"/>
      <c r="F46" s="144"/>
      <c r="G46" s="95"/>
      <c r="H46" s="96"/>
      <c r="I46" s="103"/>
      <c r="J46" s="95"/>
      <c r="K46" s="113"/>
      <c r="L46" s="113"/>
      <c r="M46" s="100"/>
      <c r="N46" s="127"/>
      <c r="O46" s="128"/>
      <c r="P46" s="95"/>
      <c r="Q46" s="95"/>
      <c r="R46" s="129"/>
      <c r="S46" s="95"/>
      <c r="T46" s="95"/>
      <c r="V46" s="107"/>
    </row>
    <row r="47" ht="15.75" customHeight="1">
      <c r="A47" s="89"/>
      <c r="B47" s="177"/>
      <c r="C47" s="97"/>
      <c r="D47" s="95"/>
      <c r="E47" s="176"/>
      <c r="F47" s="144"/>
      <c r="G47" s="95"/>
      <c r="H47" s="96"/>
      <c r="I47" s="103"/>
      <c r="J47" s="95"/>
      <c r="K47" s="99"/>
      <c r="L47" s="99"/>
      <c r="M47" s="100"/>
      <c r="N47" s="101"/>
      <c r="O47" s="102"/>
      <c r="P47" s="95"/>
      <c r="Q47" s="114"/>
      <c r="R47" s="115"/>
      <c r="S47" s="103"/>
      <c r="T47" s="103"/>
      <c r="V47" s="107"/>
    </row>
    <row r="48" ht="15.75" customHeight="1">
      <c r="A48" s="89"/>
      <c r="B48" s="177"/>
      <c r="C48" s="97"/>
      <c r="D48" s="95"/>
      <c r="E48" s="176"/>
      <c r="F48" s="144"/>
      <c r="G48" s="95"/>
      <c r="H48" s="96"/>
      <c r="I48" s="103"/>
      <c r="J48" s="95"/>
      <c r="K48" s="113"/>
      <c r="L48" s="113"/>
      <c r="M48" s="100"/>
      <c r="N48" s="101"/>
      <c r="O48" s="102"/>
      <c r="P48" s="95"/>
      <c r="Q48" s="135"/>
      <c r="R48" s="106"/>
      <c r="S48" s="103"/>
      <c r="T48" s="103"/>
      <c r="V48" s="107"/>
    </row>
    <row r="49" ht="15.75" customHeight="1">
      <c r="A49" s="89"/>
      <c r="B49" s="177"/>
      <c r="C49" s="97"/>
      <c r="D49" s="95"/>
      <c r="E49" s="176"/>
      <c r="F49" s="144"/>
      <c r="G49" s="95"/>
      <c r="H49" s="96"/>
      <c r="I49" s="103"/>
      <c r="J49" s="95"/>
      <c r="K49" s="99"/>
      <c r="L49" s="99"/>
      <c r="M49" s="100"/>
      <c r="N49" s="101"/>
      <c r="O49" s="102"/>
      <c r="P49" s="95"/>
      <c r="Q49" s="135"/>
      <c r="R49" s="106"/>
      <c r="S49" s="103"/>
      <c r="T49" s="103"/>
      <c r="V49" s="107"/>
    </row>
    <row r="50" ht="15.75" customHeight="1">
      <c r="A50" s="89"/>
      <c r="B50" s="177"/>
      <c r="C50" s="103"/>
      <c r="D50" s="95"/>
      <c r="E50" s="176"/>
      <c r="F50" s="146"/>
      <c r="G50" s="95"/>
      <c r="H50" s="96"/>
      <c r="I50" s="103"/>
      <c r="J50" s="95"/>
      <c r="K50" s="113"/>
      <c r="L50" s="113"/>
      <c r="M50" s="100"/>
      <c r="N50" s="127"/>
      <c r="O50" s="128"/>
      <c r="P50" s="95"/>
      <c r="Q50" s="95"/>
      <c r="R50" s="129"/>
      <c r="S50" s="95"/>
      <c r="T50" s="103"/>
      <c r="V50" s="107"/>
    </row>
    <row r="51" ht="15.75" customHeight="1">
      <c r="A51" s="89"/>
      <c r="B51" s="177"/>
      <c r="C51" s="103"/>
      <c r="D51" s="95"/>
      <c r="E51" s="176"/>
      <c r="F51" s="179"/>
      <c r="G51" s="95"/>
      <c r="H51" s="96"/>
      <c r="I51" s="103"/>
      <c r="J51" s="95"/>
      <c r="K51" s="99"/>
      <c r="L51" s="99"/>
      <c r="M51" s="100"/>
      <c r="N51" s="101"/>
      <c r="O51" s="102"/>
      <c r="P51" s="95"/>
      <c r="Q51" s="137"/>
      <c r="R51" s="129"/>
      <c r="S51" s="103"/>
      <c r="T51" s="103"/>
      <c r="V51" s="107"/>
    </row>
    <row r="52" ht="15.75" customHeight="1">
      <c r="A52" s="89"/>
      <c r="B52" s="177"/>
      <c r="C52" s="103"/>
      <c r="D52" s="95"/>
      <c r="E52" s="176"/>
      <c r="F52" s="144"/>
      <c r="G52" s="95"/>
      <c r="H52" s="96"/>
      <c r="I52" s="103"/>
      <c r="J52" s="95"/>
      <c r="K52" s="113"/>
      <c r="L52" s="113"/>
      <c r="M52" s="100"/>
      <c r="N52" s="127"/>
      <c r="O52" s="128"/>
      <c r="P52" s="95"/>
      <c r="Q52" s="137"/>
      <c r="R52" s="129"/>
      <c r="S52" s="95"/>
      <c r="T52" s="95"/>
      <c r="V52" s="107"/>
    </row>
    <row r="53" ht="15.75" customHeight="1">
      <c r="A53" s="89"/>
      <c r="B53" s="177"/>
      <c r="C53" s="97"/>
      <c r="D53" s="95"/>
      <c r="E53" s="176"/>
      <c r="F53" s="144"/>
      <c r="G53" s="95"/>
      <c r="H53" s="96"/>
      <c r="I53" s="103"/>
      <c r="J53" s="95"/>
      <c r="K53" s="99"/>
      <c r="L53" s="99"/>
      <c r="M53" s="100"/>
      <c r="N53" s="127"/>
      <c r="O53" s="128"/>
      <c r="P53" s="95"/>
      <c r="Q53" s="135"/>
      <c r="R53" s="106"/>
      <c r="S53" s="95"/>
      <c r="T53" s="103"/>
      <c r="V53" s="107"/>
    </row>
    <row r="54" ht="15.75" customHeight="1">
      <c r="A54" s="89"/>
      <c r="B54" s="177"/>
      <c r="C54" s="96"/>
      <c r="D54" s="95"/>
      <c r="E54" s="176"/>
      <c r="F54" s="144"/>
      <c r="G54" s="95"/>
      <c r="H54" s="96"/>
      <c r="I54" s="103"/>
      <c r="J54" s="95"/>
      <c r="K54" s="113"/>
      <c r="L54" s="113"/>
      <c r="M54" s="100"/>
      <c r="N54" s="101"/>
      <c r="O54" s="102"/>
      <c r="P54" s="95"/>
      <c r="Q54" s="135"/>
      <c r="R54" s="139"/>
      <c r="S54" s="103"/>
      <c r="T54" s="103"/>
      <c r="V54" s="107"/>
    </row>
    <row r="55" ht="15.75" customHeight="1">
      <c r="A55" s="89"/>
      <c r="B55" s="177"/>
      <c r="C55" s="96"/>
      <c r="D55" s="95"/>
      <c r="E55" s="176"/>
      <c r="F55" s="146"/>
      <c r="G55" s="95"/>
      <c r="H55" s="96"/>
      <c r="I55" s="103"/>
      <c r="J55" s="95"/>
      <c r="K55" s="99"/>
      <c r="L55" s="99"/>
      <c r="M55" s="100"/>
      <c r="N55" s="101"/>
      <c r="O55" s="102"/>
      <c r="P55" s="95"/>
      <c r="Q55" s="135"/>
      <c r="R55" s="106"/>
      <c r="S55" s="103"/>
      <c r="T55" s="103"/>
      <c r="V55" s="107"/>
    </row>
    <row r="56" ht="15.75" customHeight="1">
      <c r="A56" s="89"/>
      <c r="B56" s="177"/>
      <c r="C56" s="96"/>
      <c r="D56" s="95"/>
      <c r="E56" s="176"/>
      <c r="F56" s="144"/>
      <c r="G56" s="95"/>
      <c r="H56" s="96"/>
      <c r="I56" s="103"/>
      <c r="J56" s="95"/>
      <c r="K56" s="113"/>
      <c r="L56" s="113"/>
      <c r="M56" s="100"/>
      <c r="N56" s="127"/>
      <c r="O56" s="128"/>
      <c r="P56" s="95"/>
      <c r="Q56" s="114"/>
      <c r="R56" s="106"/>
      <c r="S56" s="95"/>
      <c r="T56" s="103"/>
      <c r="V56" s="107"/>
    </row>
    <row r="57" ht="15.75" customHeight="1">
      <c r="A57" s="89"/>
      <c r="B57" s="177"/>
      <c r="C57" s="96"/>
      <c r="D57" s="95"/>
      <c r="E57" s="176"/>
      <c r="F57" s="144"/>
      <c r="G57" s="95"/>
      <c r="H57" s="96"/>
      <c r="I57" s="103"/>
      <c r="J57" s="95"/>
      <c r="K57" s="99"/>
      <c r="L57" s="99"/>
      <c r="M57" s="100"/>
      <c r="N57" s="127"/>
      <c r="O57" s="128"/>
      <c r="P57" s="95"/>
      <c r="Q57" s="137"/>
      <c r="R57" s="129"/>
      <c r="S57" s="95"/>
      <c r="T57" s="103"/>
      <c r="V57" s="107"/>
    </row>
    <row r="58" ht="15.75" customHeight="1">
      <c r="A58" s="89"/>
      <c r="B58" s="177"/>
      <c r="C58" s="106"/>
      <c r="D58" s="95"/>
      <c r="E58" s="176"/>
      <c r="F58" s="144"/>
      <c r="G58" s="95"/>
      <c r="H58" s="96"/>
      <c r="I58" s="103"/>
      <c r="J58" s="95"/>
      <c r="K58" s="113"/>
      <c r="L58" s="113"/>
      <c r="M58" s="100"/>
      <c r="N58" s="101"/>
      <c r="O58" s="102"/>
      <c r="P58" s="95"/>
      <c r="Q58" s="114"/>
      <c r="R58" s="106"/>
      <c r="S58" s="103"/>
      <c r="T58" s="103"/>
      <c r="V58" s="107"/>
    </row>
    <row r="59" ht="15.75" customHeight="1">
      <c r="A59" s="89"/>
      <c r="B59" s="177"/>
      <c r="C59" s="106"/>
      <c r="D59" s="95"/>
      <c r="E59" s="176"/>
      <c r="F59" s="144"/>
      <c r="G59" s="95"/>
      <c r="H59" s="96"/>
      <c r="I59" s="103"/>
      <c r="J59" s="95"/>
      <c r="K59" s="99"/>
      <c r="L59" s="99"/>
      <c r="M59" s="100"/>
      <c r="N59" s="127"/>
      <c r="O59" s="128"/>
      <c r="P59" s="95"/>
      <c r="Q59" s="95"/>
      <c r="R59" s="129"/>
      <c r="S59" s="95"/>
      <c r="T59" s="95"/>
      <c r="V59" s="107"/>
    </row>
    <row r="60" ht="15.75" customHeight="1">
      <c r="A60" s="89"/>
      <c r="B60" s="177"/>
      <c r="C60" s="106"/>
      <c r="D60" s="95"/>
      <c r="E60" s="96"/>
      <c r="F60" s="144"/>
      <c r="G60" s="95"/>
      <c r="H60" s="96"/>
      <c r="I60" s="103"/>
      <c r="J60" s="95"/>
      <c r="K60" s="113"/>
      <c r="L60" s="113"/>
      <c r="M60" s="100"/>
      <c r="N60" s="127"/>
      <c r="O60" s="128"/>
      <c r="P60" s="95"/>
      <c r="Q60" s="114"/>
      <c r="R60" s="106"/>
      <c r="S60" s="95"/>
      <c r="T60" s="103"/>
      <c r="V60" s="107"/>
    </row>
    <row r="61" ht="15.75" customHeight="1">
      <c r="A61" s="89"/>
      <c r="B61" s="177"/>
      <c r="C61" s="96"/>
      <c r="D61" s="95"/>
      <c r="E61" s="176"/>
      <c r="F61" s="146"/>
      <c r="G61" s="95"/>
      <c r="H61" s="96"/>
      <c r="I61" s="103"/>
      <c r="J61" s="95"/>
      <c r="K61" s="99"/>
      <c r="L61" s="99"/>
      <c r="M61" s="100"/>
      <c r="N61" s="127"/>
      <c r="O61" s="128"/>
      <c r="P61" s="95"/>
      <c r="Q61" s="95"/>
      <c r="R61" s="129"/>
      <c r="S61" s="95"/>
      <c r="T61" s="95"/>
      <c r="V61" s="107"/>
    </row>
    <row r="62" ht="15.75" customHeight="1">
      <c r="A62" s="89"/>
      <c r="B62" s="177"/>
      <c r="C62" s="96"/>
      <c r="D62" s="95"/>
      <c r="E62" s="176"/>
      <c r="F62" s="144"/>
      <c r="G62" s="95"/>
      <c r="H62" s="96"/>
      <c r="I62" s="103"/>
      <c r="J62" s="95"/>
      <c r="K62" s="113"/>
      <c r="L62" s="113"/>
      <c r="M62" s="100"/>
      <c r="N62" s="127"/>
      <c r="O62" s="128"/>
      <c r="P62" s="95"/>
      <c r="Q62" s="95"/>
      <c r="R62" s="129"/>
      <c r="S62" s="95"/>
      <c r="T62" s="95"/>
      <c r="V62" s="107"/>
    </row>
    <row r="63" ht="15.75" customHeight="1">
      <c r="A63" s="89"/>
      <c r="B63" s="177"/>
      <c r="C63" s="140"/>
      <c r="D63" s="95"/>
      <c r="E63" s="176"/>
      <c r="F63" s="146"/>
      <c r="G63" s="95"/>
      <c r="H63" s="96"/>
      <c r="I63" s="103"/>
      <c r="J63" s="95"/>
      <c r="K63" s="99"/>
      <c r="L63" s="99"/>
      <c r="M63" s="100"/>
      <c r="N63" s="127"/>
      <c r="O63" s="128"/>
      <c r="P63" s="95"/>
      <c r="Q63" s="95"/>
      <c r="R63" s="129"/>
      <c r="S63" s="95"/>
      <c r="T63" s="95"/>
      <c r="V63" s="107"/>
    </row>
    <row r="64" ht="15.75" customHeight="1">
      <c r="A64" s="89"/>
      <c r="B64" s="177"/>
      <c r="C64" s="141"/>
      <c r="D64" s="95"/>
      <c r="E64" s="176"/>
      <c r="F64" s="144"/>
      <c r="G64" s="95"/>
      <c r="H64" s="96"/>
      <c r="I64" s="103"/>
      <c r="J64" s="95"/>
      <c r="K64" s="113"/>
      <c r="L64" s="113"/>
      <c r="M64" s="100"/>
      <c r="N64" s="101"/>
      <c r="O64" s="102"/>
      <c r="P64" s="95"/>
      <c r="Q64" s="114"/>
      <c r="R64" s="115"/>
      <c r="S64" s="103"/>
      <c r="T64" s="103"/>
      <c r="V64" s="107"/>
    </row>
    <row r="65" ht="15.75" customHeight="1">
      <c r="A65" s="89"/>
      <c r="B65" s="177"/>
      <c r="C65" s="97"/>
      <c r="D65" s="95"/>
      <c r="E65" s="176"/>
      <c r="F65" s="144"/>
      <c r="G65" s="95"/>
      <c r="H65" s="96"/>
      <c r="I65" s="103"/>
      <c r="J65" s="95"/>
      <c r="K65" s="99"/>
      <c r="L65" s="99"/>
      <c r="M65" s="100"/>
      <c r="N65" s="101"/>
      <c r="O65" s="102"/>
      <c r="P65" s="95"/>
      <c r="Q65" s="135"/>
      <c r="R65" s="115"/>
      <c r="S65" s="103"/>
      <c r="T65" s="103"/>
      <c r="V65" s="107"/>
    </row>
    <row r="66" ht="15.75" customHeight="1">
      <c r="A66" s="89"/>
      <c r="B66" s="177"/>
      <c r="C66" s="106"/>
      <c r="D66" s="95"/>
      <c r="E66" s="176"/>
      <c r="F66" s="144"/>
      <c r="G66" s="95"/>
      <c r="H66" s="96"/>
      <c r="I66" s="103"/>
      <c r="J66" s="95"/>
      <c r="K66" s="113"/>
      <c r="L66" s="113"/>
      <c r="M66" s="100"/>
      <c r="N66" s="127"/>
      <c r="O66" s="128"/>
      <c r="P66" s="95"/>
      <c r="Q66" s="95"/>
      <c r="R66" s="129"/>
      <c r="S66" s="95"/>
      <c r="T66" s="95"/>
      <c r="V66" s="107"/>
    </row>
    <row r="67" ht="15.75" customHeight="1">
      <c r="A67" s="89"/>
      <c r="B67" s="177"/>
      <c r="C67" s="106"/>
      <c r="D67" s="95"/>
      <c r="E67" s="96"/>
      <c r="F67" s="144"/>
      <c r="G67" s="95"/>
      <c r="H67" s="96"/>
      <c r="I67" s="103"/>
      <c r="J67" s="95"/>
      <c r="K67" s="99"/>
      <c r="L67" s="99"/>
      <c r="M67" s="100"/>
      <c r="N67" s="127"/>
      <c r="O67" s="128"/>
      <c r="P67" s="95"/>
      <c r="Q67" s="135"/>
      <c r="R67" s="106"/>
      <c r="S67" s="103"/>
      <c r="T67" s="103"/>
      <c r="V67" s="107"/>
    </row>
    <row r="68" ht="15.75" customHeight="1">
      <c r="A68" s="89"/>
      <c r="B68" s="177"/>
      <c r="C68" s="106"/>
      <c r="D68" s="95"/>
      <c r="E68" s="96"/>
      <c r="F68" s="144"/>
      <c r="G68" s="95"/>
      <c r="H68" s="96"/>
      <c r="I68" s="103"/>
      <c r="J68" s="95"/>
      <c r="K68" s="113"/>
      <c r="L68" s="113"/>
      <c r="M68" s="100"/>
      <c r="N68" s="127"/>
      <c r="O68" s="128"/>
      <c r="P68" s="95"/>
      <c r="Q68" s="135"/>
      <c r="R68" s="129"/>
      <c r="S68" s="95"/>
      <c r="T68" s="103"/>
      <c r="V68" s="107"/>
    </row>
    <row r="69" ht="15.75" customHeight="1">
      <c r="A69" s="89"/>
      <c r="B69" s="177"/>
      <c r="C69" s="96"/>
      <c r="D69" s="95"/>
      <c r="E69" s="96"/>
      <c r="F69" s="146"/>
      <c r="G69" s="95"/>
      <c r="H69" s="96"/>
      <c r="I69" s="103"/>
      <c r="J69" s="95"/>
      <c r="K69" s="99"/>
      <c r="L69" s="99"/>
      <c r="M69" s="100"/>
      <c r="N69" s="127"/>
      <c r="O69" s="128"/>
      <c r="P69" s="95"/>
      <c r="Q69" s="114"/>
      <c r="R69" s="106"/>
      <c r="S69" s="103"/>
      <c r="T69" s="103"/>
      <c r="V69" s="107"/>
    </row>
    <row r="70" ht="15.75" customHeight="1">
      <c r="A70" s="89"/>
      <c r="B70" s="177"/>
      <c r="C70" s="96"/>
      <c r="D70" s="95"/>
      <c r="E70" s="96"/>
      <c r="F70" s="144"/>
      <c r="G70" s="95"/>
      <c r="H70" s="96"/>
      <c r="I70" s="103"/>
      <c r="J70" s="95"/>
      <c r="K70" s="113"/>
      <c r="L70" s="113"/>
      <c r="M70" s="100"/>
      <c r="N70" s="127"/>
      <c r="O70" s="128"/>
      <c r="P70" s="95"/>
      <c r="Q70" s="137"/>
      <c r="R70" s="129"/>
      <c r="S70" s="95"/>
      <c r="T70" s="95"/>
      <c r="V70" s="107"/>
    </row>
    <row r="71" ht="15.75" customHeight="1">
      <c r="A71" s="89"/>
      <c r="B71" s="177"/>
      <c r="C71" s="96"/>
      <c r="D71" s="95"/>
      <c r="E71" s="96"/>
      <c r="F71" s="144"/>
      <c r="G71" s="95"/>
      <c r="H71" s="96"/>
      <c r="I71" s="103"/>
      <c r="J71" s="95"/>
      <c r="K71" s="99"/>
      <c r="L71" s="99"/>
      <c r="M71" s="100"/>
      <c r="N71" s="127"/>
      <c r="O71" s="128"/>
      <c r="P71" s="95"/>
      <c r="Q71" s="135"/>
      <c r="R71" s="106"/>
      <c r="S71" s="103"/>
      <c r="T71" s="103"/>
      <c r="V71" s="107"/>
    </row>
    <row r="72" ht="15.75" customHeight="1">
      <c r="A72" s="89"/>
      <c r="B72" s="177"/>
      <c r="C72" s="96"/>
      <c r="D72" s="95"/>
      <c r="E72" s="176"/>
      <c r="F72" s="144"/>
      <c r="G72" s="95"/>
      <c r="H72" s="96"/>
      <c r="I72" s="103"/>
      <c r="J72" s="95"/>
      <c r="K72" s="113"/>
      <c r="L72" s="113"/>
      <c r="M72" s="100"/>
      <c r="N72" s="101"/>
      <c r="O72" s="128"/>
      <c r="P72" s="95"/>
      <c r="Q72" s="135"/>
      <c r="R72" s="106"/>
      <c r="S72" s="103"/>
      <c r="T72" s="103"/>
      <c r="V72" s="107"/>
    </row>
    <row r="73" ht="15.75" customHeight="1">
      <c r="A73" s="89"/>
      <c r="B73" s="177"/>
      <c r="C73" s="96"/>
      <c r="D73" s="95"/>
      <c r="E73" s="176"/>
      <c r="F73" s="146"/>
      <c r="G73" s="95"/>
      <c r="H73" s="96"/>
      <c r="I73" s="103"/>
      <c r="J73" s="95"/>
      <c r="K73" s="99"/>
      <c r="L73" s="99"/>
      <c r="M73" s="100"/>
      <c r="N73" s="101"/>
      <c r="O73" s="128"/>
      <c r="P73" s="95"/>
      <c r="Q73" s="114"/>
      <c r="R73" s="106"/>
      <c r="S73" s="103"/>
      <c r="T73" s="103"/>
      <c r="V73" s="107"/>
    </row>
    <row r="74" ht="15.75" customHeight="1">
      <c r="A74" s="89"/>
      <c r="B74" s="177"/>
      <c r="C74" s="106"/>
      <c r="D74" s="95"/>
      <c r="E74" s="176"/>
      <c r="F74" s="144"/>
      <c r="G74" s="95"/>
      <c r="H74" s="96"/>
      <c r="I74" s="103"/>
      <c r="J74" s="95"/>
      <c r="K74" s="113"/>
      <c r="L74" s="113"/>
      <c r="M74" s="100"/>
      <c r="N74" s="101"/>
      <c r="O74" s="128"/>
      <c r="P74" s="95"/>
      <c r="Q74" s="114"/>
      <c r="R74" s="106"/>
      <c r="S74" s="103"/>
      <c r="T74" s="103"/>
      <c r="V74" s="107"/>
    </row>
    <row r="75" ht="15.75" customHeight="1">
      <c r="A75" s="89"/>
      <c r="B75" s="177"/>
      <c r="C75" s="106"/>
      <c r="D75" s="95"/>
      <c r="E75" s="176"/>
      <c r="F75" s="144"/>
      <c r="G75" s="95"/>
      <c r="H75" s="96"/>
      <c r="I75" s="103"/>
      <c r="J75" s="95"/>
      <c r="K75" s="99"/>
      <c r="L75" s="99"/>
      <c r="M75" s="100"/>
      <c r="N75" s="127"/>
      <c r="O75" s="128"/>
      <c r="P75" s="95"/>
      <c r="Q75" s="137"/>
      <c r="R75" s="129"/>
      <c r="S75" s="95"/>
      <c r="T75" s="95"/>
      <c r="V75" s="107"/>
    </row>
    <row r="76" ht="15.75" customHeight="1">
      <c r="A76" s="89"/>
      <c r="B76" s="177"/>
      <c r="C76" s="96"/>
      <c r="D76" s="95"/>
      <c r="E76" s="176"/>
      <c r="F76" s="144"/>
      <c r="G76" s="95"/>
      <c r="H76" s="96"/>
      <c r="I76" s="103"/>
      <c r="J76" s="95"/>
      <c r="K76" s="113"/>
      <c r="L76" s="113"/>
      <c r="M76" s="100"/>
      <c r="N76" s="101"/>
      <c r="O76" s="128"/>
      <c r="P76" s="95"/>
      <c r="Q76" s="114"/>
      <c r="R76" s="106"/>
      <c r="S76" s="103"/>
      <c r="T76" s="103"/>
      <c r="V76" s="107"/>
    </row>
    <row r="77" ht="15.75" customHeight="1">
      <c r="A77" s="89"/>
      <c r="B77" s="177"/>
      <c r="C77" s="96"/>
      <c r="D77" s="95"/>
      <c r="E77" s="96"/>
      <c r="F77" s="144"/>
      <c r="G77" s="95"/>
      <c r="H77" s="96"/>
      <c r="I77" s="103"/>
      <c r="J77" s="95"/>
      <c r="K77" s="99"/>
      <c r="L77" s="99"/>
      <c r="M77" s="100"/>
      <c r="N77" s="127"/>
      <c r="O77" s="128"/>
      <c r="P77" s="95"/>
      <c r="Q77" s="137"/>
      <c r="R77" s="129"/>
      <c r="S77" s="95"/>
      <c r="T77" s="95"/>
      <c r="V77" s="107"/>
    </row>
    <row r="78" ht="15.75" customHeight="1">
      <c r="A78" s="89"/>
      <c r="B78" s="177"/>
      <c r="C78" s="96"/>
      <c r="D78" s="95"/>
      <c r="E78" s="176"/>
      <c r="F78" s="144"/>
      <c r="G78" s="95"/>
      <c r="H78" s="96"/>
      <c r="I78" s="103"/>
      <c r="J78" s="95"/>
      <c r="K78" s="113"/>
      <c r="L78" s="113"/>
      <c r="M78" s="100"/>
      <c r="N78" s="101"/>
      <c r="O78" s="128"/>
      <c r="P78" s="95"/>
      <c r="Q78" s="114"/>
      <c r="R78" s="106"/>
      <c r="S78" s="103"/>
      <c r="T78" s="103"/>
      <c r="V78" s="107"/>
    </row>
    <row r="79" ht="15.75" customHeight="1">
      <c r="A79" s="89"/>
      <c r="B79" s="177"/>
      <c r="C79" s="96"/>
      <c r="D79" s="95"/>
      <c r="E79" s="176"/>
      <c r="F79" s="144"/>
      <c r="G79" s="95"/>
      <c r="H79" s="96"/>
      <c r="I79" s="103"/>
      <c r="J79" s="95"/>
      <c r="K79" s="99"/>
      <c r="L79" s="99"/>
      <c r="M79" s="100"/>
      <c r="N79" s="127"/>
      <c r="O79" s="128"/>
      <c r="P79" s="95"/>
      <c r="Q79" s="137"/>
      <c r="R79" s="129"/>
      <c r="S79" s="95"/>
      <c r="T79" s="95"/>
      <c r="V79" s="107"/>
    </row>
    <row r="80" ht="15.75" customHeight="1">
      <c r="A80" s="89"/>
      <c r="B80" s="177"/>
      <c r="C80" s="96"/>
      <c r="D80" s="95"/>
      <c r="E80" s="176"/>
      <c r="F80" s="144"/>
      <c r="G80" s="95"/>
      <c r="H80" s="96"/>
      <c r="I80" s="103"/>
      <c r="J80" s="95"/>
      <c r="K80" s="113"/>
      <c r="L80" s="113"/>
      <c r="M80" s="100"/>
      <c r="N80" s="101"/>
      <c r="O80" s="102"/>
      <c r="P80" s="95"/>
      <c r="Q80" s="135"/>
      <c r="R80" s="106"/>
      <c r="S80" s="103"/>
      <c r="T80" s="103"/>
      <c r="V80" s="107"/>
    </row>
    <row r="81" ht="15.75" customHeight="1">
      <c r="A81" s="89"/>
      <c r="B81" s="177"/>
      <c r="C81" s="106"/>
      <c r="D81" s="95"/>
      <c r="E81" s="176"/>
      <c r="F81" s="144"/>
      <c r="G81" s="95"/>
      <c r="H81" s="96"/>
      <c r="I81" s="103"/>
      <c r="J81" s="95"/>
      <c r="K81" s="99"/>
      <c r="L81" s="99"/>
      <c r="M81" s="100"/>
      <c r="N81" s="101"/>
      <c r="O81" s="102"/>
      <c r="P81" s="95"/>
      <c r="Q81" s="114"/>
      <c r="R81" s="142"/>
      <c r="S81" s="103"/>
      <c r="T81" s="103"/>
      <c r="V81" s="107"/>
    </row>
    <row r="82" ht="15.75" customHeight="1">
      <c r="A82" s="89"/>
      <c r="B82" s="177"/>
      <c r="C82" s="106"/>
      <c r="D82" s="95"/>
      <c r="E82" s="176"/>
      <c r="F82" s="144"/>
      <c r="G82" s="95"/>
      <c r="H82" s="96"/>
      <c r="I82" s="103"/>
      <c r="J82" s="95"/>
      <c r="K82" s="113"/>
      <c r="L82" s="113"/>
      <c r="M82" s="100"/>
      <c r="N82" s="101"/>
      <c r="O82" s="102"/>
      <c r="P82" s="95"/>
      <c r="Q82" s="114"/>
      <c r="R82" s="106"/>
      <c r="S82" s="103"/>
      <c r="T82" s="103"/>
      <c r="V82" s="107"/>
    </row>
    <row r="83" ht="15.75" customHeight="1">
      <c r="A83" s="89"/>
      <c r="B83" s="177"/>
      <c r="C83" s="96"/>
      <c r="D83" s="95"/>
      <c r="E83" s="176"/>
      <c r="F83" s="144"/>
      <c r="G83" s="95"/>
      <c r="H83" s="96"/>
      <c r="I83" s="103"/>
      <c r="J83" s="95"/>
      <c r="K83" s="99"/>
      <c r="L83" s="99"/>
      <c r="M83" s="100"/>
      <c r="N83" s="127"/>
      <c r="O83" s="128"/>
      <c r="P83" s="95"/>
      <c r="Q83" s="137"/>
      <c r="R83" s="129"/>
      <c r="S83" s="95"/>
      <c r="T83" s="95"/>
      <c r="V83" s="107"/>
    </row>
    <row r="84" ht="15.75" customHeight="1">
      <c r="A84" s="89"/>
      <c r="B84" s="177"/>
      <c r="C84" s="96"/>
      <c r="D84" s="95"/>
      <c r="E84" s="176"/>
      <c r="F84" s="144"/>
      <c r="G84" s="95"/>
      <c r="H84" s="96"/>
      <c r="I84" s="103"/>
      <c r="J84" s="95"/>
      <c r="K84" s="113"/>
      <c r="L84" s="113"/>
      <c r="M84" s="100"/>
      <c r="N84" s="127"/>
      <c r="O84" s="128"/>
      <c r="P84" s="95"/>
      <c r="Q84" s="95"/>
      <c r="R84" s="129"/>
      <c r="S84" s="95"/>
      <c r="T84" s="95"/>
      <c r="V84" s="107"/>
    </row>
    <row r="85" ht="15.75" customHeight="1">
      <c r="A85" s="89"/>
      <c r="B85" s="177"/>
      <c r="C85" s="143"/>
      <c r="D85" s="95"/>
      <c r="E85" s="176"/>
      <c r="F85" s="144"/>
      <c r="G85" s="95"/>
      <c r="H85" s="96"/>
      <c r="I85" s="103"/>
      <c r="J85" s="95"/>
      <c r="K85" s="99"/>
      <c r="L85" s="99"/>
      <c r="M85" s="100"/>
      <c r="N85" s="127"/>
      <c r="O85" s="128"/>
      <c r="P85" s="95"/>
      <c r="Q85" s="137"/>
      <c r="R85" s="129"/>
      <c r="S85" s="95"/>
      <c r="T85" s="95"/>
      <c r="V85" s="107"/>
    </row>
    <row r="86" ht="15.75" customHeight="1">
      <c r="A86" s="89"/>
      <c r="B86" s="177"/>
      <c r="C86" s="97"/>
      <c r="D86" s="95"/>
      <c r="E86" s="176"/>
      <c r="F86" s="144"/>
      <c r="G86" s="95"/>
      <c r="H86" s="96"/>
      <c r="I86" s="103"/>
      <c r="J86" s="95"/>
      <c r="K86" s="113"/>
      <c r="L86" s="113"/>
      <c r="M86" s="100"/>
      <c r="N86" s="101"/>
      <c r="O86" s="102"/>
      <c r="P86" s="95"/>
      <c r="Q86" s="135"/>
      <c r="R86" s="115"/>
      <c r="S86" s="103"/>
      <c r="T86" s="103"/>
      <c r="V86" s="107"/>
    </row>
    <row r="87" ht="15.75" customHeight="1">
      <c r="A87" s="89"/>
      <c r="B87" s="177"/>
      <c r="C87" s="96"/>
      <c r="D87" s="95"/>
      <c r="E87" s="176"/>
      <c r="F87" s="144"/>
      <c r="G87" s="95"/>
      <c r="H87" s="96"/>
      <c r="I87" s="103"/>
      <c r="J87" s="95"/>
      <c r="K87" s="99"/>
      <c r="L87" s="99"/>
      <c r="M87" s="100"/>
      <c r="N87" s="127"/>
      <c r="O87" s="102"/>
      <c r="P87" s="95"/>
      <c r="Q87" s="137"/>
      <c r="R87" s="106"/>
      <c r="S87" s="103"/>
      <c r="T87" s="103"/>
      <c r="V87" s="107"/>
    </row>
    <row r="88" ht="15.75" customHeight="1">
      <c r="A88" s="89"/>
      <c r="B88" s="177"/>
      <c r="C88" s="96"/>
      <c r="D88" s="95"/>
      <c r="E88" s="176"/>
      <c r="F88" s="144"/>
      <c r="G88" s="95"/>
      <c r="H88" s="96"/>
      <c r="I88" s="103"/>
      <c r="J88" s="95"/>
      <c r="K88" s="113"/>
      <c r="L88" s="113"/>
      <c r="M88" s="100"/>
      <c r="N88" s="101"/>
      <c r="O88" s="102"/>
      <c r="P88" s="95"/>
      <c r="Q88" s="114"/>
      <c r="R88" s="106"/>
      <c r="S88" s="103"/>
      <c r="T88" s="103"/>
      <c r="V88" s="107"/>
    </row>
    <row r="89" ht="15.75" customHeight="1">
      <c r="A89" s="89"/>
      <c r="B89" s="177"/>
      <c r="C89" s="96"/>
      <c r="D89" s="95"/>
      <c r="E89" s="176"/>
      <c r="F89" s="144"/>
      <c r="G89" s="95"/>
      <c r="H89" s="96"/>
      <c r="I89" s="103"/>
      <c r="J89" s="95"/>
      <c r="K89" s="99"/>
      <c r="L89" s="99"/>
      <c r="M89" s="100"/>
      <c r="N89" s="127"/>
      <c r="O89" s="128"/>
      <c r="P89" s="95"/>
      <c r="Q89" s="95"/>
      <c r="R89" s="129"/>
      <c r="S89" s="95"/>
      <c r="T89" s="95"/>
      <c r="V89" s="107"/>
    </row>
    <row r="90" ht="15.75" customHeight="1">
      <c r="A90" s="89"/>
      <c r="B90" s="177"/>
      <c r="C90" s="144"/>
      <c r="D90" s="95"/>
      <c r="E90" s="176"/>
      <c r="F90" s="180"/>
      <c r="G90" s="95"/>
      <c r="H90" s="96"/>
      <c r="I90" s="103"/>
      <c r="J90" s="95"/>
      <c r="K90" s="113"/>
      <c r="L90" s="113"/>
      <c r="M90" s="100"/>
      <c r="N90" s="101"/>
      <c r="O90" s="102"/>
      <c r="P90" s="95"/>
      <c r="Q90" s="103"/>
      <c r="R90" s="106"/>
      <c r="S90" s="103"/>
      <c r="T90" s="103"/>
      <c r="V90" s="107"/>
    </row>
    <row r="91" ht="15.75" customHeight="1">
      <c r="A91" s="89"/>
      <c r="B91" s="177"/>
      <c r="C91" s="146"/>
      <c r="D91" s="95"/>
      <c r="E91" s="176"/>
      <c r="F91" s="144"/>
      <c r="G91" s="95"/>
      <c r="H91" s="96"/>
      <c r="I91" s="103"/>
      <c r="J91" s="95"/>
      <c r="K91" s="99"/>
      <c r="L91" s="99"/>
      <c r="M91" s="100"/>
      <c r="N91" s="127"/>
      <c r="O91" s="128"/>
      <c r="P91" s="95"/>
      <c r="Q91" s="95"/>
      <c r="R91" s="129"/>
      <c r="S91" s="95"/>
      <c r="T91" s="95"/>
      <c r="V91" s="107"/>
    </row>
    <row r="92" ht="15.75" customHeight="1">
      <c r="A92" s="89"/>
      <c r="B92" s="177"/>
      <c r="C92" s="144"/>
      <c r="D92" s="95"/>
      <c r="E92" s="176"/>
      <c r="F92" s="144"/>
      <c r="G92" s="95"/>
      <c r="H92" s="96"/>
      <c r="I92" s="103"/>
      <c r="J92" s="95"/>
      <c r="K92" s="113"/>
      <c r="L92" s="113"/>
      <c r="M92" s="100"/>
      <c r="N92" s="101"/>
      <c r="O92" s="102"/>
      <c r="P92" s="95"/>
      <c r="Q92" s="135"/>
      <c r="R92" s="106"/>
      <c r="S92" s="103"/>
      <c r="T92" s="103"/>
      <c r="V92" s="107"/>
    </row>
    <row r="93" ht="15.75" customHeight="1">
      <c r="A93" s="89"/>
      <c r="B93" s="177"/>
      <c r="C93" s="146"/>
      <c r="D93" s="95"/>
      <c r="E93" s="144"/>
      <c r="F93" s="144"/>
      <c r="G93" s="95"/>
      <c r="H93" s="96"/>
      <c r="I93" s="103"/>
      <c r="J93" s="95"/>
      <c r="K93" s="99"/>
      <c r="L93" s="99"/>
      <c r="M93" s="100"/>
      <c r="N93" s="127"/>
      <c r="O93" s="128"/>
      <c r="P93" s="95"/>
      <c r="Q93" s="137"/>
      <c r="R93" s="129"/>
      <c r="S93" s="95"/>
      <c r="T93" s="95"/>
      <c r="V93" s="107"/>
    </row>
    <row r="94" ht="15.75" customHeight="1">
      <c r="A94" s="89"/>
      <c r="B94" s="177"/>
      <c r="C94" s="96"/>
      <c r="D94" s="95"/>
      <c r="E94" s="176"/>
      <c r="F94" s="144"/>
      <c r="G94" s="95"/>
      <c r="H94" s="96"/>
      <c r="I94" s="103"/>
      <c r="J94" s="95"/>
      <c r="K94" s="113"/>
      <c r="L94" s="113"/>
      <c r="M94" s="100"/>
      <c r="N94" s="127"/>
      <c r="O94" s="128"/>
      <c r="P94" s="95"/>
      <c r="Q94" s="95"/>
      <c r="R94" s="129"/>
      <c r="S94" s="95"/>
      <c r="T94" s="95"/>
      <c r="V94" s="107"/>
    </row>
    <row r="95" ht="15.75" customHeight="1">
      <c r="A95" s="89"/>
      <c r="B95" s="177"/>
      <c r="C95" s="96"/>
      <c r="D95" s="95"/>
      <c r="E95" s="176"/>
      <c r="F95" s="144"/>
      <c r="G95" s="95"/>
      <c r="H95" s="96"/>
      <c r="I95" s="103"/>
      <c r="J95" s="95"/>
      <c r="K95" s="99"/>
      <c r="L95" s="99"/>
      <c r="M95" s="100"/>
      <c r="N95" s="101"/>
      <c r="O95" s="102"/>
      <c r="P95" s="95"/>
      <c r="Q95" s="114"/>
      <c r="R95" s="106"/>
      <c r="S95" s="103"/>
      <c r="T95" s="103"/>
      <c r="V95" s="107"/>
    </row>
    <row r="96" ht="15.75" customHeight="1">
      <c r="A96" s="89"/>
      <c r="B96" s="177"/>
      <c r="C96" s="96"/>
      <c r="D96" s="95"/>
      <c r="E96" s="176"/>
      <c r="F96" s="144"/>
      <c r="G96" s="95"/>
      <c r="H96" s="96"/>
      <c r="I96" s="103"/>
      <c r="J96" s="95"/>
      <c r="K96" s="113"/>
      <c r="L96" s="113"/>
      <c r="M96" s="100"/>
      <c r="N96" s="127"/>
      <c r="O96" s="128"/>
      <c r="P96" s="95"/>
      <c r="Q96" s="95"/>
      <c r="R96" s="129"/>
      <c r="S96" s="95"/>
      <c r="T96" s="95"/>
      <c r="V96" s="107"/>
    </row>
    <row r="97" ht="15.75" customHeight="1">
      <c r="A97" s="89"/>
      <c r="B97" s="177"/>
      <c r="C97" s="96"/>
      <c r="D97" s="95"/>
      <c r="E97" s="181"/>
      <c r="F97" s="144"/>
      <c r="G97" s="95"/>
      <c r="H97" s="96"/>
      <c r="I97" s="103"/>
      <c r="J97" s="95"/>
      <c r="K97" s="99"/>
      <c r="L97" s="99"/>
      <c r="M97" s="100"/>
      <c r="N97" s="127"/>
      <c r="O97" s="128"/>
      <c r="P97" s="95"/>
      <c r="Q97" s="137"/>
      <c r="R97" s="129"/>
      <c r="S97" s="95"/>
      <c r="T97" s="95"/>
      <c r="V97" s="107"/>
    </row>
    <row r="98" ht="15.75" customHeight="1">
      <c r="A98" s="89"/>
      <c r="B98" s="177"/>
      <c r="C98" s="106"/>
      <c r="D98" s="95"/>
      <c r="E98" s="176"/>
      <c r="F98" s="144"/>
      <c r="G98" s="95"/>
      <c r="H98" s="96"/>
      <c r="I98" s="103"/>
      <c r="J98" s="95"/>
      <c r="K98" s="113"/>
      <c r="L98" s="113"/>
      <c r="M98" s="100"/>
      <c r="N98" s="127"/>
      <c r="O98" s="128"/>
      <c r="P98" s="95"/>
      <c r="Q98" s="135"/>
      <c r="R98" s="106"/>
      <c r="S98" s="95"/>
      <c r="T98" s="103"/>
      <c r="V98" s="107"/>
    </row>
    <row r="99" ht="15.75" customHeight="1">
      <c r="A99" s="89"/>
      <c r="B99" s="177"/>
      <c r="C99" s="106"/>
      <c r="D99" s="95"/>
      <c r="E99" s="176"/>
      <c r="F99" s="144"/>
      <c r="G99" s="95"/>
      <c r="H99" s="96"/>
      <c r="I99" s="103"/>
      <c r="J99" s="95"/>
      <c r="K99" s="99"/>
      <c r="L99" s="99"/>
      <c r="M99" s="100"/>
      <c r="N99" s="127"/>
      <c r="O99" s="128"/>
      <c r="P99" s="95"/>
      <c r="Q99" s="135"/>
      <c r="R99" s="106"/>
      <c r="S99" s="95"/>
      <c r="T99" s="103"/>
      <c r="V99" s="107"/>
    </row>
    <row r="100" ht="15.75" customHeight="1">
      <c r="A100" s="89"/>
      <c r="B100" s="177"/>
      <c r="C100" s="96"/>
      <c r="D100" s="95"/>
      <c r="E100" s="96"/>
      <c r="F100" s="146"/>
      <c r="G100" s="95"/>
      <c r="H100" s="96"/>
      <c r="I100" s="103"/>
      <c r="J100" s="95"/>
      <c r="K100" s="113"/>
      <c r="L100" s="113"/>
      <c r="M100" s="100"/>
      <c r="N100" s="127"/>
      <c r="O100" s="128"/>
      <c r="P100" s="95"/>
      <c r="Q100" s="137"/>
      <c r="R100" s="129"/>
      <c r="S100" s="95"/>
      <c r="T100" s="95"/>
      <c r="V100" s="107"/>
    </row>
    <row r="101" ht="15.75" customHeight="1">
      <c r="A101" s="89"/>
      <c r="B101" s="177"/>
      <c r="C101" s="96"/>
      <c r="D101" s="95"/>
      <c r="E101" s="176"/>
      <c r="F101" s="144"/>
      <c r="G101" s="95"/>
      <c r="H101" s="96"/>
      <c r="I101" s="103"/>
      <c r="J101" s="95"/>
      <c r="K101" s="99"/>
      <c r="L101" s="99"/>
      <c r="M101" s="100"/>
      <c r="N101" s="127"/>
      <c r="O101" s="128"/>
      <c r="P101" s="95"/>
      <c r="Q101" s="95"/>
      <c r="R101" s="129"/>
      <c r="S101" s="95"/>
      <c r="T101" s="95"/>
      <c r="V101" s="107"/>
    </row>
    <row r="102" ht="15.75" customHeight="1">
      <c r="A102" s="89"/>
      <c r="B102" s="177"/>
      <c r="C102" s="96"/>
      <c r="D102" s="95"/>
      <c r="E102" s="176"/>
      <c r="F102" s="144"/>
      <c r="G102" s="95"/>
      <c r="H102" s="96"/>
      <c r="I102" s="103"/>
      <c r="J102" s="95"/>
      <c r="K102" s="113"/>
      <c r="L102" s="113"/>
      <c r="M102" s="100"/>
      <c r="N102" s="101"/>
      <c r="O102" s="102"/>
      <c r="P102" s="95"/>
      <c r="Q102" s="114"/>
      <c r="R102" s="115"/>
      <c r="S102" s="103"/>
      <c r="T102" s="103"/>
      <c r="V102" s="107"/>
    </row>
    <row r="103" ht="15.75" customHeight="1">
      <c r="A103" s="89"/>
      <c r="B103" s="182"/>
      <c r="C103" s="149"/>
      <c r="D103" s="95"/>
      <c r="E103" s="149"/>
      <c r="F103" s="180"/>
      <c r="G103" s="95"/>
      <c r="H103" s="96"/>
      <c r="I103" s="103"/>
      <c r="J103" s="95"/>
      <c r="K103" s="99"/>
      <c r="L103" s="99"/>
      <c r="M103" s="100"/>
      <c r="N103" s="101"/>
      <c r="O103" s="128"/>
      <c r="P103" s="95"/>
      <c r="Q103" s="137"/>
      <c r="R103" s="129"/>
      <c r="S103" s="103"/>
      <c r="T103" s="95"/>
      <c r="V103" s="107"/>
    </row>
    <row r="104" ht="15.75" customHeight="1">
      <c r="A104" s="89"/>
      <c r="B104" s="182"/>
      <c r="C104" s="149"/>
      <c r="D104" s="95"/>
      <c r="E104" s="149"/>
      <c r="F104" s="149"/>
      <c r="G104" s="95"/>
      <c r="H104" s="96"/>
      <c r="I104" s="103"/>
      <c r="J104" s="95"/>
      <c r="K104" s="113"/>
      <c r="L104" s="113"/>
      <c r="M104" s="100"/>
      <c r="N104" s="101"/>
      <c r="O104" s="128"/>
      <c r="P104" s="95"/>
      <c r="Q104" s="95"/>
      <c r="R104" s="129"/>
      <c r="S104" s="103"/>
      <c r="T104" s="95"/>
      <c r="V104" s="107"/>
    </row>
    <row r="105" ht="15.75" customHeight="1">
      <c r="A105" s="89"/>
      <c r="B105" s="182"/>
      <c r="C105" s="107"/>
      <c r="D105" s="95"/>
      <c r="E105" s="149"/>
      <c r="F105" s="149"/>
      <c r="G105" s="95"/>
      <c r="H105" s="96"/>
      <c r="I105" s="103"/>
      <c r="J105" s="95"/>
      <c r="K105" s="99"/>
      <c r="L105" s="99"/>
      <c r="M105" s="100"/>
      <c r="N105" s="101"/>
      <c r="O105" s="128"/>
      <c r="P105" s="95"/>
      <c r="Q105" s="137"/>
      <c r="R105" s="129"/>
      <c r="S105" s="103"/>
      <c r="T105" s="95"/>
      <c r="V105" s="107"/>
    </row>
    <row r="106" ht="15.75" customHeight="1">
      <c r="A106" s="89"/>
      <c r="B106" s="182"/>
      <c r="C106" s="107"/>
      <c r="D106" s="95"/>
      <c r="E106" s="149"/>
      <c r="F106" s="149"/>
      <c r="G106" s="95"/>
      <c r="H106" s="96"/>
      <c r="I106" s="103"/>
      <c r="J106" s="95"/>
      <c r="K106" s="113"/>
      <c r="L106" s="113"/>
      <c r="M106" s="100"/>
      <c r="N106" s="101"/>
      <c r="O106" s="128"/>
      <c r="P106" s="95"/>
      <c r="Q106" s="137"/>
      <c r="R106" s="129"/>
      <c r="S106" s="103"/>
      <c r="T106" s="95"/>
      <c r="V106" s="107"/>
    </row>
    <row r="107" ht="15.75" customHeight="1">
      <c r="A107" s="89"/>
      <c r="B107" s="182"/>
      <c r="C107" s="149"/>
      <c r="D107" s="95"/>
      <c r="E107" s="149"/>
      <c r="F107" s="149"/>
      <c r="G107" s="95"/>
      <c r="H107" s="96"/>
      <c r="I107" s="103"/>
      <c r="J107" s="95"/>
      <c r="K107" s="99"/>
      <c r="L107" s="99"/>
      <c r="M107" s="100"/>
      <c r="N107" s="101"/>
      <c r="O107" s="128"/>
      <c r="P107" s="95"/>
      <c r="Q107" s="137"/>
      <c r="R107" s="129"/>
      <c r="S107" s="103"/>
      <c r="T107" s="95"/>
      <c r="V107" s="107"/>
    </row>
    <row r="108" ht="15.75" customHeight="1">
      <c r="A108" s="89"/>
      <c r="B108" s="182"/>
      <c r="C108" s="149"/>
      <c r="D108" s="95"/>
      <c r="E108" s="149"/>
      <c r="F108" s="149"/>
      <c r="G108" s="95"/>
      <c r="H108" s="96"/>
      <c r="I108" s="103"/>
      <c r="J108" s="95"/>
      <c r="K108" s="113"/>
      <c r="L108" s="113"/>
      <c r="M108" s="100"/>
      <c r="N108" s="101"/>
      <c r="O108" s="128"/>
      <c r="P108" s="95"/>
      <c r="Q108" s="95"/>
      <c r="R108" s="129"/>
      <c r="S108" s="103"/>
      <c r="T108" s="95"/>
      <c r="V108" s="107"/>
    </row>
    <row r="109" ht="15.75" customHeight="1">
      <c r="A109" s="89"/>
      <c r="B109" s="182"/>
      <c r="C109" s="149"/>
      <c r="D109" s="95"/>
      <c r="E109" s="149"/>
      <c r="F109" s="149"/>
      <c r="G109" s="95"/>
      <c r="H109" s="96"/>
      <c r="I109" s="103"/>
      <c r="J109" s="95"/>
      <c r="K109" s="99"/>
      <c r="L109" s="99"/>
      <c r="M109" s="100"/>
      <c r="N109" s="101"/>
      <c r="O109" s="128"/>
      <c r="P109" s="95"/>
      <c r="Q109" s="137"/>
      <c r="R109" s="129"/>
      <c r="S109" s="103"/>
      <c r="T109" s="95"/>
      <c r="V109" s="107"/>
    </row>
    <row r="110" ht="15.75" customHeight="1">
      <c r="A110" s="89"/>
      <c r="B110" s="182"/>
      <c r="C110" s="149"/>
      <c r="D110" s="95"/>
      <c r="E110" s="149"/>
      <c r="F110" s="149"/>
      <c r="G110" s="95"/>
      <c r="H110" s="149"/>
      <c r="I110" s="151"/>
      <c r="J110" s="95"/>
      <c r="K110" s="113"/>
      <c r="L110" s="113"/>
      <c r="M110" s="100"/>
      <c r="N110" s="127"/>
      <c r="O110" s="128"/>
      <c r="P110" s="95"/>
      <c r="Q110" s="95"/>
      <c r="R110" s="129"/>
      <c r="S110" s="95"/>
      <c r="T110" s="95"/>
      <c r="V110" s="107"/>
    </row>
    <row r="111" ht="15.75" customHeight="1">
      <c r="A111" s="89"/>
      <c r="B111" s="182"/>
      <c r="C111" s="149"/>
      <c r="D111" s="95"/>
      <c r="E111" s="149"/>
      <c r="F111" s="149"/>
      <c r="G111" s="95"/>
      <c r="H111" s="149"/>
      <c r="I111" s="95"/>
      <c r="J111" s="95"/>
      <c r="K111" s="99"/>
      <c r="L111" s="99"/>
      <c r="M111" s="100"/>
      <c r="N111" s="127"/>
      <c r="O111" s="128"/>
      <c r="P111" s="95"/>
      <c r="Q111" s="137"/>
      <c r="R111" s="129"/>
      <c r="S111" s="95"/>
      <c r="T111" s="95"/>
      <c r="V111" s="107"/>
    </row>
    <row r="112" ht="15.75" customHeight="1">
      <c r="A112" s="89"/>
      <c r="B112" s="182"/>
      <c r="C112" s="107"/>
      <c r="D112" s="95"/>
      <c r="E112" s="149"/>
      <c r="F112" s="149"/>
      <c r="G112" s="95"/>
      <c r="H112" s="149"/>
      <c r="I112" s="95"/>
      <c r="J112" s="95"/>
      <c r="K112" s="113"/>
      <c r="L112" s="113"/>
      <c r="M112" s="100"/>
      <c r="N112" s="127"/>
      <c r="O112" s="128"/>
      <c r="P112" s="95"/>
      <c r="Q112" s="95"/>
      <c r="R112" s="129"/>
      <c r="S112" s="95"/>
      <c r="T112" s="95"/>
      <c r="V112" s="107"/>
    </row>
    <row r="113" ht="15.75" customHeight="1">
      <c r="A113" s="89"/>
      <c r="B113" s="182"/>
      <c r="C113" s="107"/>
      <c r="D113" s="95"/>
      <c r="E113" s="149"/>
      <c r="F113" s="149"/>
      <c r="G113" s="95"/>
      <c r="H113" s="149"/>
      <c r="I113" s="95"/>
      <c r="J113" s="95"/>
      <c r="K113" s="99"/>
      <c r="L113" s="99"/>
      <c r="M113" s="100"/>
      <c r="N113" s="127"/>
      <c r="O113" s="128"/>
      <c r="P113" s="95"/>
      <c r="Q113" s="95"/>
      <c r="R113" s="129"/>
      <c r="S113" s="95"/>
      <c r="T113" s="95"/>
      <c r="V113" s="107"/>
    </row>
    <row r="114" ht="15.75" customHeight="1">
      <c r="A114" s="89"/>
      <c r="B114" s="182"/>
      <c r="C114" s="107"/>
      <c r="D114" s="95"/>
      <c r="E114" s="149"/>
      <c r="F114" s="149"/>
      <c r="G114" s="95"/>
      <c r="H114" s="149"/>
      <c r="I114" s="95"/>
      <c r="J114" s="95"/>
      <c r="K114" s="113"/>
      <c r="L114" s="113"/>
      <c r="M114" s="100"/>
      <c r="N114" s="127"/>
      <c r="O114" s="128"/>
      <c r="P114" s="95"/>
      <c r="Q114" s="95"/>
      <c r="R114" s="129"/>
      <c r="S114" s="95"/>
      <c r="T114" s="95"/>
      <c r="V114" s="107"/>
    </row>
    <row r="115" ht="15.75" customHeight="1">
      <c r="A115" s="89"/>
      <c r="B115" s="182"/>
      <c r="C115" s="149"/>
      <c r="D115" s="95"/>
      <c r="E115" s="149"/>
      <c r="F115" s="149"/>
      <c r="G115" s="95"/>
      <c r="H115" s="149"/>
      <c r="I115" s="95"/>
      <c r="J115" s="95"/>
      <c r="K115" s="99"/>
      <c r="L115" s="99"/>
      <c r="M115" s="100"/>
      <c r="N115" s="127"/>
      <c r="O115" s="128"/>
      <c r="P115" s="95"/>
      <c r="Q115" s="95"/>
      <c r="R115" s="129"/>
      <c r="S115" s="95"/>
      <c r="T115" s="95"/>
      <c r="V115" s="107"/>
    </row>
    <row r="116" ht="15.75" customHeight="1">
      <c r="A116" s="89"/>
      <c r="B116" s="182"/>
      <c r="C116" s="149"/>
      <c r="D116" s="95"/>
      <c r="E116" s="149"/>
      <c r="F116" s="149"/>
      <c r="G116" s="95"/>
      <c r="H116" s="149"/>
      <c r="I116" s="95"/>
      <c r="J116" s="95"/>
      <c r="K116" s="113"/>
      <c r="L116" s="113"/>
      <c r="M116" s="100"/>
      <c r="N116" s="127"/>
      <c r="O116" s="128"/>
      <c r="P116" s="95"/>
      <c r="Q116" s="95"/>
      <c r="R116" s="129"/>
      <c r="S116" s="95"/>
      <c r="T116" s="95"/>
      <c r="V116" s="107"/>
    </row>
    <row r="117" ht="15.75" customHeight="1">
      <c r="A117" s="89"/>
      <c r="B117" s="182"/>
      <c r="C117" s="149"/>
      <c r="D117" s="95"/>
      <c r="E117" s="149"/>
      <c r="F117" s="149"/>
      <c r="G117" s="95"/>
      <c r="H117" s="149"/>
      <c r="I117" s="95"/>
      <c r="J117" s="95"/>
      <c r="K117" s="99"/>
      <c r="L117" s="99"/>
      <c r="M117" s="100"/>
      <c r="N117" s="127"/>
      <c r="O117" s="128"/>
      <c r="P117" s="95"/>
      <c r="Q117" s="95"/>
      <c r="R117" s="129"/>
      <c r="S117" s="95"/>
      <c r="T117" s="95"/>
      <c r="V117" s="107"/>
    </row>
    <row r="118" ht="15.75" customHeight="1">
      <c r="A118" s="89"/>
      <c r="B118" s="182"/>
      <c r="C118" s="149"/>
      <c r="D118" s="95"/>
      <c r="E118" s="149"/>
      <c r="F118" s="149"/>
      <c r="G118" s="95"/>
      <c r="H118" s="149"/>
      <c r="I118" s="95"/>
      <c r="J118" s="95"/>
      <c r="K118" s="113"/>
      <c r="L118" s="113"/>
      <c r="M118" s="100"/>
      <c r="N118" s="127"/>
      <c r="O118" s="128"/>
      <c r="P118" s="95"/>
      <c r="Q118" s="95"/>
      <c r="R118" s="129"/>
      <c r="S118" s="95"/>
      <c r="T118" s="95"/>
      <c r="V118" s="107"/>
    </row>
    <row r="119" ht="15.75" customHeight="1">
      <c r="A119" s="89"/>
      <c r="B119" s="182"/>
      <c r="C119" s="149"/>
      <c r="D119" s="95"/>
      <c r="E119" s="149"/>
      <c r="F119" s="149"/>
      <c r="G119" s="95"/>
      <c r="H119" s="149"/>
      <c r="I119" s="95"/>
      <c r="J119" s="95"/>
      <c r="K119" s="99"/>
      <c r="L119" s="99"/>
      <c r="M119" s="100"/>
      <c r="N119" s="127"/>
      <c r="O119" s="128"/>
      <c r="P119" s="95"/>
      <c r="Q119" s="137"/>
      <c r="R119" s="129"/>
      <c r="S119" s="95"/>
      <c r="T119" s="95"/>
      <c r="V119" s="107"/>
    </row>
    <row r="120" ht="15.75" customHeight="1">
      <c r="A120" s="89"/>
      <c r="B120" s="182"/>
      <c r="C120" s="107"/>
      <c r="D120" s="95"/>
      <c r="E120" s="149"/>
      <c r="F120" s="149"/>
      <c r="G120" s="95"/>
      <c r="H120" s="149"/>
      <c r="I120" s="95"/>
      <c r="J120" s="95"/>
      <c r="K120" s="113"/>
      <c r="L120" s="113"/>
      <c r="M120" s="100"/>
      <c r="N120" s="127"/>
      <c r="O120" s="128"/>
      <c r="P120" s="95"/>
      <c r="Q120" s="95"/>
      <c r="R120" s="129"/>
      <c r="S120" s="95"/>
      <c r="T120" s="95"/>
      <c r="V120" s="107"/>
    </row>
    <row r="121" ht="15.75" customHeight="1">
      <c r="A121" s="89"/>
      <c r="B121" s="182"/>
      <c r="C121" s="107"/>
      <c r="D121" s="95"/>
      <c r="E121" s="149"/>
      <c r="F121" s="149"/>
      <c r="G121" s="95"/>
      <c r="H121" s="149"/>
      <c r="I121" s="95"/>
      <c r="J121" s="95"/>
      <c r="K121" s="99"/>
      <c r="L121" s="99"/>
      <c r="M121" s="100"/>
      <c r="N121" s="127"/>
      <c r="O121" s="128"/>
      <c r="P121" s="95"/>
      <c r="Q121" s="95"/>
      <c r="R121" s="129"/>
      <c r="S121" s="95"/>
      <c r="T121" s="95"/>
      <c r="V121" s="107"/>
    </row>
    <row r="122" ht="15.75" customHeight="1">
      <c r="A122" s="89"/>
      <c r="B122" s="182"/>
      <c r="C122" s="107"/>
      <c r="D122" s="95"/>
      <c r="E122" s="149"/>
      <c r="F122" s="149"/>
      <c r="G122" s="95"/>
      <c r="H122" s="149"/>
      <c r="I122" s="95"/>
      <c r="J122" s="95"/>
      <c r="K122" s="113"/>
      <c r="L122" s="113"/>
      <c r="M122" s="100"/>
      <c r="N122" s="127"/>
      <c r="O122" s="128"/>
      <c r="P122" s="95"/>
      <c r="Q122" s="137"/>
      <c r="R122" s="129"/>
      <c r="S122" s="95"/>
      <c r="T122" s="95"/>
      <c r="V122" s="107"/>
    </row>
    <row r="123" ht="15.75" customHeight="1">
      <c r="A123" s="89"/>
      <c r="B123" s="182"/>
      <c r="C123" s="149"/>
      <c r="D123" s="95"/>
      <c r="E123" s="149"/>
      <c r="F123" s="149"/>
      <c r="G123" s="95"/>
      <c r="H123" s="149"/>
      <c r="I123" s="95"/>
      <c r="J123" s="95"/>
      <c r="K123" s="99"/>
      <c r="L123" s="99"/>
      <c r="M123" s="100"/>
      <c r="N123" s="127"/>
      <c r="O123" s="128"/>
      <c r="P123" s="95"/>
      <c r="Q123" s="137"/>
      <c r="R123" s="129"/>
      <c r="S123" s="95"/>
      <c r="T123" s="95"/>
      <c r="V123" s="107"/>
    </row>
    <row r="124" ht="15.75" customHeight="1">
      <c r="A124" s="89"/>
      <c r="B124" s="182"/>
      <c r="C124" s="149"/>
      <c r="D124" s="95"/>
      <c r="E124" s="149"/>
      <c r="F124" s="149"/>
      <c r="G124" s="95"/>
      <c r="H124" s="149"/>
      <c r="I124" s="95"/>
      <c r="J124" s="95"/>
      <c r="K124" s="113"/>
      <c r="L124" s="113"/>
      <c r="M124" s="100"/>
      <c r="N124" s="127"/>
      <c r="O124" s="128"/>
      <c r="P124" s="95"/>
      <c r="Q124" s="137"/>
      <c r="R124" s="129"/>
      <c r="S124" s="95"/>
      <c r="T124" s="95"/>
      <c r="V124" s="107"/>
    </row>
    <row r="125" ht="15.75" customHeight="1">
      <c r="A125" s="89"/>
      <c r="B125" s="182"/>
      <c r="C125" s="149"/>
      <c r="D125" s="95"/>
      <c r="E125" s="149"/>
      <c r="F125" s="149"/>
      <c r="G125" s="95"/>
      <c r="H125" s="149"/>
      <c r="I125" s="95"/>
      <c r="J125" s="95"/>
      <c r="K125" s="99"/>
      <c r="L125" s="99"/>
      <c r="M125" s="100"/>
      <c r="N125" s="127"/>
      <c r="O125" s="128"/>
      <c r="P125" s="95"/>
      <c r="Q125" s="137"/>
      <c r="R125" s="129"/>
      <c r="S125" s="95"/>
      <c r="T125" s="95"/>
      <c r="V125" s="107"/>
    </row>
    <row r="126" ht="15.75" customHeight="1">
      <c r="A126" s="89"/>
      <c r="B126" s="182"/>
      <c r="C126" s="149"/>
      <c r="D126" s="95"/>
      <c r="E126" s="149"/>
      <c r="F126" s="149"/>
      <c r="G126" s="95"/>
      <c r="H126" s="149"/>
      <c r="I126" s="95"/>
      <c r="J126" s="95"/>
      <c r="K126" s="113"/>
      <c r="L126" s="113"/>
      <c r="M126" s="100"/>
      <c r="N126" s="127"/>
      <c r="O126" s="128"/>
      <c r="P126" s="95"/>
      <c r="Q126" s="137"/>
      <c r="R126" s="129"/>
      <c r="S126" s="95"/>
      <c r="T126" s="95"/>
      <c r="V126" s="107"/>
    </row>
    <row r="127" ht="15.75" customHeight="1">
      <c r="A127" s="89"/>
      <c r="B127" s="182"/>
      <c r="C127" s="149"/>
      <c r="D127" s="95"/>
      <c r="E127" s="149"/>
      <c r="F127" s="149"/>
      <c r="G127" s="95"/>
      <c r="H127" s="149"/>
      <c r="I127" s="95"/>
      <c r="J127" s="95"/>
      <c r="K127" s="99"/>
      <c r="L127" s="99"/>
      <c r="M127" s="100"/>
      <c r="N127" s="127"/>
      <c r="O127" s="128"/>
      <c r="P127" s="95"/>
      <c r="Q127" s="137"/>
      <c r="R127" s="129"/>
      <c r="S127" s="95"/>
      <c r="T127" s="95"/>
      <c r="V127" s="107"/>
    </row>
    <row r="128" ht="15.75" customHeight="1">
      <c r="A128" s="89"/>
      <c r="B128" s="182"/>
      <c r="C128" s="107"/>
      <c r="D128" s="95"/>
      <c r="E128" s="149"/>
      <c r="F128" s="149"/>
      <c r="G128" s="95"/>
      <c r="H128" s="149"/>
      <c r="I128" s="95"/>
      <c r="J128" s="95"/>
      <c r="K128" s="113"/>
      <c r="L128" s="113"/>
      <c r="M128" s="100"/>
      <c r="N128" s="127"/>
      <c r="O128" s="128"/>
      <c r="P128" s="95"/>
      <c r="Q128" s="95"/>
      <c r="R128" s="129"/>
      <c r="S128" s="95"/>
      <c r="T128" s="95"/>
      <c r="V128" s="107"/>
    </row>
    <row r="129" ht="15.75" customHeight="1">
      <c r="A129" s="89"/>
      <c r="B129" s="182"/>
      <c r="C129" s="107"/>
      <c r="D129" s="95"/>
      <c r="E129" s="149"/>
      <c r="F129" s="149"/>
      <c r="G129" s="95"/>
      <c r="H129" s="149"/>
      <c r="I129" s="95"/>
      <c r="J129" s="95"/>
      <c r="K129" s="99"/>
      <c r="L129" s="99"/>
      <c r="M129" s="100"/>
      <c r="N129" s="127"/>
      <c r="O129" s="128"/>
      <c r="P129" s="95"/>
      <c r="Q129" s="137"/>
      <c r="R129" s="129"/>
      <c r="S129" s="95"/>
      <c r="T129" s="95"/>
      <c r="V129" s="107"/>
    </row>
    <row r="130" ht="15.75" customHeight="1">
      <c r="A130" s="89"/>
      <c r="B130" s="182"/>
      <c r="C130" s="107"/>
      <c r="D130" s="95"/>
      <c r="E130" s="149"/>
      <c r="F130" s="149"/>
      <c r="G130" s="95"/>
      <c r="H130" s="149"/>
      <c r="I130" s="95"/>
      <c r="J130" s="95"/>
      <c r="K130" s="113"/>
      <c r="L130" s="113"/>
      <c r="M130" s="100"/>
      <c r="N130" s="127"/>
      <c r="O130" s="128"/>
      <c r="P130" s="95"/>
      <c r="Q130" s="95"/>
      <c r="R130" s="129"/>
      <c r="S130" s="95"/>
      <c r="T130" s="95"/>
      <c r="V130" s="107"/>
    </row>
    <row r="131" ht="15.75" customHeight="1">
      <c r="A131" s="89"/>
      <c r="B131" s="182"/>
      <c r="C131" s="149"/>
      <c r="D131" s="95"/>
      <c r="E131" s="149"/>
      <c r="F131" s="149"/>
      <c r="G131" s="95"/>
      <c r="H131" s="149"/>
      <c r="I131" s="95"/>
      <c r="J131" s="95"/>
      <c r="K131" s="99"/>
      <c r="L131" s="99"/>
      <c r="M131" s="100"/>
      <c r="N131" s="127"/>
      <c r="O131" s="128"/>
      <c r="P131" s="95"/>
      <c r="Q131" s="95"/>
      <c r="R131" s="129"/>
      <c r="S131" s="95"/>
      <c r="T131" s="95"/>
      <c r="V131" s="107"/>
    </row>
    <row r="132" ht="15.75" customHeight="1">
      <c r="A132" s="89"/>
      <c r="B132" s="182"/>
      <c r="C132" s="149"/>
      <c r="D132" s="95"/>
      <c r="E132" s="149"/>
      <c r="F132" s="149"/>
      <c r="G132" s="95"/>
      <c r="H132" s="149"/>
      <c r="I132" s="95"/>
      <c r="J132" s="95"/>
      <c r="K132" s="113"/>
      <c r="L132" s="113"/>
      <c r="M132" s="100"/>
      <c r="N132" s="127"/>
      <c r="O132" s="128"/>
      <c r="P132" s="95"/>
      <c r="Q132" s="137"/>
      <c r="R132" s="129"/>
      <c r="S132" s="95"/>
      <c r="T132" s="95"/>
      <c r="V132" s="107"/>
    </row>
    <row r="133" ht="15.75" customHeight="1">
      <c r="A133" s="89"/>
      <c r="B133" s="182"/>
      <c r="C133" s="149"/>
      <c r="D133" s="95"/>
      <c r="E133" s="149"/>
      <c r="F133" s="149"/>
      <c r="G133" s="95"/>
      <c r="H133" s="149"/>
      <c r="I133" s="95"/>
      <c r="J133" s="95"/>
      <c r="K133" s="99"/>
      <c r="L133" s="99"/>
      <c r="M133" s="100"/>
      <c r="N133" s="127"/>
      <c r="O133" s="128"/>
      <c r="P133" s="95"/>
      <c r="Q133" s="95"/>
      <c r="R133" s="129"/>
      <c r="S133" s="95"/>
      <c r="T133" s="95"/>
      <c r="V133" s="107"/>
    </row>
    <row r="134" ht="15.75" customHeight="1">
      <c r="A134" s="89"/>
      <c r="B134" s="182"/>
      <c r="C134" s="149"/>
      <c r="D134" s="95"/>
      <c r="E134" s="149"/>
      <c r="F134" s="149"/>
      <c r="G134" s="95"/>
      <c r="H134" s="149"/>
      <c r="I134" s="95"/>
      <c r="J134" s="95"/>
      <c r="K134" s="113"/>
      <c r="L134" s="113"/>
      <c r="M134" s="100"/>
      <c r="N134" s="127"/>
      <c r="O134" s="128"/>
      <c r="P134" s="95"/>
      <c r="Q134" s="95"/>
      <c r="R134" s="129"/>
      <c r="S134" s="95"/>
      <c r="T134" s="95"/>
      <c r="V134" s="107"/>
    </row>
    <row r="135" ht="15.75" customHeight="1">
      <c r="A135" s="89"/>
      <c r="B135" s="182"/>
      <c r="C135" s="149"/>
      <c r="D135" s="95"/>
      <c r="E135" s="149"/>
      <c r="F135" s="149"/>
      <c r="G135" s="95"/>
      <c r="H135" s="149"/>
      <c r="I135" s="95"/>
      <c r="J135" s="95"/>
      <c r="K135" s="99"/>
      <c r="L135" s="99"/>
      <c r="M135" s="100"/>
      <c r="N135" s="127"/>
      <c r="O135" s="128"/>
      <c r="P135" s="95"/>
      <c r="Q135" s="137"/>
      <c r="R135" s="129"/>
      <c r="S135" s="95"/>
      <c r="T135" s="95"/>
      <c r="V135" s="107"/>
    </row>
    <row r="136" ht="15.75" customHeight="1">
      <c r="A136" s="89"/>
      <c r="B136" s="182"/>
      <c r="C136" s="107"/>
      <c r="D136" s="95"/>
      <c r="E136" s="149"/>
      <c r="F136" s="149"/>
      <c r="G136" s="95"/>
      <c r="H136" s="149"/>
      <c r="I136" s="95"/>
      <c r="J136" s="95"/>
      <c r="K136" s="113"/>
      <c r="L136" s="113"/>
      <c r="M136" s="100"/>
      <c r="N136" s="127"/>
      <c r="O136" s="128"/>
      <c r="P136" s="95"/>
      <c r="Q136" s="95"/>
      <c r="R136" s="129"/>
      <c r="S136" s="95"/>
      <c r="T136" s="95"/>
      <c r="V136" s="107"/>
    </row>
    <row r="137" ht="15.75" customHeight="1">
      <c r="A137" s="89"/>
      <c r="B137" s="182"/>
      <c r="C137" s="107"/>
      <c r="D137" s="95"/>
      <c r="E137" s="149"/>
      <c r="F137" s="149"/>
      <c r="G137" s="95"/>
      <c r="H137" s="149"/>
      <c r="I137" s="95"/>
      <c r="J137" s="95"/>
      <c r="K137" s="99"/>
      <c r="L137" s="99"/>
      <c r="M137" s="100"/>
      <c r="N137" s="127"/>
      <c r="O137" s="128"/>
      <c r="P137" s="95"/>
      <c r="Q137" s="137"/>
      <c r="R137" s="129"/>
      <c r="S137" s="95"/>
      <c r="T137" s="95"/>
      <c r="V137" s="107"/>
    </row>
    <row r="138" ht="15.75" customHeight="1">
      <c r="A138" s="89"/>
      <c r="B138" s="182"/>
      <c r="C138" s="107"/>
      <c r="D138" s="95"/>
      <c r="E138" s="149"/>
      <c r="F138" s="149"/>
      <c r="G138" s="95"/>
      <c r="H138" s="149"/>
      <c r="I138" s="95"/>
      <c r="J138" s="95"/>
      <c r="K138" s="113"/>
      <c r="L138" s="113"/>
      <c r="M138" s="100"/>
      <c r="N138" s="127"/>
      <c r="O138" s="128"/>
      <c r="P138" s="95"/>
      <c r="Q138" s="137"/>
      <c r="R138" s="129"/>
      <c r="S138" s="95"/>
      <c r="T138" s="95"/>
      <c r="V138" s="107"/>
    </row>
    <row r="139" ht="15.75" customHeight="1">
      <c r="A139" s="89"/>
      <c r="B139" s="182"/>
      <c r="C139" s="149"/>
      <c r="D139" s="95"/>
      <c r="E139" s="149"/>
      <c r="F139" s="149"/>
      <c r="G139" s="95"/>
      <c r="H139" s="149"/>
      <c r="I139" s="95"/>
      <c r="J139" s="95"/>
      <c r="K139" s="99"/>
      <c r="L139" s="99"/>
      <c r="M139" s="100"/>
      <c r="N139" s="127"/>
      <c r="O139" s="128"/>
      <c r="P139" s="95"/>
      <c r="Q139" s="137"/>
      <c r="R139" s="129"/>
      <c r="S139" s="95"/>
      <c r="T139" s="95"/>
      <c r="V139" s="107"/>
    </row>
    <row r="140" ht="15.75" customHeight="1">
      <c r="A140" s="89"/>
      <c r="B140" s="182"/>
      <c r="C140" s="149"/>
      <c r="D140" s="95"/>
      <c r="E140" s="149"/>
      <c r="F140" s="149"/>
      <c r="G140" s="95"/>
      <c r="H140" s="149"/>
      <c r="I140" s="95"/>
      <c r="J140" s="95"/>
      <c r="K140" s="113"/>
      <c r="L140" s="113"/>
      <c r="M140" s="100"/>
      <c r="N140" s="127"/>
      <c r="O140" s="128"/>
      <c r="P140" s="95"/>
      <c r="Q140" s="95"/>
      <c r="R140" s="129"/>
      <c r="S140" s="95"/>
      <c r="T140" s="95"/>
      <c r="V140" s="107"/>
    </row>
    <row r="141" ht="15.75" customHeight="1">
      <c r="A141" s="89"/>
      <c r="B141" s="182"/>
      <c r="C141" s="149"/>
      <c r="D141" s="95"/>
      <c r="E141" s="149"/>
      <c r="F141" s="149"/>
      <c r="G141" s="95"/>
      <c r="H141" s="149"/>
      <c r="I141" s="95"/>
      <c r="J141" s="95"/>
      <c r="K141" s="99"/>
      <c r="L141" s="99"/>
      <c r="M141" s="100"/>
      <c r="N141" s="127"/>
      <c r="O141" s="128"/>
      <c r="P141" s="95"/>
      <c r="Q141" s="137"/>
      <c r="R141" s="129"/>
      <c r="S141" s="95"/>
      <c r="T141" s="95"/>
      <c r="V141" s="107"/>
    </row>
    <row r="142" ht="15.75" customHeight="1">
      <c r="A142" s="89"/>
      <c r="B142" s="182"/>
      <c r="C142" s="149"/>
      <c r="D142" s="95"/>
      <c r="E142" s="149"/>
      <c r="F142" s="149"/>
      <c r="G142" s="95"/>
      <c r="H142" s="149"/>
      <c r="I142" s="95"/>
      <c r="J142" s="95"/>
      <c r="K142" s="113"/>
      <c r="L142" s="113"/>
      <c r="M142" s="100"/>
      <c r="N142" s="127"/>
      <c r="O142" s="128"/>
      <c r="P142" s="95"/>
      <c r="Q142" s="95"/>
      <c r="R142" s="129"/>
      <c r="S142" s="95"/>
      <c r="T142" s="95"/>
      <c r="V142" s="107"/>
    </row>
    <row r="143" ht="15.75" customHeight="1">
      <c r="A143" s="89"/>
      <c r="B143" s="182"/>
      <c r="C143" s="149"/>
      <c r="D143" s="95"/>
      <c r="E143" s="149"/>
      <c r="F143" s="183"/>
      <c r="G143" s="95"/>
      <c r="H143" s="149"/>
      <c r="I143" s="95"/>
      <c r="J143" s="95"/>
      <c r="K143" s="99"/>
      <c r="L143" s="99"/>
      <c r="M143" s="100"/>
      <c r="N143" s="127"/>
      <c r="O143" s="128"/>
      <c r="P143" s="95"/>
      <c r="Q143" s="137"/>
      <c r="R143" s="129"/>
      <c r="S143" s="95"/>
      <c r="T143" s="95"/>
      <c r="V143" s="107"/>
    </row>
    <row r="144" ht="15.75" customHeight="1">
      <c r="A144" s="89"/>
      <c r="B144" s="182"/>
      <c r="C144" s="107"/>
      <c r="D144" s="95"/>
      <c r="E144" s="149"/>
      <c r="F144" s="149"/>
      <c r="G144" s="95"/>
      <c r="H144" s="149"/>
      <c r="I144" s="95"/>
      <c r="J144" s="95"/>
      <c r="K144" s="113"/>
      <c r="L144" s="113"/>
      <c r="M144" s="100"/>
      <c r="N144" s="127"/>
      <c r="O144" s="128"/>
      <c r="P144" s="95"/>
      <c r="Q144" s="95"/>
      <c r="R144" s="129"/>
      <c r="S144" s="95"/>
      <c r="T144" s="95"/>
      <c r="V144" s="107"/>
    </row>
    <row r="145" ht="15.75" customHeight="1">
      <c r="A145" s="89"/>
      <c r="B145" s="182"/>
      <c r="C145" s="107"/>
      <c r="D145" s="95"/>
      <c r="E145" s="149"/>
      <c r="F145" s="149"/>
      <c r="G145" s="95"/>
      <c r="H145" s="149"/>
      <c r="I145" s="95"/>
      <c r="J145" s="95"/>
      <c r="K145" s="99"/>
      <c r="L145" s="99"/>
      <c r="M145" s="100"/>
      <c r="N145" s="127"/>
      <c r="O145" s="128"/>
      <c r="P145" s="95"/>
      <c r="Q145" s="137"/>
      <c r="R145" s="129"/>
      <c r="S145" s="95"/>
      <c r="T145" s="95"/>
      <c r="V145" s="107"/>
    </row>
    <row r="146" ht="15.75" customHeight="1">
      <c r="A146" s="89"/>
      <c r="B146" s="182"/>
      <c r="C146" s="149"/>
      <c r="D146" s="95"/>
      <c r="E146" s="149"/>
      <c r="F146" s="149"/>
      <c r="G146" s="95"/>
      <c r="H146" s="149"/>
      <c r="I146" s="95"/>
      <c r="J146" s="95"/>
      <c r="K146" s="113"/>
      <c r="L146" s="113"/>
      <c r="M146" s="100"/>
      <c r="N146" s="127"/>
      <c r="O146" s="128"/>
      <c r="P146" s="95"/>
      <c r="Q146" s="137"/>
      <c r="R146" s="129"/>
      <c r="S146" s="95"/>
      <c r="T146" s="95"/>
      <c r="V146" s="107"/>
    </row>
    <row r="147" ht="15.75" customHeight="1">
      <c r="A147" s="89"/>
      <c r="B147" s="182"/>
      <c r="C147" s="149"/>
      <c r="D147" s="95"/>
      <c r="E147" s="149"/>
      <c r="F147" s="149"/>
      <c r="G147" s="95"/>
      <c r="H147" s="149"/>
      <c r="I147" s="95"/>
      <c r="J147" s="95"/>
      <c r="K147" s="99"/>
      <c r="L147" s="99"/>
      <c r="M147" s="100"/>
      <c r="N147" s="127"/>
      <c r="O147" s="128"/>
      <c r="P147" s="95"/>
      <c r="Q147" s="137"/>
      <c r="R147" s="129"/>
      <c r="S147" s="95"/>
      <c r="T147" s="95"/>
      <c r="V147" s="107"/>
    </row>
    <row r="148" ht="15.75" customHeight="1">
      <c r="A148" s="89"/>
      <c r="B148" s="182"/>
      <c r="C148" s="149"/>
      <c r="D148" s="95"/>
      <c r="E148" s="149"/>
      <c r="F148" s="149"/>
      <c r="G148" s="95"/>
      <c r="H148" s="149"/>
      <c r="I148" s="95"/>
      <c r="J148" s="95"/>
      <c r="K148" s="113"/>
      <c r="L148" s="113"/>
      <c r="M148" s="100"/>
      <c r="N148" s="127"/>
      <c r="O148" s="128"/>
      <c r="P148" s="95"/>
      <c r="Q148" s="137"/>
      <c r="R148" s="129"/>
      <c r="S148" s="95"/>
      <c r="T148" s="95"/>
      <c r="V148" s="107"/>
    </row>
    <row r="149" ht="15.75" customHeight="1">
      <c r="A149" s="89"/>
      <c r="B149" s="182"/>
      <c r="C149" s="149"/>
      <c r="D149" s="95"/>
      <c r="E149" s="149"/>
      <c r="F149" s="149"/>
      <c r="G149" s="95"/>
      <c r="H149" s="149"/>
      <c r="I149" s="95"/>
      <c r="J149" s="95"/>
      <c r="K149" s="99"/>
      <c r="L149" s="99"/>
      <c r="M149" s="100"/>
      <c r="N149" s="127"/>
      <c r="O149" s="128"/>
      <c r="P149" s="95"/>
      <c r="Q149" s="137"/>
      <c r="R149" s="129"/>
      <c r="S149" s="95"/>
      <c r="T149" s="95"/>
      <c r="V149" s="107"/>
    </row>
    <row r="150" ht="15.75" customHeight="1">
      <c r="A150" s="89"/>
      <c r="B150" s="182"/>
      <c r="C150" s="149"/>
      <c r="D150" s="95"/>
      <c r="E150" s="149"/>
      <c r="F150" s="149"/>
      <c r="G150" s="95"/>
      <c r="H150" s="149"/>
      <c r="I150" s="95"/>
      <c r="J150" s="95"/>
      <c r="K150" s="113"/>
      <c r="L150" s="113"/>
      <c r="M150" s="100"/>
      <c r="N150" s="127"/>
      <c r="O150" s="128"/>
      <c r="P150" s="95"/>
      <c r="Q150" s="137"/>
      <c r="R150" s="129"/>
      <c r="S150" s="95"/>
      <c r="T150" s="95"/>
      <c r="V150" s="107"/>
    </row>
    <row r="151" ht="15.75" customHeight="1">
      <c r="A151" s="89"/>
      <c r="B151" s="182"/>
      <c r="C151" s="107"/>
      <c r="D151" s="95"/>
      <c r="E151" s="149"/>
      <c r="F151" s="149"/>
      <c r="G151" s="95"/>
      <c r="H151" s="149"/>
      <c r="I151" s="95"/>
      <c r="J151" s="95"/>
      <c r="K151" s="99"/>
      <c r="L151" s="99"/>
      <c r="M151" s="100"/>
      <c r="N151" s="127"/>
      <c r="O151" s="128"/>
      <c r="P151" s="95"/>
      <c r="Q151" s="137"/>
      <c r="R151" s="129"/>
      <c r="S151" s="95"/>
      <c r="T151" s="95"/>
      <c r="V151" s="107"/>
    </row>
    <row r="152" ht="15.75" customHeight="1">
      <c r="A152" s="89"/>
      <c r="B152" s="182"/>
      <c r="C152" s="149"/>
      <c r="D152" s="95"/>
      <c r="E152" s="149"/>
      <c r="F152" s="149"/>
      <c r="G152" s="95"/>
      <c r="H152" s="149"/>
      <c r="I152" s="95"/>
      <c r="J152" s="95"/>
      <c r="K152" s="113"/>
      <c r="L152" s="113"/>
      <c r="M152" s="100"/>
      <c r="N152" s="127"/>
      <c r="O152" s="128"/>
      <c r="P152" s="95"/>
      <c r="Q152" s="137"/>
      <c r="R152" s="129"/>
      <c r="S152" s="95"/>
      <c r="T152" s="95"/>
      <c r="V152" s="107"/>
    </row>
    <row r="153" ht="15.75" customHeight="1">
      <c r="A153" s="89"/>
      <c r="B153" s="182"/>
      <c r="C153" s="149"/>
      <c r="D153" s="95"/>
      <c r="E153" s="149"/>
      <c r="F153" s="149"/>
      <c r="G153" s="95"/>
      <c r="H153" s="149"/>
      <c r="I153" s="95"/>
      <c r="J153" s="95"/>
      <c r="K153" s="99"/>
      <c r="L153" s="99"/>
      <c r="M153" s="100"/>
      <c r="N153" s="127"/>
      <c r="O153" s="128"/>
      <c r="P153" s="95"/>
      <c r="Q153" s="137"/>
      <c r="R153" s="129"/>
      <c r="S153" s="95"/>
      <c r="T153" s="95"/>
      <c r="V153" s="107"/>
    </row>
    <row r="154" ht="15.75" customHeight="1">
      <c r="A154" s="89"/>
      <c r="B154" s="182"/>
      <c r="C154" s="149"/>
      <c r="D154" s="95"/>
      <c r="E154" s="149"/>
      <c r="F154" s="149"/>
      <c r="G154" s="95"/>
      <c r="H154" s="149"/>
      <c r="I154" s="95"/>
      <c r="J154" s="95"/>
      <c r="K154" s="113"/>
      <c r="L154" s="113"/>
      <c r="M154" s="100"/>
      <c r="N154" s="127"/>
      <c r="O154" s="128"/>
      <c r="P154" s="95"/>
      <c r="Q154" s="137"/>
      <c r="R154" s="129"/>
      <c r="S154" s="95"/>
      <c r="T154" s="95"/>
      <c r="V154" s="107"/>
    </row>
    <row r="155" ht="15.75" customHeight="1">
      <c r="A155" s="89"/>
      <c r="B155" s="182"/>
      <c r="C155" s="149"/>
      <c r="D155" s="95"/>
      <c r="E155" s="149"/>
      <c r="F155" s="149"/>
      <c r="G155" s="95"/>
      <c r="H155" s="149"/>
      <c r="I155" s="95"/>
      <c r="J155" s="95"/>
      <c r="K155" s="99"/>
      <c r="L155" s="99"/>
      <c r="M155" s="100"/>
      <c r="N155" s="127"/>
      <c r="O155" s="128"/>
      <c r="P155" s="95"/>
      <c r="Q155" s="137"/>
      <c r="R155" s="129"/>
      <c r="S155" s="95"/>
      <c r="T155" s="95"/>
      <c r="V155" s="107"/>
    </row>
    <row r="156" ht="15.75" customHeight="1">
      <c r="A156" s="89"/>
      <c r="B156" s="182"/>
      <c r="C156" s="149"/>
      <c r="D156" s="95"/>
      <c r="E156" s="149"/>
      <c r="F156" s="149"/>
      <c r="G156" s="95"/>
      <c r="H156" s="149"/>
      <c r="I156" s="95"/>
      <c r="J156" s="95"/>
      <c r="K156" s="113"/>
      <c r="L156" s="113"/>
      <c r="M156" s="100"/>
      <c r="N156" s="127"/>
      <c r="O156" s="128"/>
      <c r="P156" s="95"/>
      <c r="Q156" s="137"/>
      <c r="R156" s="129"/>
      <c r="S156" s="95"/>
      <c r="T156" s="95"/>
      <c r="V156" s="107"/>
    </row>
    <row r="157" ht="15.75" customHeight="1">
      <c r="A157" s="89"/>
      <c r="B157" s="182"/>
      <c r="C157" s="107"/>
      <c r="D157" s="95"/>
      <c r="E157" s="149"/>
      <c r="F157" s="149"/>
      <c r="G157" s="95"/>
      <c r="H157" s="149"/>
      <c r="I157" s="95"/>
      <c r="J157" s="95"/>
      <c r="K157" s="99"/>
      <c r="L157" s="99"/>
      <c r="M157" s="100"/>
      <c r="N157" s="127"/>
      <c r="O157" s="128"/>
      <c r="P157" s="95"/>
      <c r="Q157" s="137"/>
      <c r="R157" s="129"/>
      <c r="S157" s="95"/>
      <c r="T157" s="95"/>
      <c r="V157" s="107"/>
    </row>
    <row r="158" ht="15.75" customHeight="1">
      <c r="A158" s="89"/>
      <c r="B158" s="182"/>
      <c r="C158" s="149"/>
      <c r="D158" s="95"/>
      <c r="E158" s="149"/>
      <c r="F158" s="149"/>
      <c r="G158" s="95"/>
      <c r="H158" s="149"/>
      <c r="I158" s="95"/>
      <c r="J158" s="95"/>
      <c r="K158" s="113"/>
      <c r="L158" s="113"/>
      <c r="M158" s="100"/>
      <c r="N158" s="127"/>
      <c r="O158" s="128"/>
      <c r="P158" s="95"/>
      <c r="Q158" s="137"/>
      <c r="R158" s="129"/>
      <c r="S158" s="95"/>
      <c r="T158" s="95"/>
      <c r="V158" s="107"/>
    </row>
    <row r="159" ht="15.75" customHeight="1">
      <c r="A159" s="89"/>
      <c r="B159" s="182"/>
      <c r="C159" s="149"/>
      <c r="D159" s="95"/>
      <c r="E159" s="149"/>
      <c r="F159" s="149"/>
      <c r="G159" s="95"/>
      <c r="H159" s="149"/>
      <c r="I159" s="95"/>
      <c r="J159" s="95"/>
      <c r="K159" s="99"/>
      <c r="L159" s="99"/>
      <c r="M159" s="100"/>
      <c r="N159" s="127"/>
      <c r="O159" s="128"/>
      <c r="P159" s="95"/>
      <c r="Q159" s="137"/>
      <c r="R159" s="129"/>
      <c r="S159" s="95"/>
      <c r="T159" s="95"/>
      <c r="V159" s="107"/>
    </row>
    <row r="160" ht="15.75" customHeight="1">
      <c r="A160" s="89"/>
      <c r="B160" s="182"/>
      <c r="C160" s="149"/>
      <c r="D160" s="95"/>
      <c r="E160" s="149"/>
      <c r="F160" s="149"/>
      <c r="G160" s="95"/>
      <c r="H160" s="149"/>
      <c r="I160" s="95"/>
      <c r="J160" s="95"/>
      <c r="K160" s="113"/>
      <c r="L160" s="113"/>
      <c r="M160" s="100"/>
      <c r="N160" s="127"/>
      <c r="O160" s="128"/>
      <c r="P160" s="95"/>
      <c r="Q160" s="137"/>
      <c r="R160" s="129"/>
      <c r="S160" s="95"/>
      <c r="T160" s="95"/>
      <c r="V160" s="107"/>
    </row>
    <row r="161" ht="15.75" customHeight="1">
      <c r="A161" s="89"/>
      <c r="B161" s="182"/>
      <c r="C161" s="149"/>
      <c r="D161" s="95"/>
      <c r="E161" s="149"/>
      <c r="F161" s="149"/>
      <c r="G161" s="95"/>
      <c r="H161" s="149"/>
      <c r="I161" s="95"/>
      <c r="J161" s="95"/>
      <c r="K161" s="99"/>
      <c r="L161" s="99"/>
      <c r="M161" s="100"/>
      <c r="N161" s="127"/>
      <c r="O161" s="128"/>
      <c r="P161" s="95"/>
      <c r="Q161" s="137"/>
      <c r="R161" s="129"/>
      <c r="S161" s="95"/>
      <c r="T161" s="95"/>
      <c r="V161" s="107"/>
    </row>
    <row r="162" ht="15.75" customHeight="1">
      <c r="A162" s="89"/>
      <c r="B162" s="182"/>
      <c r="C162" s="149"/>
      <c r="D162" s="95"/>
      <c r="E162" s="149"/>
      <c r="F162" s="149"/>
      <c r="G162" s="95"/>
      <c r="H162" s="149"/>
      <c r="I162" s="95"/>
      <c r="J162" s="95"/>
      <c r="K162" s="113"/>
      <c r="L162" s="113"/>
      <c r="M162" s="100"/>
      <c r="N162" s="127"/>
      <c r="O162" s="128"/>
      <c r="P162" s="95"/>
      <c r="Q162" s="137"/>
      <c r="R162" s="129"/>
      <c r="S162" s="95"/>
      <c r="T162" s="95"/>
      <c r="V162" s="107"/>
    </row>
    <row r="163" ht="15.75" customHeight="1">
      <c r="A163" s="89"/>
      <c r="B163" s="182"/>
      <c r="C163" s="107"/>
      <c r="D163" s="95"/>
      <c r="E163" s="149"/>
      <c r="F163" s="149"/>
      <c r="G163" s="95"/>
      <c r="H163" s="149"/>
      <c r="I163" s="95"/>
      <c r="J163" s="95"/>
      <c r="K163" s="99"/>
      <c r="L163" s="99"/>
      <c r="M163" s="100"/>
      <c r="N163" s="127"/>
      <c r="O163" s="128"/>
      <c r="P163" s="95"/>
      <c r="Q163" s="137"/>
      <c r="R163" s="129"/>
      <c r="S163" s="95"/>
      <c r="T163" s="95"/>
      <c r="V163" s="107"/>
    </row>
    <row r="164" ht="15.75" customHeight="1">
      <c r="A164" s="89"/>
      <c r="B164" s="182"/>
      <c r="C164" s="149"/>
      <c r="D164" s="95"/>
      <c r="E164" s="149"/>
      <c r="F164" s="149"/>
      <c r="G164" s="95"/>
      <c r="H164" s="149"/>
      <c r="I164" s="95"/>
      <c r="J164" s="95"/>
      <c r="K164" s="113"/>
      <c r="L164" s="113"/>
      <c r="M164" s="100"/>
      <c r="N164" s="127"/>
      <c r="O164" s="128"/>
      <c r="P164" s="95"/>
      <c r="Q164" s="137"/>
      <c r="R164" s="129"/>
      <c r="S164" s="95"/>
      <c r="T164" s="95"/>
      <c r="V164" s="107"/>
    </row>
    <row r="165" ht="15.75" customHeight="1">
      <c r="A165" s="89"/>
      <c r="B165" s="182"/>
      <c r="C165" s="149"/>
      <c r="D165" s="95"/>
      <c r="E165" s="149"/>
      <c r="F165" s="149"/>
      <c r="G165" s="95"/>
      <c r="H165" s="149"/>
      <c r="I165" s="95"/>
      <c r="J165" s="95"/>
      <c r="K165" s="99"/>
      <c r="L165" s="99"/>
      <c r="M165" s="100"/>
      <c r="N165" s="127"/>
      <c r="O165" s="128"/>
      <c r="P165" s="95"/>
      <c r="Q165" s="137"/>
      <c r="R165" s="129"/>
      <c r="S165" s="95"/>
      <c r="T165" s="95"/>
      <c r="V165" s="107"/>
    </row>
    <row r="166" ht="15.75" customHeight="1">
      <c r="A166" s="89"/>
      <c r="B166" s="182"/>
      <c r="C166" s="149"/>
      <c r="D166" s="95"/>
      <c r="E166" s="149"/>
      <c r="F166" s="149"/>
      <c r="G166" s="95"/>
      <c r="H166" s="149"/>
      <c r="I166" s="95"/>
      <c r="J166" s="95"/>
      <c r="K166" s="113"/>
      <c r="L166" s="113"/>
      <c r="M166" s="100"/>
      <c r="N166" s="127"/>
      <c r="O166" s="128"/>
      <c r="P166" s="95"/>
      <c r="Q166" s="137"/>
      <c r="R166" s="129"/>
      <c r="S166" s="95"/>
      <c r="T166" s="95"/>
      <c r="V166" s="107"/>
    </row>
    <row r="167" ht="15.75" customHeight="1">
      <c r="A167" s="89"/>
      <c r="B167" s="182"/>
      <c r="C167" s="149"/>
      <c r="D167" s="95"/>
      <c r="E167" s="149"/>
      <c r="F167" s="149"/>
      <c r="G167" s="95"/>
      <c r="H167" s="149"/>
      <c r="I167" s="95"/>
      <c r="J167" s="95"/>
      <c r="K167" s="99"/>
      <c r="L167" s="99"/>
      <c r="M167" s="100"/>
      <c r="N167" s="127"/>
      <c r="O167" s="128"/>
      <c r="P167" s="95"/>
      <c r="Q167" s="137"/>
      <c r="R167" s="129"/>
      <c r="S167" s="95"/>
      <c r="T167" s="95"/>
      <c r="V167" s="107"/>
    </row>
    <row r="168" ht="15.75" customHeight="1">
      <c r="A168" s="89"/>
      <c r="B168" s="182"/>
      <c r="C168" s="149"/>
      <c r="D168" s="95"/>
      <c r="E168" s="149"/>
      <c r="F168" s="149"/>
      <c r="G168" s="95"/>
      <c r="H168" s="149"/>
      <c r="I168" s="95"/>
      <c r="J168" s="95"/>
      <c r="K168" s="113"/>
      <c r="L168" s="113"/>
      <c r="M168" s="100"/>
      <c r="N168" s="127"/>
      <c r="O168" s="128"/>
      <c r="P168" s="95"/>
      <c r="Q168" s="137"/>
      <c r="R168" s="129"/>
      <c r="S168" s="95"/>
      <c r="T168" s="95"/>
      <c r="V168" s="107"/>
    </row>
    <row r="169" ht="15.75" customHeight="1">
      <c r="A169" s="89"/>
      <c r="B169" s="182"/>
      <c r="C169" s="107"/>
      <c r="D169" s="95"/>
      <c r="E169" s="149"/>
      <c r="F169" s="149"/>
      <c r="G169" s="95"/>
      <c r="H169" s="149"/>
      <c r="I169" s="95"/>
      <c r="J169" s="95"/>
      <c r="K169" s="99"/>
      <c r="L169" s="99"/>
      <c r="M169" s="100"/>
      <c r="N169" s="127"/>
      <c r="O169" s="128"/>
      <c r="P169" s="95"/>
      <c r="Q169" s="137"/>
      <c r="R169" s="129"/>
      <c r="S169" s="95"/>
      <c r="T169" s="95"/>
      <c r="V169" s="107"/>
    </row>
    <row r="170" ht="15.75" customHeight="1">
      <c r="A170" s="89"/>
      <c r="B170" s="182"/>
      <c r="C170" s="149"/>
      <c r="D170" s="95"/>
      <c r="E170" s="149"/>
      <c r="F170" s="149"/>
      <c r="G170" s="95"/>
      <c r="H170" s="149"/>
      <c r="I170" s="95"/>
      <c r="J170" s="95"/>
      <c r="K170" s="113"/>
      <c r="L170" s="113"/>
      <c r="M170" s="100"/>
      <c r="N170" s="127"/>
      <c r="O170" s="128"/>
      <c r="P170" s="95"/>
      <c r="Q170" s="137"/>
      <c r="R170" s="129"/>
      <c r="S170" s="95"/>
      <c r="T170" s="95"/>
      <c r="V170" s="107"/>
    </row>
    <row r="171" ht="15.75" customHeight="1">
      <c r="A171" s="89"/>
      <c r="B171" s="182"/>
      <c r="C171" s="149"/>
      <c r="D171" s="95"/>
      <c r="E171" s="149"/>
      <c r="F171" s="149"/>
      <c r="G171" s="95"/>
      <c r="H171" s="149"/>
      <c r="I171" s="95"/>
      <c r="J171" s="95"/>
      <c r="K171" s="99"/>
      <c r="L171" s="99"/>
      <c r="M171" s="100"/>
      <c r="N171" s="127"/>
      <c r="O171" s="128"/>
      <c r="P171" s="95"/>
      <c r="Q171" s="137"/>
      <c r="R171" s="129"/>
      <c r="S171" s="95"/>
      <c r="T171" s="95"/>
      <c r="V171" s="107"/>
    </row>
    <row r="172" ht="15.75" customHeight="1">
      <c r="A172" s="89"/>
      <c r="B172" s="182"/>
      <c r="C172" s="149"/>
      <c r="D172" s="95"/>
      <c r="E172" s="149"/>
      <c r="F172" s="149"/>
      <c r="G172" s="95"/>
      <c r="H172" s="149"/>
      <c r="I172" s="95"/>
      <c r="J172" s="95"/>
      <c r="K172" s="113"/>
      <c r="L172" s="113"/>
      <c r="M172" s="100"/>
      <c r="N172" s="127"/>
      <c r="O172" s="128"/>
      <c r="P172" s="95"/>
      <c r="Q172" s="137"/>
      <c r="R172" s="129"/>
      <c r="S172" s="95"/>
      <c r="T172" s="95"/>
      <c r="V172" s="107"/>
    </row>
    <row r="173" ht="15.75" customHeight="1">
      <c r="A173" s="89"/>
      <c r="B173" s="182"/>
      <c r="C173" s="149"/>
      <c r="D173" s="95"/>
      <c r="E173" s="149"/>
      <c r="F173" s="149"/>
      <c r="G173" s="95"/>
      <c r="H173" s="149"/>
      <c r="I173" s="95"/>
      <c r="J173" s="95"/>
      <c r="K173" s="99"/>
      <c r="L173" s="99"/>
      <c r="M173" s="100"/>
      <c r="N173" s="127"/>
      <c r="O173" s="128"/>
      <c r="P173" s="95"/>
      <c r="Q173" s="137"/>
      <c r="R173" s="129"/>
      <c r="S173" s="95"/>
      <c r="T173" s="95"/>
      <c r="V173" s="107"/>
    </row>
    <row r="174" ht="15.75" customHeight="1">
      <c r="A174" s="89"/>
      <c r="B174" s="182"/>
      <c r="C174" s="149"/>
      <c r="D174" s="95"/>
      <c r="E174" s="149"/>
      <c r="F174" s="149"/>
      <c r="G174" s="95"/>
      <c r="H174" s="149"/>
      <c r="I174" s="95"/>
      <c r="J174" s="95"/>
      <c r="K174" s="113"/>
      <c r="L174" s="113"/>
      <c r="M174" s="100"/>
      <c r="N174" s="127"/>
      <c r="O174" s="128"/>
      <c r="P174" s="95"/>
      <c r="Q174" s="137"/>
      <c r="R174" s="129"/>
      <c r="S174" s="95"/>
      <c r="T174" s="95"/>
      <c r="V174" s="107"/>
    </row>
    <row r="175" ht="15.75" customHeight="1">
      <c r="A175" s="89"/>
      <c r="B175" s="182"/>
      <c r="C175" s="107"/>
      <c r="D175" s="95"/>
      <c r="E175" s="149"/>
      <c r="F175" s="149"/>
      <c r="G175" s="95"/>
      <c r="H175" s="149"/>
      <c r="I175" s="95"/>
      <c r="J175" s="95"/>
      <c r="K175" s="99"/>
      <c r="L175" s="99"/>
      <c r="M175" s="100"/>
      <c r="N175" s="127"/>
      <c r="O175" s="128"/>
      <c r="P175" s="95"/>
      <c r="Q175" s="137"/>
      <c r="R175" s="129"/>
      <c r="S175" s="95"/>
      <c r="T175" s="95"/>
      <c r="V175" s="107"/>
    </row>
    <row r="176" ht="15.75" customHeight="1">
      <c r="A176" s="89"/>
      <c r="B176" s="182"/>
      <c r="C176" s="149"/>
      <c r="D176" s="95"/>
      <c r="E176" s="149"/>
      <c r="F176" s="149"/>
      <c r="G176" s="95"/>
      <c r="H176" s="149"/>
      <c r="I176" s="95"/>
      <c r="J176" s="95"/>
      <c r="K176" s="113"/>
      <c r="L176" s="113"/>
      <c r="M176" s="100"/>
      <c r="N176" s="127"/>
      <c r="O176" s="128"/>
      <c r="P176" s="95"/>
      <c r="Q176" s="137"/>
      <c r="R176" s="129"/>
      <c r="S176" s="95"/>
      <c r="T176" s="95"/>
      <c r="V176" s="107"/>
    </row>
    <row r="177" ht="15.75" customHeight="1">
      <c r="A177" s="89"/>
      <c r="B177" s="182"/>
      <c r="C177" s="149"/>
      <c r="D177" s="95"/>
      <c r="E177" s="149"/>
      <c r="F177" s="149"/>
      <c r="G177" s="95"/>
      <c r="H177" s="149"/>
      <c r="I177" s="95"/>
      <c r="J177" s="95"/>
      <c r="K177" s="99"/>
      <c r="L177" s="99"/>
      <c r="M177" s="100"/>
      <c r="N177" s="127"/>
      <c r="O177" s="128"/>
      <c r="P177" s="95"/>
      <c r="Q177" s="137"/>
      <c r="R177" s="129"/>
      <c r="S177" s="95"/>
      <c r="T177" s="95"/>
      <c r="V177" s="107"/>
    </row>
    <row r="178" ht="15.75" customHeight="1">
      <c r="A178" s="89"/>
      <c r="B178" s="182"/>
      <c r="C178" s="149"/>
      <c r="D178" s="95"/>
      <c r="E178" s="149"/>
      <c r="F178" s="149"/>
      <c r="G178" s="95"/>
      <c r="H178" s="149"/>
      <c r="I178" s="95"/>
      <c r="J178" s="95"/>
      <c r="K178" s="113"/>
      <c r="L178" s="113"/>
      <c r="M178" s="100"/>
      <c r="N178" s="127"/>
      <c r="O178" s="128"/>
      <c r="P178" s="95"/>
      <c r="Q178" s="137"/>
      <c r="R178" s="129"/>
      <c r="S178" s="95"/>
      <c r="T178" s="95"/>
      <c r="V178" s="107"/>
    </row>
    <row r="179" ht="15.75" customHeight="1">
      <c r="A179" s="89"/>
      <c r="B179" s="182"/>
      <c r="C179" s="149"/>
      <c r="D179" s="95"/>
      <c r="E179" s="149"/>
      <c r="F179" s="149"/>
      <c r="G179" s="95"/>
      <c r="H179" s="149"/>
      <c r="I179" s="95"/>
      <c r="J179" s="95"/>
      <c r="K179" s="99"/>
      <c r="L179" s="99"/>
      <c r="M179" s="100"/>
      <c r="N179" s="127"/>
      <c r="O179" s="128"/>
      <c r="P179" s="95"/>
      <c r="Q179" s="137"/>
      <c r="R179" s="129"/>
      <c r="S179" s="95"/>
      <c r="T179" s="95"/>
      <c r="V179" s="107"/>
    </row>
    <row r="180" ht="15.75" customHeight="1">
      <c r="A180" s="89"/>
      <c r="B180" s="182"/>
      <c r="C180" s="149"/>
      <c r="D180" s="95"/>
      <c r="E180" s="149"/>
      <c r="F180" s="149"/>
      <c r="G180" s="95"/>
      <c r="H180" s="149"/>
      <c r="I180" s="95"/>
      <c r="J180" s="95"/>
      <c r="K180" s="113"/>
      <c r="L180" s="113"/>
      <c r="M180" s="100"/>
      <c r="N180" s="127"/>
      <c r="O180" s="128"/>
      <c r="P180" s="95"/>
      <c r="Q180" s="137"/>
      <c r="R180" s="129"/>
      <c r="S180" s="95"/>
      <c r="T180" s="95"/>
      <c r="V180" s="107"/>
    </row>
    <row r="181" ht="15.75" customHeight="1">
      <c r="A181" s="89"/>
      <c r="B181" s="182"/>
      <c r="C181" s="107"/>
      <c r="D181" s="95"/>
      <c r="E181" s="149"/>
      <c r="F181" s="149"/>
      <c r="G181" s="95"/>
      <c r="H181" s="149"/>
      <c r="I181" s="95"/>
      <c r="J181" s="95"/>
      <c r="K181" s="99"/>
      <c r="L181" s="99"/>
      <c r="M181" s="100"/>
      <c r="N181" s="127"/>
      <c r="O181" s="128"/>
      <c r="P181" s="95"/>
      <c r="Q181" s="137"/>
      <c r="R181" s="129"/>
      <c r="S181" s="95"/>
      <c r="T181" s="95"/>
      <c r="V181" s="107"/>
    </row>
    <row r="182" ht="15.75" customHeight="1">
      <c r="A182" s="89"/>
      <c r="B182" s="182"/>
      <c r="C182" s="149"/>
      <c r="D182" s="95"/>
      <c r="E182" s="149"/>
      <c r="F182" s="149"/>
      <c r="G182" s="95"/>
      <c r="H182" s="149"/>
      <c r="I182" s="95"/>
      <c r="J182" s="95"/>
      <c r="K182" s="113"/>
      <c r="L182" s="113"/>
      <c r="M182" s="100"/>
      <c r="N182" s="127"/>
      <c r="O182" s="128"/>
      <c r="P182" s="95"/>
      <c r="Q182" s="137"/>
      <c r="R182" s="129"/>
      <c r="S182" s="95"/>
      <c r="T182" s="95"/>
      <c r="V182" s="107"/>
    </row>
    <row r="183" ht="15.75" customHeight="1">
      <c r="A183" s="89"/>
      <c r="B183" s="182"/>
      <c r="C183" s="149"/>
      <c r="D183" s="95"/>
      <c r="E183" s="149"/>
      <c r="F183" s="149"/>
      <c r="G183" s="95"/>
      <c r="H183" s="149"/>
      <c r="I183" s="95"/>
      <c r="J183" s="95"/>
      <c r="K183" s="99"/>
      <c r="L183" s="99"/>
      <c r="M183" s="100"/>
      <c r="N183" s="127"/>
      <c r="O183" s="128"/>
      <c r="P183" s="95"/>
      <c r="Q183" s="137"/>
      <c r="R183" s="129"/>
      <c r="S183" s="95"/>
      <c r="T183" s="95"/>
      <c r="V183" s="107"/>
    </row>
    <row r="184" ht="15.75" customHeight="1">
      <c r="A184" s="89"/>
      <c r="B184" s="182"/>
      <c r="C184" s="149"/>
      <c r="D184" s="95"/>
      <c r="E184" s="149"/>
      <c r="F184" s="149"/>
      <c r="G184" s="95"/>
      <c r="H184" s="149"/>
      <c r="I184" s="95"/>
      <c r="J184" s="95"/>
      <c r="K184" s="113"/>
      <c r="L184" s="113"/>
      <c r="M184" s="100"/>
      <c r="N184" s="127"/>
      <c r="O184" s="128"/>
      <c r="P184" s="95"/>
      <c r="Q184" s="137"/>
      <c r="R184" s="129"/>
      <c r="S184" s="95"/>
      <c r="T184" s="95"/>
      <c r="V184" s="107"/>
    </row>
    <row r="185" ht="15.75" customHeight="1">
      <c r="A185" s="89"/>
      <c r="B185" s="182"/>
      <c r="C185" s="149"/>
      <c r="D185" s="95"/>
      <c r="E185" s="149"/>
      <c r="F185" s="149"/>
      <c r="G185" s="95"/>
      <c r="H185" s="149"/>
      <c r="I185" s="95"/>
      <c r="J185" s="95"/>
      <c r="K185" s="99"/>
      <c r="L185" s="99"/>
      <c r="M185" s="100"/>
      <c r="N185" s="127"/>
      <c r="O185" s="128"/>
      <c r="P185" s="95"/>
      <c r="Q185" s="137"/>
      <c r="R185" s="129"/>
      <c r="S185" s="95"/>
      <c r="T185" s="95"/>
      <c r="V185" s="107"/>
    </row>
    <row r="186" ht="15.75" customHeight="1">
      <c r="A186" s="89"/>
      <c r="B186" s="182"/>
      <c r="C186" s="149"/>
      <c r="D186" s="95"/>
      <c r="E186" s="149"/>
      <c r="F186" s="149"/>
      <c r="G186" s="95"/>
      <c r="H186" s="149"/>
      <c r="I186" s="95"/>
      <c r="J186" s="95"/>
      <c r="K186" s="113"/>
      <c r="L186" s="113"/>
      <c r="M186" s="100"/>
      <c r="N186" s="127"/>
      <c r="O186" s="128"/>
      <c r="P186" s="95"/>
      <c r="Q186" s="137"/>
      <c r="R186" s="129"/>
      <c r="S186" s="95"/>
      <c r="T186" s="95"/>
      <c r="V186" s="107"/>
    </row>
    <row r="187" ht="15.75" customHeight="1">
      <c r="A187" s="89"/>
      <c r="B187" s="182"/>
      <c r="C187" s="107"/>
      <c r="D187" s="95"/>
      <c r="E187" s="149"/>
      <c r="F187" s="149"/>
      <c r="G187" s="95"/>
      <c r="H187" s="149"/>
      <c r="I187" s="95"/>
      <c r="J187" s="95"/>
      <c r="K187" s="99"/>
      <c r="L187" s="99"/>
      <c r="M187" s="100"/>
      <c r="N187" s="127"/>
      <c r="O187" s="128"/>
      <c r="P187" s="95"/>
      <c r="Q187" s="137"/>
      <c r="R187" s="129"/>
      <c r="S187" s="95"/>
      <c r="T187" s="95"/>
      <c r="V187" s="107"/>
    </row>
    <row r="188" ht="15.75" customHeight="1">
      <c r="A188" s="89"/>
      <c r="B188" s="182"/>
      <c r="C188" s="149"/>
      <c r="D188" s="95"/>
      <c r="E188" s="149"/>
      <c r="F188" s="149"/>
      <c r="G188" s="95"/>
      <c r="H188" s="149"/>
      <c r="I188" s="95"/>
      <c r="J188" s="95"/>
      <c r="K188" s="113"/>
      <c r="L188" s="113"/>
      <c r="M188" s="100"/>
      <c r="N188" s="127"/>
      <c r="O188" s="128"/>
      <c r="P188" s="95"/>
      <c r="Q188" s="137"/>
      <c r="R188" s="129"/>
      <c r="S188" s="95"/>
      <c r="T188" s="95"/>
      <c r="V188" s="107"/>
    </row>
    <row r="189" ht="15.75" customHeight="1">
      <c r="A189" s="89"/>
      <c r="B189" s="182"/>
      <c r="C189" s="149"/>
      <c r="D189" s="95"/>
      <c r="E189" s="149"/>
      <c r="F189" s="149"/>
      <c r="G189" s="95"/>
      <c r="H189" s="149"/>
      <c r="I189" s="95"/>
      <c r="J189" s="95"/>
      <c r="K189" s="99"/>
      <c r="L189" s="99"/>
      <c r="M189" s="100"/>
      <c r="N189" s="127"/>
      <c r="O189" s="128"/>
      <c r="P189" s="95"/>
      <c r="Q189" s="137"/>
      <c r="R189" s="129"/>
      <c r="S189" s="95"/>
      <c r="T189" s="95"/>
      <c r="V189" s="107"/>
    </row>
    <row r="190" ht="15.75" customHeight="1">
      <c r="A190" s="89"/>
      <c r="B190" s="182"/>
      <c r="C190" s="149"/>
      <c r="D190" s="95"/>
      <c r="E190" s="149"/>
      <c r="F190" s="149"/>
      <c r="G190" s="95"/>
      <c r="H190" s="149"/>
      <c r="I190" s="95"/>
      <c r="J190" s="95"/>
      <c r="K190" s="113"/>
      <c r="L190" s="113"/>
      <c r="M190" s="100"/>
      <c r="N190" s="127"/>
      <c r="O190" s="128"/>
      <c r="P190" s="95"/>
      <c r="Q190" s="137"/>
      <c r="R190" s="129"/>
      <c r="S190" s="95"/>
      <c r="T190" s="95"/>
      <c r="V190" s="107"/>
    </row>
    <row r="191" ht="15.75" customHeight="1">
      <c r="A191" s="89"/>
      <c r="B191" s="182"/>
      <c r="C191" s="149"/>
      <c r="D191" s="95"/>
      <c r="E191" s="149"/>
      <c r="F191" s="149"/>
      <c r="G191" s="95"/>
      <c r="H191" s="149"/>
      <c r="I191" s="95"/>
      <c r="J191" s="95"/>
      <c r="K191" s="99"/>
      <c r="L191" s="99"/>
      <c r="M191" s="100"/>
      <c r="N191" s="127"/>
      <c r="O191" s="128"/>
      <c r="P191" s="95"/>
      <c r="Q191" s="137"/>
      <c r="R191" s="129"/>
      <c r="S191" s="95"/>
      <c r="T191" s="95"/>
      <c r="V191" s="107"/>
    </row>
    <row r="192" ht="15.75" customHeight="1">
      <c r="A192" s="89"/>
      <c r="B192" s="182"/>
      <c r="C192" s="149"/>
      <c r="D192" s="95"/>
      <c r="E192" s="149"/>
      <c r="F192" s="149"/>
      <c r="G192" s="95"/>
      <c r="H192" s="149"/>
      <c r="I192" s="95"/>
      <c r="J192" s="95"/>
      <c r="K192" s="113"/>
      <c r="L192" s="113"/>
      <c r="M192" s="100"/>
      <c r="N192" s="127"/>
      <c r="O192" s="128"/>
      <c r="P192" s="95"/>
      <c r="Q192" s="137"/>
      <c r="R192" s="129"/>
      <c r="S192" s="95"/>
      <c r="T192" s="95"/>
      <c r="V192" s="107"/>
    </row>
    <row r="193" ht="15.75" customHeight="1">
      <c r="A193" s="89"/>
      <c r="B193" s="182"/>
      <c r="C193" s="107"/>
      <c r="D193" s="95"/>
      <c r="E193" s="149"/>
      <c r="F193" s="149"/>
      <c r="G193" s="95"/>
      <c r="H193" s="149"/>
      <c r="I193" s="95"/>
      <c r="J193" s="95"/>
      <c r="K193" s="99"/>
      <c r="L193" s="99"/>
      <c r="M193" s="100"/>
      <c r="N193" s="127"/>
      <c r="O193" s="128"/>
      <c r="P193" s="95"/>
      <c r="Q193" s="137"/>
      <c r="R193" s="129"/>
      <c r="S193" s="95"/>
      <c r="T193" s="95"/>
      <c r="V193" s="107"/>
    </row>
    <row r="194" ht="15.75" customHeight="1">
      <c r="A194" s="89"/>
      <c r="B194" s="182"/>
      <c r="C194" s="149"/>
      <c r="D194" s="95"/>
      <c r="E194" s="149"/>
      <c r="F194" s="149"/>
      <c r="G194" s="95"/>
      <c r="H194" s="149"/>
      <c r="I194" s="95"/>
      <c r="J194" s="95"/>
      <c r="K194" s="113"/>
      <c r="L194" s="113"/>
      <c r="M194" s="100"/>
      <c r="N194" s="127"/>
      <c r="O194" s="128"/>
      <c r="P194" s="95"/>
      <c r="Q194" s="137"/>
      <c r="R194" s="129"/>
      <c r="S194" s="95"/>
      <c r="T194" s="95"/>
      <c r="V194" s="107"/>
    </row>
    <row r="195" ht="15.75" customHeight="1">
      <c r="A195" s="89"/>
      <c r="B195" s="182"/>
      <c r="C195" s="149"/>
      <c r="D195" s="95"/>
      <c r="E195" s="149"/>
      <c r="F195" s="149"/>
      <c r="G195" s="95"/>
      <c r="H195" s="149"/>
      <c r="I195" s="95"/>
      <c r="J195" s="95"/>
      <c r="K195" s="99"/>
      <c r="L195" s="99"/>
      <c r="M195" s="100"/>
      <c r="N195" s="127"/>
      <c r="O195" s="128"/>
      <c r="P195" s="95"/>
      <c r="Q195" s="137"/>
      <c r="R195" s="129"/>
      <c r="S195" s="95"/>
      <c r="T195" s="95"/>
      <c r="V195" s="107"/>
    </row>
    <row r="196" ht="15.75" customHeight="1">
      <c r="A196" s="89"/>
      <c r="B196" s="182"/>
      <c r="C196" s="149"/>
      <c r="D196" s="95"/>
      <c r="E196" s="149"/>
      <c r="F196" s="149"/>
      <c r="G196" s="95"/>
      <c r="H196" s="149"/>
      <c r="I196" s="95"/>
      <c r="J196" s="95"/>
      <c r="K196" s="113"/>
      <c r="L196" s="113"/>
      <c r="M196" s="100"/>
      <c r="N196" s="127"/>
      <c r="O196" s="128"/>
      <c r="P196" s="95"/>
      <c r="Q196" s="137"/>
      <c r="R196" s="129"/>
      <c r="S196" s="95"/>
      <c r="T196" s="95"/>
      <c r="V196" s="107"/>
    </row>
    <row r="197" ht="15.75" customHeight="1">
      <c r="A197" s="89"/>
      <c r="B197" s="182"/>
      <c r="C197" s="149"/>
      <c r="D197" s="95"/>
      <c r="E197" s="149"/>
      <c r="F197" s="149"/>
      <c r="G197" s="95"/>
      <c r="H197" s="149"/>
      <c r="I197" s="95"/>
      <c r="J197" s="95"/>
      <c r="K197" s="99"/>
      <c r="L197" s="99"/>
      <c r="M197" s="100"/>
      <c r="N197" s="127"/>
      <c r="O197" s="128"/>
      <c r="P197" s="95"/>
      <c r="Q197" s="137"/>
      <c r="R197" s="129"/>
      <c r="S197" s="95"/>
      <c r="T197" s="95"/>
      <c r="V197" s="107"/>
    </row>
    <row r="198" ht="15.75" customHeight="1">
      <c r="A198" s="89"/>
      <c r="B198" s="182"/>
      <c r="C198" s="149"/>
      <c r="D198" s="95"/>
      <c r="E198" s="149"/>
      <c r="F198" s="149"/>
      <c r="G198" s="95"/>
      <c r="H198" s="149"/>
      <c r="I198" s="95"/>
      <c r="J198" s="95"/>
      <c r="K198" s="113"/>
      <c r="L198" s="113"/>
      <c r="M198" s="100"/>
      <c r="N198" s="127"/>
      <c r="O198" s="128"/>
      <c r="P198" s="95"/>
      <c r="Q198" s="137"/>
      <c r="R198" s="129"/>
      <c r="S198" s="95"/>
      <c r="T198" s="95"/>
      <c r="V198" s="107"/>
    </row>
    <row r="199" ht="15.75" customHeight="1">
      <c r="A199" s="89"/>
      <c r="B199" s="182"/>
      <c r="C199" s="107"/>
      <c r="D199" s="95"/>
      <c r="E199" s="149"/>
      <c r="F199" s="149"/>
      <c r="G199" s="95"/>
      <c r="H199" s="149"/>
      <c r="I199" s="95"/>
      <c r="J199" s="95"/>
      <c r="K199" s="99"/>
      <c r="L199" s="99"/>
      <c r="M199" s="100"/>
      <c r="N199" s="127"/>
      <c r="O199" s="128"/>
      <c r="P199" s="95"/>
      <c r="Q199" s="137"/>
      <c r="R199" s="129"/>
      <c r="S199" s="95"/>
      <c r="T199" s="95"/>
      <c r="V199" s="107"/>
    </row>
    <row r="200" ht="15.75" customHeight="1">
      <c r="A200" s="89"/>
      <c r="B200" s="182"/>
      <c r="C200" s="149"/>
      <c r="D200" s="95"/>
      <c r="E200" s="149"/>
      <c r="F200" s="149"/>
      <c r="G200" s="95"/>
      <c r="H200" s="149"/>
      <c r="I200" s="95"/>
      <c r="J200" s="95"/>
      <c r="K200" s="113"/>
      <c r="L200" s="113"/>
      <c r="M200" s="100"/>
      <c r="N200" s="127"/>
      <c r="O200" s="128"/>
      <c r="P200" s="95"/>
      <c r="Q200" s="137"/>
      <c r="R200" s="129"/>
      <c r="S200" s="95"/>
      <c r="T200" s="95"/>
      <c r="V200" s="107"/>
    </row>
    <row r="201" ht="15.75" customHeight="1">
      <c r="A201" s="89"/>
      <c r="B201" s="182"/>
      <c r="C201" s="149"/>
      <c r="D201" s="95"/>
      <c r="E201" s="149"/>
      <c r="F201" s="149"/>
      <c r="G201" s="95"/>
      <c r="H201" s="149"/>
      <c r="I201" s="95"/>
      <c r="J201" s="95"/>
      <c r="K201" s="99"/>
      <c r="L201" s="99"/>
      <c r="M201" s="100"/>
      <c r="N201" s="127"/>
      <c r="O201" s="128"/>
      <c r="P201" s="95"/>
      <c r="Q201" s="137"/>
      <c r="R201" s="129"/>
      <c r="S201" s="95"/>
      <c r="T201" s="95"/>
      <c r="V201" s="107"/>
    </row>
    <row r="202" ht="15.75" customHeight="1">
      <c r="A202" s="89"/>
      <c r="B202" s="182"/>
      <c r="C202" s="149"/>
      <c r="D202" s="95"/>
      <c r="E202" s="149"/>
      <c r="F202" s="149"/>
      <c r="G202" s="95"/>
      <c r="H202" s="149"/>
      <c r="I202" s="95"/>
      <c r="J202" s="95"/>
      <c r="K202" s="113"/>
      <c r="L202" s="113"/>
      <c r="M202" s="100"/>
      <c r="N202" s="127"/>
      <c r="O202" s="128"/>
      <c r="P202" s="95"/>
      <c r="Q202" s="137"/>
      <c r="R202" s="129"/>
      <c r="S202" s="95"/>
      <c r="T202" s="95"/>
      <c r="V202" s="107"/>
    </row>
    <row r="203" ht="15.75" customHeight="1">
      <c r="A203" s="89"/>
      <c r="B203" s="182"/>
      <c r="C203" s="149"/>
      <c r="D203" s="95"/>
      <c r="E203" s="149"/>
      <c r="F203" s="149"/>
      <c r="G203" s="95"/>
      <c r="H203" s="149"/>
      <c r="I203" s="95"/>
      <c r="J203" s="95"/>
      <c r="K203" s="99"/>
      <c r="L203" s="99"/>
      <c r="M203" s="100"/>
      <c r="N203" s="127"/>
      <c r="O203" s="128"/>
      <c r="P203" s="95"/>
      <c r="Q203" s="137"/>
      <c r="R203" s="129"/>
      <c r="S203" s="95"/>
      <c r="T203" s="95"/>
      <c r="V203" s="107"/>
    </row>
    <row r="204" ht="15.75" customHeight="1">
      <c r="A204" s="89"/>
      <c r="B204" s="182"/>
      <c r="C204" s="149"/>
      <c r="D204" s="95"/>
      <c r="E204" s="149"/>
      <c r="F204" s="149"/>
      <c r="G204" s="95"/>
      <c r="H204" s="149"/>
      <c r="I204" s="95"/>
      <c r="J204" s="95"/>
      <c r="K204" s="113"/>
      <c r="L204" s="113"/>
      <c r="M204" s="100"/>
      <c r="N204" s="127"/>
      <c r="O204" s="128"/>
      <c r="P204" s="95"/>
      <c r="Q204" s="137"/>
      <c r="R204" s="129"/>
      <c r="S204" s="95"/>
      <c r="T204" s="95"/>
      <c r="V204" s="107"/>
    </row>
    <row r="205" ht="15.75" customHeight="1">
      <c r="A205" s="89"/>
      <c r="B205" s="182"/>
      <c r="C205" s="107"/>
      <c r="D205" s="95"/>
      <c r="E205" s="149"/>
      <c r="F205" s="149"/>
      <c r="G205" s="95"/>
      <c r="H205" s="149"/>
      <c r="I205" s="95"/>
      <c r="J205" s="95"/>
      <c r="K205" s="99"/>
      <c r="L205" s="99"/>
      <c r="M205" s="100"/>
      <c r="N205" s="127"/>
      <c r="O205" s="128"/>
      <c r="P205" s="95"/>
      <c r="Q205" s="137"/>
      <c r="R205" s="129"/>
      <c r="S205" s="95"/>
      <c r="T205" s="95"/>
      <c r="V205" s="107"/>
    </row>
    <row r="206" ht="15.75" customHeight="1">
      <c r="A206" s="89"/>
      <c r="B206" s="182"/>
      <c r="C206" s="149"/>
      <c r="D206" s="95"/>
      <c r="E206" s="149"/>
      <c r="F206" s="149"/>
      <c r="G206" s="95"/>
      <c r="H206" s="149"/>
      <c r="I206" s="95"/>
      <c r="J206" s="95"/>
      <c r="K206" s="113"/>
      <c r="L206" s="113"/>
      <c r="M206" s="100"/>
      <c r="N206" s="127"/>
      <c r="O206" s="128"/>
      <c r="P206" s="95"/>
      <c r="Q206" s="137"/>
      <c r="R206" s="129"/>
      <c r="S206" s="95"/>
      <c r="T206" s="95"/>
      <c r="V206" s="107"/>
    </row>
    <row r="207" ht="15.75" customHeight="1">
      <c r="A207" s="89"/>
      <c r="B207" s="182"/>
      <c r="C207" s="149"/>
      <c r="D207" s="95"/>
      <c r="E207" s="149"/>
      <c r="F207" s="149"/>
      <c r="G207" s="95"/>
      <c r="H207" s="149"/>
      <c r="I207" s="95"/>
      <c r="J207" s="95"/>
      <c r="K207" s="99"/>
      <c r="L207" s="99"/>
      <c r="M207" s="100"/>
      <c r="N207" s="127"/>
      <c r="O207" s="128"/>
      <c r="P207" s="95"/>
      <c r="Q207" s="137"/>
      <c r="R207" s="129"/>
      <c r="S207" s="95"/>
      <c r="T207" s="95"/>
      <c r="V207" s="107"/>
    </row>
    <row r="208" ht="15.75" customHeight="1">
      <c r="A208" s="89"/>
      <c r="B208" s="182"/>
      <c r="C208" s="149"/>
      <c r="D208" s="95"/>
      <c r="E208" s="149"/>
      <c r="F208" s="149"/>
      <c r="G208" s="95"/>
      <c r="H208" s="149"/>
      <c r="I208" s="95"/>
      <c r="J208" s="95"/>
      <c r="K208" s="113"/>
      <c r="L208" s="113"/>
      <c r="M208" s="100"/>
      <c r="N208" s="127"/>
      <c r="O208" s="128"/>
      <c r="P208" s="95"/>
      <c r="Q208" s="137"/>
      <c r="R208" s="129"/>
      <c r="S208" s="95"/>
      <c r="T208" s="95"/>
      <c r="V208" s="107"/>
    </row>
    <row r="209" ht="15.75" customHeight="1">
      <c r="A209" s="89"/>
      <c r="B209" s="182"/>
      <c r="C209" s="149"/>
      <c r="D209" s="95"/>
      <c r="E209" s="149"/>
      <c r="F209" s="149"/>
      <c r="G209" s="95"/>
      <c r="H209" s="149"/>
      <c r="I209" s="95"/>
      <c r="J209" s="95"/>
      <c r="K209" s="99"/>
      <c r="L209" s="99"/>
      <c r="M209" s="100"/>
      <c r="N209" s="127"/>
      <c r="O209" s="128"/>
      <c r="P209" s="95"/>
      <c r="Q209" s="137"/>
      <c r="R209" s="129"/>
      <c r="S209" s="95"/>
      <c r="T209" s="95"/>
      <c r="V209" s="107"/>
    </row>
    <row r="210" ht="15.75" customHeight="1">
      <c r="A210" s="89"/>
      <c r="B210" s="182"/>
      <c r="C210" s="149"/>
      <c r="D210" s="95"/>
      <c r="E210" s="149"/>
      <c r="F210" s="149"/>
      <c r="G210" s="95"/>
      <c r="H210" s="149"/>
      <c r="I210" s="95"/>
      <c r="J210" s="95"/>
      <c r="K210" s="113"/>
      <c r="L210" s="113"/>
      <c r="M210" s="100"/>
      <c r="N210" s="127"/>
      <c r="O210" s="128"/>
      <c r="P210" s="95"/>
      <c r="Q210" s="137"/>
      <c r="R210" s="129"/>
      <c r="S210" s="95"/>
      <c r="T210" s="95"/>
      <c r="V210" s="107"/>
    </row>
    <row r="211" ht="15.75" customHeight="1">
      <c r="A211" s="89"/>
      <c r="B211" s="182"/>
      <c r="C211" s="107"/>
      <c r="D211" s="95"/>
      <c r="E211" s="149"/>
      <c r="F211" s="149"/>
      <c r="G211" s="95"/>
      <c r="H211" s="149"/>
      <c r="I211" s="95"/>
      <c r="J211" s="95"/>
      <c r="K211" s="99"/>
      <c r="L211" s="99"/>
      <c r="M211" s="100"/>
      <c r="N211" s="127"/>
      <c r="O211" s="128"/>
      <c r="P211" s="95"/>
      <c r="Q211" s="137"/>
      <c r="R211" s="129"/>
      <c r="S211" s="95"/>
      <c r="T211" s="95"/>
      <c r="V211" s="107"/>
    </row>
    <row r="212" ht="15.75" customHeight="1">
      <c r="A212" s="89"/>
      <c r="B212" s="182"/>
      <c r="C212" s="149"/>
      <c r="D212" s="95"/>
      <c r="E212" s="149"/>
      <c r="F212" s="149"/>
      <c r="G212" s="95"/>
      <c r="H212" s="149"/>
      <c r="I212" s="95"/>
      <c r="J212" s="95"/>
      <c r="K212" s="113"/>
      <c r="L212" s="113"/>
      <c r="M212" s="100"/>
      <c r="N212" s="127"/>
      <c r="O212" s="128"/>
      <c r="P212" s="95"/>
      <c r="Q212" s="137"/>
      <c r="R212" s="129"/>
      <c r="S212" s="95"/>
      <c r="T212" s="95"/>
      <c r="V212" s="107"/>
    </row>
    <row r="213" ht="15.75" customHeight="1">
      <c r="A213" s="89"/>
      <c r="B213" s="182"/>
      <c r="C213" s="149"/>
      <c r="D213" s="95"/>
      <c r="E213" s="149"/>
      <c r="F213" s="149"/>
      <c r="G213" s="95"/>
      <c r="H213" s="149"/>
      <c r="I213" s="95"/>
      <c r="J213" s="95"/>
      <c r="K213" s="99"/>
      <c r="L213" s="99"/>
      <c r="M213" s="100"/>
      <c r="N213" s="127"/>
      <c r="O213" s="128"/>
      <c r="P213" s="95"/>
      <c r="Q213" s="137"/>
      <c r="R213" s="129"/>
      <c r="S213" s="95"/>
      <c r="T213" s="95"/>
      <c r="V213" s="107"/>
    </row>
    <row r="214" ht="15.75" customHeight="1">
      <c r="A214" s="89"/>
      <c r="B214" s="182"/>
      <c r="C214" s="149"/>
      <c r="D214" s="95"/>
      <c r="E214" s="149"/>
      <c r="F214" s="149"/>
      <c r="G214" s="95"/>
      <c r="H214" s="149"/>
      <c r="I214" s="95"/>
      <c r="J214" s="95"/>
      <c r="K214" s="113"/>
      <c r="L214" s="113"/>
      <c r="M214" s="100"/>
      <c r="N214" s="127"/>
      <c r="O214" s="128"/>
      <c r="P214" s="95"/>
      <c r="Q214" s="137"/>
      <c r="R214" s="129"/>
      <c r="S214" s="95"/>
      <c r="T214" s="95"/>
      <c r="V214" s="107"/>
    </row>
    <row r="215" ht="15.75" customHeight="1">
      <c r="A215" s="89"/>
      <c r="B215" s="182"/>
      <c r="C215" s="149"/>
      <c r="D215" s="95"/>
      <c r="E215" s="149"/>
      <c r="F215" s="149"/>
      <c r="G215" s="95"/>
      <c r="H215" s="149"/>
      <c r="I215" s="95"/>
      <c r="J215" s="95"/>
      <c r="K215" s="99"/>
      <c r="L215" s="99"/>
      <c r="M215" s="100"/>
      <c r="N215" s="127"/>
      <c r="O215" s="128"/>
      <c r="P215" s="95"/>
      <c r="Q215" s="137"/>
      <c r="R215" s="129"/>
      <c r="S215" s="95"/>
      <c r="T215" s="95"/>
      <c r="V215" s="107"/>
    </row>
    <row r="216" ht="15.75" customHeight="1">
      <c r="A216" s="89"/>
      <c r="B216" s="182"/>
      <c r="C216" s="149"/>
      <c r="D216" s="95"/>
      <c r="E216" s="149"/>
      <c r="F216" s="149"/>
      <c r="G216" s="95"/>
      <c r="H216" s="149"/>
      <c r="I216" s="95"/>
      <c r="J216" s="95"/>
      <c r="K216" s="113"/>
      <c r="L216" s="113"/>
      <c r="M216" s="100"/>
      <c r="N216" s="127"/>
      <c r="O216" s="128"/>
      <c r="P216" s="95"/>
      <c r="Q216" s="137"/>
      <c r="R216" s="129"/>
      <c r="S216" s="95"/>
      <c r="T216" s="95"/>
      <c r="V216" s="107"/>
    </row>
    <row r="217" ht="15.75" customHeight="1">
      <c r="A217" s="89"/>
      <c r="B217" s="182"/>
      <c r="C217" s="107"/>
      <c r="D217" s="95"/>
      <c r="E217" s="149"/>
      <c r="F217" s="149"/>
      <c r="G217" s="95"/>
      <c r="H217" s="149"/>
      <c r="I217" s="95"/>
      <c r="J217" s="95"/>
      <c r="K217" s="99"/>
      <c r="L217" s="99"/>
      <c r="M217" s="100"/>
      <c r="N217" s="127"/>
      <c r="O217" s="128"/>
      <c r="P217" s="95"/>
      <c r="Q217" s="137"/>
      <c r="R217" s="129"/>
      <c r="S217" s="95"/>
      <c r="T217" s="95"/>
      <c r="V217" s="107"/>
    </row>
    <row r="218" ht="15.75" customHeight="1">
      <c r="A218" s="89"/>
      <c r="B218" s="182"/>
      <c r="C218" s="149"/>
      <c r="D218" s="95"/>
      <c r="E218" s="149"/>
      <c r="F218" s="149"/>
      <c r="G218" s="95"/>
      <c r="H218" s="149"/>
      <c r="I218" s="95"/>
      <c r="J218" s="95"/>
      <c r="K218" s="113"/>
      <c r="L218" s="113"/>
      <c r="M218" s="100"/>
      <c r="N218" s="127"/>
      <c r="O218" s="128"/>
      <c r="P218" s="95"/>
      <c r="Q218" s="137"/>
      <c r="R218" s="129"/>
      <c r="S218" s="95"/>
      <c r="T218" s="95"/>
      <c r="V218" s="107"/>
    </row>
    <row r="219" ht="15.75" customHeight="1">
      <c r="A219" s="89"/>
      <c r="B219" s="182"/>
      <c r="C219" s="149"/>
      <c r="D219" s="95"/>
      <c r="E219" s="149"/>
      <c r="F219" s="149"/>
      <c r="G219" s="95"/>
      <c r="H219" s="149"/>
      <c r="I219" s="95"/>
      <c r="J219" s="95"/>
      <c r="K219" s="99"/>
      <c r="L219" s="99"/>
      <c r="M219" s="100"/>
      <c r="N219" s="127"/>
      <c r="O219" s="128"/>
      <c r="P219" s="95"/>
      <c r="Q219" s="137"/>
      <c r="R219" s="129"/>
      <c r="S219" s="95"/>
      <c r="T219" s="95"/>
      <c r="V219" s="107"/>
    </row>
    <row r="220" ht="15.75" customHeight="1">
      <c r="A220" s="89"/>
      <c r="B220" s="182"/>
      <c r="C220" s="149"/>
      <c r="D220" s="95"/>
      <c r="E220" s="149"/>
      <c r="F220" s="149"/>
      <c r="G220" s="95"/>
      <c r="H220" s="149"/>
      <c r="I220" s="95"/>
      <c r="J220" s="95"/>
      <c r="K220" s="113"/>
      <c r="L220" s="113"/>
      <c r="M220" s="100"/>
      <c r="N220" s="127"/>
      <c r="O220" s="128"/>
      <c r="P220" s="95"/>
      <c r="Q220" s="137"/>
      <c r="R220" s="129"/>
      <c r="S220" s="95"/>
      <c r="T220" s="95"/>
      <c r="V220" s="107"/>
    </row>
    <row r="221" ht="15.75" customHeight="1">
      <c r="A221" s="89"/>
      <c r="B221" s="182"/>
      <c r="C221" s="149"/>
      <c r="D221" s="95"/>
      <c r="E221" s="149"/>
      <c r="F221" s="149"/>
      <c r="G221" s="95"/>
      <c r="H221" s="149"/>
      <c r="I221" s="95"/>
      <c r="J221" s="95"/>
      <c r="K221" s="99"/>
      <c r="L221" s="99"/>
      <c r="M221" s="100"/>
      <c r="N221" s="127"/>
      <c r="O221" s="128"/>
      <c r="P221" s="95"/>
      <c r="Q221" s="137"/>
      <c r="R221" s="129"/>
      <c r="S221" s="95"/>
      <c r="T221" s="95"/>
      <c r="V221" s="107"/>
    </row>
    <row r="222" ht="15.75" customHeight="1">
      <c r="A222" s="89"/>
      <c r="B222" s="182"/>
      <c r="C222" s="149"/>
      <c r="D222" s="95"/>
      <c r="E222" s="149"/>
      <c r="F222" s="149"/>
      <c r="G222" s="95"/>
      <c r="H222" s="149"/>
      <c r="I222" s="95"/>
      <c r="J222" s="95"/>
      <c r="K222" s="113"/>
      <c r="L222" s="113"/>
      <c r="M222" s="100"/>
      <c r="N222" s="127"/>
      <c r="O222" s="128"/>
      <c r="P222" s="95"/>
      <c r="Q222" s="137"/>
      <c r="R222" s="129"/>
      <c r="S222" s="95"/>
      <c r="T222" s="95"/>
      <c r="V222" s="107"/>
    </row>
    <row r="223" ht="15.75" customHeight="1">
      <c r="A223" s="89"/>
      <c r="B223" s="182"/>
      <c r="C223" s="107"/>
      <c r="D223" s="95"/>
      <c r="E223" s="149"/>
      <c r="F223" s="149"/>
      <c r="G223" s="95"/>
      <c r="H223" s="149"/>
      <c r="I223" s="95"/>
      <c r="J223" s="95"/>
      <c r="K223" s="99"/>
      <c r="L223" s="99"/>
      <c r="M223" s="100"/>
      <c r="N223" s="127"/>
      <c r="O223" s="128"/>
      <c r="P223" s="95"/>
      <c r="Q223" s="137"/>
      <c r="R223" s="129"/>
      <c r="S223" s="95"/>
      <c r="T223" s="95"/>
      <c r="V223" s="107"/>
    </row>
    <row r="224" ht="15.75" customHeight="1">
      <c r="A224" s="89"/>
      <c r="B224" s="182"/>
      <c r="C224" s="149"/>
      <c r="D224" s="95"/>
      <c r="E224" s="149"/>
      <c r="F224" s="149"/>
      <c r="G224" s="95"/>
      <c r="H224" s="149"/>
      <c r="I224" s="95"/>
      <c r="J224" s="95"/>
      <c r="K224" s="113"/>
      <c r="L224" s="113"/>
      <c r="M224" s="100"/>
      <c r="N224" s="127"/>
      <c r="O224" s="128"/>
      <c r="P224" s="95"/>
      <c r="Q224" s="137"/>
      <c r="R224" s="129"/>
      <c r="S224" s="95"/>
      <c r="T224" s="95"/>
      <c r="V224" s="107"/>
    </row>
    <row r="225" ht="15.75" customHeight="1">
      <c r="A225" s="89"/>
      <c r="B225" s="182"/>
      <c r="C225" s="149"/>
      <c r="D225" s="95"/>
      <c r="E225" s="149"/>
      <c r="F225" s="149"/>
      <c r="G225" s="95"/>
      <c r="H225" s="149"/>
      <c r="I225" s="95"/>
      <c r="J225" s="95"/>
      <c r="K225" s="99"/>
      <c r="L225" s="99"/>
      <c r="M225" s="100"/>
      <c r="N225" s="127"/>
      <c r="O225" s="128"/>
      <c r="P225" s="95"/>
      <c r="Q225" s="137"/>
      <c r="R225" s="129"/>
      <c r="S225" s="95"/>
      <c r="T225" s="95"/>
      <c r="V225" s="107"/>
    </row>
    <row r="226" ht="15.75" customHeight="1">
      <c r="A226" s="89"/>
      <c r="B226" s="182"/>
      <c r="C226" s="149"/>
      <c r="D226" s="95"/>
      <c r="E226" s="149"/>
      <c r="F226" s="149"/>
      <c r="G226" s="95"/>
      <c r="H226" s="149"/>
      <c r="I226" s="95"/>
      <c r="J226" s="95"/>
      <c r="K226" s="113"/>
      <c r="L226" s="113"/>
      <c r="M226" s="100"/>
      <c r="N226" s="127"/>
      <c r="O226" s="128"/>
      <c r="P226" s="95"/>
      <c r="Q226" s="137"/>
      <c r="R226" s="129"/>
      <c r="S226" s="95"/>
      <c r="T226" s="95"/>
      <c r="V226" s="107"/>
    </row>
    <row r="227" ht="15.75" customHeight="1">
      <c r="A227" s="89"/>
      <c r="B227" s="182"/>
      <c r="C227" s="149"/>
      <c r="D227" s="95"/>
      <c r="E227" s="149"/>
      <c r="F227" s="149"/>
      <c r="G227" s="95"/>
      <c r="H227" s="149"/>
      <c r="I227" s="95"/>
      <c r="J227" s="95"/>
      <c r="K227" s="99"/>
      <c r="L227" s="99"/>
      <c r="M227" s="100"/>
      <c r="N227" s="127"/>
      <c r="O227" s="128"/>
      <c r="P227" s="95"/>
      <c r="Q227" s="137"/>
      <c r="R227" s="129"/>
      <c r="S227" s="95"/>
      <c r="T227" s="95"/>
      <c r="V227" s="107"/>
    </row>
    <row r="228" ht="15.75" customHeight="1">
      <c r="A228" s="89"/>
      <c r="B228" s="182"/>
      <c r="C228" s="149"/>
      <c r="D228" s="95"/>
      <c r="E228" s="149"/>
      <c r="F228" s="149"/>
      <c r="G228" s="95"/>
      <c r="H228" s="149"/>
      <c r="I228" s="95"/>
      <c r="J228" s="95"/>
      <c r="K228" s="113"/>
      <c r="L228" s="113"/>
      <c r="M228" s="100"/>
      <c r="N228" s="127"/>
      <c r="O228" s="128"/>
      <c r="P228" s="95"/>
      <c r="Q228" s="137"/>
      <c r="R228" s="129"/>
      <c r="S228" s="95"/>
      <c r="T228" s="95"/>
      <c r="V228" s="107"/>
    </row>
    <row r="229" ht="15.75" customHeight="1">
      <c r="A229" s="89"/>
      <c r="B229" s="182"/>
      <c r="C229" s="107"/>
      <c r="D229" s="95"/>
      <c r="E229" s="149"/>
      <c r="F229" s="149"/>
      <c r="G229" s="95"/>
      <c r="H229" s="149"/>
      <c r="I229" s="95"/>
      <c r="J229" s="95"/>
      <c r="K229" s="99"/>
      <c r="L229" s="99"/>
      <c r="M229" s="100"/>
      <c r="N229" s="127"/>
      <c r="O229" s="128"/>
      <c r="P229" s="95"/>
      <c r="Q229" s="137"/>
      <c r="R229" s="129"/>
      <c r="S229" s="95"/>
      <c r="T229" s="95"/>
      <c r="V229" s="107"/>
    </row>
    <row r="230" ht="15.75" customHeight="1">
      <c r="A230" s="89"/>
      <c r="B230" s="182"/>
      <c r="C230" s="149"/>
      <c r="D230" s="95"/>
      <c r="E230" s="149"/>
      <c r="F230" s="149"/>
      <c r="G230" s="95"/>
      <c r="H230" s="149"/>
      <c r="I230" s="95"/>
      <c r="J230" s="95"/>
      <c r="K230" s="113"/>
      <c r="L230" s="113"/>
      <c r="M230" s="100"/>
      <c r="N230" s="127"/>
      <c r="O230" s="128"/>
      <c r="P230" s="95"/>
      <c r="Q230" s="137"/>
      <c r="R230" s="129"/>
      <c r="S230" s="95"/>
      <c r="T230" s="95"/>
      <c r="V230" s="107"/>
    </row>
    <row r="231" ht="15.75" customHeight="1">
      <c r="A231" s="89"/>
      <c r="B231" s="182"/>
      <c r="C231" s="149"/>
      <c r="D231" s="95"/>
      <c r="E231" s="149"/>
      <c r="F231" s="149"/>
      <c r="G231" s="95"/>
      <c r="H231" s="149"/>
      <c r="I231" s="95"/>
      <c r="J231" s="95"/>
      <c r="K231" s="99"/>
      <c r="L231" s="99"/>
      <c r="M231" s="100"/>
      <c r="N231" s="127"/>
      <c r="O231" s="128"/>
      <c r="P231" s="95"/>
      <c r="Q231" s="137"/>
      <c r="R231" s="129"/>
      <c r="S231" s="95"/>
      <c r="T231" s="95"/>
      <c r="V231" s="107"/>
    </row>
    <row r="232" ht="15.75" customHeight="1">
      <c r="A232" s="89"/>
      <c r="B232" s="182"/>
      <c r="C232" s="149"/>
      <c r="D232" s="95"/>
      <c r="E232" s="149"/>
      <c r="F232" s="149"/>
      <c r="G232" s="95"/>
      <c r="H232" s="149"/>
      <c r="I232" s="95"/>
      <c r="J232" s="95"/>
      <c r="K232" s="113"/>
      <c r="L232" s="113"/>
      <c r="M232" s="100"/>
      <c r="N232" s="127"/>
      <c r="O232" s="128"/>
      <c r="P232" s="95"/>
      <c r="Q232" s="137"/>
      <c r="R232" s="129"/>
      <c r="S232" s="95"/>
      <c r="T232" s="95"/>
      <c r="V232" s="107"/>
    </row>
    <row r="233" ht="15.75" customHeight="1">
      <c r="A233" s="89"/>
      <c r="B233" s="182"/>
      <c r="C233" s="149"/>
      <c r="D233" s="95"/>
      <c r="E233" s="149"/>
      <c r="F233" s="149"/>
      <c r="G233" s="95"/>
      <c r="H233" s="149"/>
      <c r="I233" s="95"/>
      <c r="J233" s="95"/>
      <c r="K233" s="99"/>
      <c r="L233" s="99"/>
      <c r="M233" s="100"/>
      <c r="N233" s="127"/>
      <c r="O233" s="128"/>
      <c r="P233" s="95"/>
      <c r="Q233" s="137"/>
      <c r="R233" s="129"/>
      <c r="S233" s="95"/>
      <c r="T233" s="95"/>
      <c r="V233" s="107"/>
    </row>
    <row r="234" ht="15.75" customHeight="1">
      <c r="A234" s="89"/>
      <c r="B234" s="182"/>
      <c r="C234" s="149"/>
      <c r="D234" s="95"/>
      <c r="E234" s="149"/>
      <c r="F234" s="149"/>
      <c r="G234" s="95"/>
      <c r="H234" s="149"/>
      <c r="I234" s="95"/>
      <c r="J234" s="95"/>
      <c r="K234" s="113"/>
      <c r="L234" s="113"/>
      <c r="M234" s="100"/>
      <c r="N234" s="127"/>
      <c r="O234" s="128"/>
      <c r="P234" s="95"/>
      <c r="Q234" s="137"/>
      <c r="R234" s="129"/>
      <c r="S234" s="95"/>
      <c r="T234" s="95"/>
      <c r="V234" s="107"/>
    </row>
    <row r="235" ht="15.75" customHeight="1">
      <c r="A235" s="89"/>
      <c r="B235" s="182"/>
      <c r="C235" s="107"/>
      <c r="D235" s="95"/>
      <c r="E235" s="149"/>
      <c r="F235" s="149"/>
      <c r="G235" s="95"/>
      <c r="H235" s="149"/>
      <c r="I235" s="95"/>
      <c r="J235" s="95"/>
      <c r="K235" s="99"/>
      <c r="L235" s="99"/>
      <c r="M235" s="100"/>
      <c r="N235" s="127"/>
      <c r="O235" s="128"/>
      <c r="P235" s="95"/>
      <c r="Q235" s="137"/>
      <c r="R235" s="129"/>
      <c r="S235" s="95"/>
      <c r="T235" s="95"/>
      <c r="V235" s="107"/>
    </row>
    <row r="236" ht="15.75" customHeight="1">
      <c r="A236" s="89"/>
      <c r="B236" s="182"/>
      <c r="C236" s="149"/>
      <c r="D236" s="95"/>
      <c r="E236" s="149"/>
      <c r="F236" s="149"/>
      <c r="G236" s="95"/>
      <c r="H236" s="149"/>
      <c r="I236" s="95"/>
      <c r="J236" s="95"/>
      <c r="K236" s="113"/>
      <c r="L236" s="113"/>
      <c r="M236" s="100"/>
      <c r="N236" s="127"/>
      <c r="O236" s="128"/>
      <c r="P236" s="95"/>
      <c r="Q236" s="137"/>
      <c r="R236" s="129"/>
      <c r="S236" s="95"/>
      <c r="T236" s="95"/>
      <c r="V236" s="107"/>
    </row>
    <row r="237" ht="15.75" customHeight="1">
      <c r="A237" s="89"/>
      <c r="B237" s="182"/>
      <c r="C237" s="149"/>
      <c r="D237" s="95"/>
      <c r="E237" s="149"/>
      <c r="F237" s="149"/>
      <c r="G237" s="95"/>
      <c r="H237" s="149"/>
      <c r="I237" s="95"/>
      <c r="J237" s="95"/>
      <c r="K237" s="99"/>
      <c r="L237" s="99"/>
      <c r="M237" s="100"/>
      <c r="N237" s="127"/>
      <c r="O237" s="128"/>
      <c r="P237" s="95"/>
      <c r="Q237" s="137"/>
      <c r="R237" s="129"/>
      <c r="S237" s="95"/>
      <c r="T237" s="95"/>
      <c r="V237" s="107"/>
    </row>
    <row r="238" ht="15.75" customHeight="1">
      <c r="A238" s="89"/>
      <c r="B238" s="182"/>
      <c r="C238" s="149"/>
      <c r="D238" s="95"/>
      <c r="E238" s="149"/>
      <c r="F238" s="149"/>
      <c r="G238" s="95"/>
      <c r="H238" s="149"/>
      <c r="I238" s="95"/>
      <c r="J238" s="95"/>
      <c r="K238" s="113"/>
      <c r="L238" s="113"/>
      <c r="M238" s="100"/>
      <c r="N238" s="127"/>
      <c r="O238" s="128"/>
      <c r="P238" s="95"/>
      <c r="Q238" s="137"/>
      <c r="R238" s="129"/>
      <c r="S238" s="95"/>
      <c r="T238" s="95"/>
      <c r="V238" s="107"/>
    </row>
    <row r="239" ht="15.75" customHeight="1">
      <c r="A239" s="89"/>
      <c r="B239" s="182"/>
      <c r="C239" s="149"/>
      <c r="D239" s="95"/>
      <c r="E239" s="149"/>
      <c r="F239" s="149"/>
      <c r="G239" s="95"/>
      <c r="H239" s="149"/>
      <c r="I239" s="95"/>
      <c r="J239" s="95"/>
      <c r="K239" s="99"/>
      <c r="L239" s="99"/>
      <c r="M239" s="100"/>
      <c r="N239" s="127"/>
      <c r="O239" s="128"/>
      <c r="P239" s="95"/>
      <c r="Q239" s="137"/>
      <c r="R239" s="129"/>
      <c r="S239" s="95"/>
      <c r="T239" s="95"/>
      <c r="V239" s="107"/>
    </row>
    <row r="240" ht="15.75" customHeight="1">
      <c r="A240" s="89"/>
      <c r="B240" s="182"/>
      <c r="C240" s="149"/>
      <c r="D240" s="95"/>
      <c r="E240" s="149"/>
      <c r="F240" s="149"/>
      <c r="G240" s="95"/>
      <c r="H240" s="149"/>
      <c r="I240" s="95"/>
      <c r="J240" s="95"/>
      <c r="K240" s="113"/>
      <c r="L240" s="113"/>
      <c r="M240" s="100"/>
      <c r="N240" s="127"/>
      <c r="O240" s="128"/>
      <c r="P240" s="95"/>
      <c r="Q240" s="137"/>
      <c r="R240" s="129"/>
      <c r="S240" s="95"/>
      <c r="T240" s="95"/>
      <c r="V240" s="107"/>
    </row>
    <row r="241" ht="15.75" customHeight="1">
      <c r="A241" s="89"/>
      <c r="B241" s="182"/>
      <c r="C241" s="107"/>
      <c r="D241" s="95"/>
      <c r="E241" s="149"/>
      <c r="F241" s="149"/>
      <c r="G241" s="95"/>
      <c r="H241" s="149"/>
      <c r="I241" s="95"/>
      <c r="J241" s="95"/>
      <c r="K241" s="99"/>
      <c r="L241" s="99"/>
      <c r="M241" s="100"/>
      <c r="N241" s="127"/>
      <c r="O241" s="128"/>
      <c r="P241" s="95"/>
      <c r="Q241" s="137"/>
      <c r="R241" s="129"/>
      <c r="S241" s="95"/>
      <c r="T241" s="95"/>
      <c r="V241" s="107"/>
    </row>
    <row r="242" ht="15.75" customHeight="1">
      <c r="A242" s="89"/>
      <c r="B242" s="182"/>
      <c r="C242" s="149"/>
      <c r="D242" s="95"/>
      <c r="E242" s="149"/>
      <c r="F242" s="149"/>
      <c r="G242" s="95"/>
      <c r="H242" s="149"/>
      <c r="I242" s="95"/>
      <c r="J242" s="95"/>
      <c r="K242" s="113"/>
      <c r="L242" s="113"/>
      <c r="M242" s="100"/>
      <c r="N242" s="127"/>
      <c r="O242" s="128"/>
      <c r="P242" s="95"/>
      <c r="Q242" s="137"/>
      <c r="R242" s="129"/>
      <c r="S242" s="95"/>
      <c r="T242" s="95"/>
      <c r="V242" s="107"/>
    </row>
    <row r="243" ht="15.75" customHeight="1">
      <c r="A243" s="89"/>
      <c r="B243" s="182"/>
      <c r="C243" s="149"/>
      <c r="D243" s="95"/>
      <c r="E243" s="149"/>
      <c r="F243" s="149"/>
      <c r="G243" s="95"/>
      <c r="H243" s="149"/>
      <c r="I243" s="95"/>
      <c r="J243" s="95"/>
      <c r="K243" s="99"/>
      <c r="L243" s="99"/>
      <c r="M243" s="100"/>
      <c r="N243" s="127"/>
      <c r="O243" s="128"/>
      <c r="P243" s="95"/>
      <c r="Q243" s="137"/>
      <c r="R243" s="129"/>
      <c r="S243" s="95"/>
      <c r="T243" s="95"/>
      <c r="V243" s="107"/>
    </row>
    <row r="244" ht="15.75" customHeight="1">
      <c r="A244" s="89"/>
      <c r="B244" s="182"/>
      <c r="C244" s="149"/>
      <c r="D244" s="95"/>
      <c r="E244" s="149"/>
      <c r="F244" s="149"/>
      <c r="G244" s="95"/>
      <c r="H244" s="149"/>
      <c r="I244" s="95"/>
      <c r="J244" s="95"/>
      <c r="K244" s="154"/>
      <c r="L244" s="154"/>
      <c r="M244" s="100"/>
      <c r="N244" s="127"/>
      <c r="O244" s="128"/>
      <c r="P244" s="95"/>
      <c r="Q244" s="137"/>
      <c r="R244" s="129"/>
      <c r="S244" s="95"/>
      <c r="T244" s="95"/>
      <c r="V244" s="107"/>
    </row>
    <row r="245" ht="15.75" customHeight="1">
      <c r="A245" s="89"/>
      <c r="B245" s="182"/>
      <c r="C245" s="149"/>
      <c r="D245" s="95"/>
      <c r="E245" s="149"/>
      <c r="F245" s="149"/>
      <c r="G245" s="95"/>
      <c r="H245" s="149"/>
      <c r="I245" s="95"/>
      <c r="J245" s="95"/>
      <c r="K245" s="156"/>
      <c r="L245" s="156"/>
      <c r="M245" s="100"/>
      <c r="N245" s="127"/>
      <c r="O245" s="128"/>
      <c r="P245" s="95"/>
      <c r="Q245" s="137"/>
      <c r="R245" s="129"/>
      <c r="S245" s="95"/>
      <c r="T245" s="95"/>
      <c r="V245" s="107"/>
    </row>
    <row r="246" ht="15.75" customHeight="1">
      <c r="A246" s="89"/>
      <c r="B246" s="182"/>
      <c r="C246" s="149"/>
      <c r="D246" s="95"/>
      <c r="E246" s="149"/>
      <c r="F246" s="149"/>
      <c r="G246" s="95"/>
      <c r="H246" s="149"/>
      <c r="I246" s="95"/>
      <c r="J246" s="95"/>
      <c r="K246" s="154"/>
      <c r="L246" s="154"/>
      <c r="M246" s="100"/>
      <c r="N246" s="127"/>
      <c r="O246" s="128"/>
      <c r="P246" s="95"/>
      <c r="Q246" s="137"/>
      <c r="R246" s="129"/>
      <c r="S246" s="95"/>
      <c r="T246" s="95"/>
      <c r="V246" s="107"/>
    </row>
    <row r="247" ht="15.75" customHeight="1">
      <c r="A247" s="89"/>
      <c r="B247" s="182"/>
      <c r="C247" s="107"/>
      <c r="D247" s="95"/>
      <c r="E247" s="149"/>
      <c r="F247" s="149"/>
      <c r="G247" s="95"/>
      <c r="H247" s="149"/>
      <c r="I247" s="95"/>
      <c r="J247" s="95"/>
      <c r="K247" s="156"/>
      <c r="L247" s="156"/>
      <c r="M247" s="100"/>
      <c r="N247" s="127"/>
      <c r="O247" s="128"/>
      <c r="P247" s="95"/>
      <c r="Q247" s="137"/>
      <c r="R247" s="129"/>
      <c r="S247" s="95"/>
      <c r="T247" s="95"/>
      <c r="V247" s="107"/>
    </row>
    <row r="248" ht="15.75" customHeight="1">
      <c r="A248" s="89"/>
      <c r="B248" s="182"/>
      <c r="C248" s="149"/>
      <c r="D248" s="95"/>
      <c r="E248" s="149"/>
      <c r="F248" s="149"/>
      <c r="G248" s="95"/>
      <c r="H248" s="149"/>
      <c r="I248" s="95"/>
      <c r="J248" s="95"/>
      <c r="K248" s="154"/>
      <c r="L248" s="154"/>
      <c r="M248" s="100"/>
      <c r="N248" s="127"/>
      <c r="O248" s="128"/>
      <c r="P248" s="95"/>
      <c r="Q248" s="137"/>
      <c r="R248" s="129"/>
      <c r="S248" s="95"/>
      <c r="T248" s="95"/>
      <c r="V248" s="107"/>
    </row>
    <row r="249" ht="15.75" customHeight="1">
      <c r="A249" s="89"/>
      <c r="B249" s="182"/>
      <c r="C249" s="149"/>
      <c r="D249" s="95"/>
      <c r="E249" s="149"/>
      <c r="F249" s="149"/>
      <c r="G249" s="95"/>
      <c r="H249" s="149"/>
      <c r="I249" s="95"/>
      <c r="J249" s="95"/>
      <c r="K249" s="156"/>
      <c r="L249" s="156"/>
      <c r="M249" s="100"/>
      <c r="N249" s="127"/>
      <c r="O249" s="128"/>
      <c r="P249" s="95"/>
      <c r="Q249" s="137"/>
      <c r="R249" s="129"/>
      <c r="S249" s="95"/>
      <c r="T249" s="95"/>
      <c r="V249" s="107"/>
    </row>
    <row r="250" ht="15.75" customHeight="1">
      <c r="A250" s="89"/>
      <c r="B250" s="182"/>
      <c r="C250" s="149"/>
      <c r="D250" s="95"/>
      <c r="E250" s="149"/>
      <c r="F250" s="149"/>
      <c r="G250" s="95"/>
      <c r="H250" s="149"/>
      <c r="I250" s="95"/>
      <c r="J250" s="95"/>
      <c r="K250" s="154"/>
      <c r="L250" s="154"/>
      <c r="M250" s="100"/>
      <c r="N250" s="127"/>
      <c r="O250" s="128"/>
      <c r="P250" s="95"/>
      <c r="Q250" s="137"/>
      <c r="R250" s="129"/>
      <c r="S250" s="95"/>
      <c r="T250" s="95"/>
      <c r="V250" s="107"/>
    </row>
    <row r="251" ht="15.75" customHeight="1">
      <c r="A251" s="89"/>
      <c r="B251" s="182"/>
      <c r="C251" s="149"/>
      <c r="D251" s="95"/>
      <c r="E251" s="149"/>
      <c r="F251" s="149"/>
      <c r="G251" s="95"/>
      <c r="H251" s="149"/>
      <c r="I251" s="95"/>
      <c r="J251" s="95"/>
      <c r="K251" s="156"/>
      <c r="L251" s="156"/>
      <c r="M251" s="100"/>
      <c r="N251" s="127"/>
      <c r="O251" s="128"/>
      <c r="P251" s="95"/>
      <c r="Q251" s="137"/>
      <c r="R251" s="129"/>
      <c r="S251" s="95"/>
      <c r="T251" s="95"/>
      <c r="V251" s="107"/>
    </row>
    <row r="252" ht="15.75" customHeight="1">
      <c r="A252" s="89"/>
      <c r="B252" s="182"/>
      <c r="C252" s="149"/>
      <c r="D252" s="95"/>
      <c r="E252" s="149"/>
      <c r="F252" s="149"/>
      <c r="G252" s="95"/>
      <c r="H252" s="149"/>
      <c r="I252" s="95"/>
      <c r="J252" s="95"/>
      <c r="K252" s="154"/>
      <c r="L252" s="154"/>
      <c r="M252" s="100"/>
      <c r="N252" s="127"/>
      <c r="O252" s="128"/>
      <c r="P252" s="95"/>
      <c r="Q252" s="137"/>
      <c r="R252" s="129"/>
      <c r="S252" s="95"/>
      <c r="T252" s="95"/>
      <c r="V252" s="107"/>
    </row>
    <row r="253" ht="15.75" customHeight="1">
      <c r="A253" s="89"/>
      <c r="B253" s="182"/>
      <c r="C253" s="107"/>
      <c r="D253" s="95"/>
      <c r="E253" s="149"/>
      <c r="F253" s="149"/>
      <c r="G253" s="95"/>
      <c r="H253" s="149"/>
      <c r="I253" s="95"/>
      <c r="J253" s="95"/>
      <c r="K253" s="156"/>
      <c r="L253" s="156"/>
      <c r="M253" s="100"/>
      <c r="N253" s="127"/>
      <c r="O253" s="128"/>
      <c r="P253" s="95"/>
      <c r="Q253" s="137"/>
      <c r="R253" s="129"/>
      <c r="S253" s="95"/>
      <c r="T253" s="95"/>
      <c r="V253" s="107"/>
    </row>
    <row r="254" ht="15.75" customHeight="1">
      <c r="A254" s="89"/>
      <c r="B254" s="182"/>
      <c r="C254" s="149"/>
      <c r="D254" s="95"/>
      <c r="E254" s="149"/>
      <c r="F254" s="149"/>
      <c r="G254" s="95"/>
      <c r="H254" s="149"/>
      <c r="I254" s="95"/>
      <c r="J254" s="95"/>
      <c r="K254" s="154"/>
      <c r="L254" s="154"/>
      <c r="M254" s="100"/>
      <c r="N254" s="127"/>
      <c r="O254" s="128"/>
      <c r="P254" s="95"/>
      <c r="Q254" s="137"/>
      <c r="R254" s="129"/>
      <c r="S254" s="95"/>
      <c r="T254" s="95"/>
      <c r="V254" s="107"/>
    </row>
    <row r="255" ht="15.75" customHeight="1">
      <c r="A255" s="89"/>
      <c r="B255" s="182"/>
      <c r="C255" s="149"/>
      <c r="D255" s="95"/>
      <c r="E255" s="149"/>
      <c r="F255" s="149"/>
      <c r="G255" s="95"/>
      <c r="H255" s="149"/>
      <c r="I255" s="95"/>
      <c r="J255" s="95"/>
      <c r="K255" s="156"/>
      <c r="L255" s="156"/>
      <c r="M255" s="100"/>
      <c r="N255" s="127"/>
      <c r="O255" s="128"/>
      <c r="P255" s="95"/>
      <c r="Q255" s="137"/>
      <c r="R255" s="129"/>
      <c r="S255" s="95"/>
      <c r="T255" s="95"/>
      <c r="V255" s="107"/>
    </row>
    <row r="256" ht="15.75" customHeight="1">
      <c r="A256" s="89"/>
      <c r="B256" s="182"/>
      <c r="C256" s="149"/>
      <c r="D256" s="95"/>
      <c r="E256" s="149"/>
      <c r="F256" s="149"/>
      <c r="G256" s="95"/>
      <c r="H256" s="149"/>
      <c r="I256" s="95"/>
      <c r="J256" s="95"/>
      <c r="K256" s="154"/>
      <c r="L256" s="154"/>
      <c r="M256" s="100"/>
      <c r="N256" s="127"/>
      <c r="O256" s="128"/>
      <c r="P256" s="95"/>
      <c r="Q256" s="137"/>
      <c r="R256" s="129"/>
      <c r="S256" s="95"/>
      <c r="T256" s="95"/>
      <c r="V256" s="107"/>
    </row>
    <row r="257" ht="15.75" customHeight="1">
      <c r="A257" s="89"/>
      <c r="B257" s="182"/>
      <c r="C257" s="149"/>
      <c r="D257" s="95"/>
      <c r="E257" s="149"/>
      <c r="F257" s="149"/>
      <c r="G257" s="95"/>
      <c r="H257" s="149"/>
      <c r="I257" s="95"/>
      <c r="J257" s="95"/>
      <c r="K257" s="156"/>
      <c r="L257" s="156"/>
      <c r="M257" s="100"/>
      <c r="N257" s="127"/>
      <c r="O257" s="128"/>
      <c r="P257" s="95"/>
      <c r="Q257" s="137"/>
      <c r="R257" s="129"/>
      <c r="S257" s="95"/>
      <c r="T257" s="95"/>
      <c r="V257" s="107"/>
    </row>
    <row r="258" ht="15.75" customHeight="1">
      <c r="A258" s="89"/>
      <c r="B258" s="182"/>
      <c r="C258" s="149"/>
      <c r="D258" s="95"/>
      <c r="E258" s="149"/>
      <c r="F258" s="149"/>
      <c r="G258" s="95"/>
      <c r="H258" s="149"/>
      <c r="I258" s="95"/>
      <c r="J258" s="95"/>
      <c r="K258" s="154"/>
      <c r="L258" s="154"/>
      <c r="M258" s="100"/>
      <c r="N258" s="127"/>
      <c r="O258" s="128"/>
      <c r="P258" s="95"/>
      <c r="Q258" s="137"/>
      <c r="R258" s="129"/>
      <c r="S258" s="95"/>
      <c r="T258" s="95"/>
      <c r="V258" s="107"/>
    </row>
    <row r="259" ht="15.75" customHeight="1">
      <c r="A259" s="89"/>
      <c r="B259" s="182"/>
      <c r="C259" s="107"/>
      <c r="D259" s="95"/>
      <c r="E259" s="149"/>
      <c r="F259" s="149"/>
      <c r="G259" s="95"/>
      <c r="H259" s="149"/>
      <c r="I259" s="95"/>
      <c r="J259" s="95"/>
      <c r="K259" s="156"/>
      <c r="L259" s="156"/>
      <c r="M259" s="100"/>
      <c r="N259" s="127"/>
      <c r="O259" s="128"/>
      <c r="P259" s="95"/>
      <c r="Q259" s="137"/>
      <c r="R259" s="129"/>
      <c r="S259" s="95"/>
      <c r="T259" s="95"/>
      <c r="V259" s="107"/>
    </row>
    <row r="260" ht="15.75" customHeight="1">
      <c r="A260" s="89"/>
      <c r="B260" s="182"/>
      <c r="C260" s="149"/>
      <c r="D260" s="95"/>
      <c r="E260" s="149"/>
      <c r="F260" s="149"/>
      <c r="G260" s="95"/>
      <c r="H260" s="149"/>
      <c r="I260" s="95"/>
      <c r="J260" s="95"/>
      <c r="K260" s="154"/>
      <c r="L260" s="154"/>
      <c r="M260" s="100"/>
      <c r="N260" s="127"/>
      <c r="O260" s="128"/>
      <c r="P260" s="95"/>
      <c r="Q260" s="137"/>
      <c r="R260" s="129"/>
      <c r="S260" s="95"/>
      <c r="T260" s="95"/>
      <c r="V260" s="107"/>
    </row>
    <row r="261" ht="15.75" customHeight="1">
      <c r="A261" s="89"/>
      <c r="B261" s="182"/>
      <c r="C261" s="149"/>
      <c r="D261" s="95"/>
      <c r="E261" s="149"/>
      <c r="F261" s="149"/>
      <c r="G261" s="95"/>
      <c r="H261" s="149"/>
      <c r="I261" s="95"/>
      <c r="J261" s="95"/>
      <c r="K261" s="156"/>
      <c r="L261" s="156"/>
      <c r="M261" s="100"/>
      <c r="N261" s="127"/>
      <c r="O261" s="128"/>
      <c r="P261" s="95"/>
      <c r="Q261" s="137"/>
      <c r="R261" s="129"/>
      <c r="S261" s="95"/>
      <c r="T261" s="95"/>
      <c r="V261" s="107"/>
    </row>
    <row r="262" ht="15.75" customHeight="1">
      <c r="A262" s="89"/>
      <c r="B262" s="182"/>
      <c r="C262" s="149"/>
      <c r="D262" s="95"/>
      <c r="E262" s="149"/>
      <c r="F262" s="149"/>
      <c r="G262" s="95"/>
      <c r="H262" s="149"/>
      <c r="I262" s="95"/>
      <c r="J262" s="95"/>
      <c r="K262" s="154"/>
      <c r="L262" s="154"/>
      <c r="M262" s="100"/>
      <c r="N262" s="127"/>
      <c r="O262" s="128"/>
      <c r="P262" s="95"/>
      <c r="Q262" s="137"/>
      <c r="R262" s="129"/>
      <c r="S262" s="95"/>
      <c r="T262" s="95"/>
      <c r="V262" s="107"/>
    </row>
    <row r="263" ht="15.75" customHeight="1">
      <c r="A263" s="89"/>
      <c r="B263" s="182"/>
      <c r="C263" s="149"/>
      <c r="D263" s="95"/>
      <c r="E263" s="149"/>
      <c r="F263" s="149"/>
      <c r="G263" s="95"/>
      <c r="H263" s="149"/>
      <c r="I263" s="95"/>
      <c r="J263" s="95"/>
      <c r="K263" s="156"/>
      <c r="L263" s="156"/>
      <c r="M263" s="100"/>
      <c r="N263" s="127"/>
      <c r="O263" s="128"/>
      <c r="P263" s="95"/>
      <c r="Q263" s="137"/>
      <c r="R263" s="129"/>
      <c r="S263" s="95"/>
      <c r="T263" s="95"/>
      <c r="V263" s="107"/>
    </row>
    <row r="264" ht="15.75" customHeight="1">
      <c r="A264" s="89"/>
      <c r="B264" s="182"/>
      <c r="C264" s="149"/>
      <c r="D264" s="95"/>
      <c r="E264" s="149"/>
      <c r="F264" s="149"/>
      <c r="G264" s="95"/>
      <c r="H264" s="149"/>
      <c r="I264" s="95"/>
      <c r="J264" s="95"/>
      <c r="K264" s="154"/>
      <c r="L264" s="154"/>
      <c r="M264" s="100"/>
      <c r="N264" s="127"/>
      <c r="O264" s="128"/>
      <c r="P264" s="95"/>
      <c r="Q264" s="137"/>
      <c r="R264" s="129"/>
      <c r="S264" s="95"/>
      <c r="T264" s="95"/>
      <c r="V264" s="107"/>
    </row>
    <row r="265" ht="15.75" customHeight="1">
      <c r="A265" s="89"/>
      <c r="B265" s="182"/>
      <c r="C265" s="107"/>
      <c r="D265" s="95"/>
      <c r="E265" s="149"/>
      <c r="F265" s="149"/>
      <c r="G265" s="95"/>
      <c r="H265" s="149"/>
      <c r="I265" s="95"/>
      <c r="J265" s="95"/>
      <c r="K265" s="156"/>
      <c r="L265" s="156"/>
      <c r="M265" s="100"/>
      <c r="N265" s="127"/>
      <c r="O265" s="128"/>
      <c r="P265" s="95"/>
      <c r="Q265" s="137"/>
      <c r="R265" s="129"/>
      <c r="S265" s="95"/>
      <c r="T265" s="95"/>
      <c r="V265" s="107"/>
    </row>
    <row r="266" ht="15.75" customHeight="1">
      <c r="A266" s="89"/>
      <c r="B266" s="182"/>
      <c r="C266" s="149"/>
      <c r="D266" s="95"/>
      <c r="E266" s="149"/>
      <c r="F266" s="149"/>
      <c r="G266" s="95"/>
      <c r="H266" s="149"/>
      <c r="I266" s="95"/>
      <c r="J266" s="95"/>
      <c r="K266" s="154"/>
      <c r="L266" s="154"/>
      <c r="M266" s="100"/>
      <c r="N266" s="127"/>
      <c r="O266" s="128"/>
      <c r="P266" s="95"/>
      <c r="Q266" s="137"/>
      <c r="R266" s="129"/>
      <c r="S266" s="95"/>
      <c r="T266" s="95"/>
      <c r="V266" s="107"/>
    </row>
    <row r="267" ht="15.75" customHeight="1">
      <c r="A267" s="89"/>
      <c r="B267" s="182"/>
      <c r="C267" s="149"/>
      <c r="D267" s="95"/>
      <c r="E267" s="149"/>
      <c r="F267" s="149"/>
      <c r="G267" s="95"/>
      <c r="H267" s="149"/>
      <c r="I267" s="95"/>
      <c r="J267" s="95"/>
      <c r="K267" s="156"/>
      <c r="L267" s="156"/>
      <c r="M267" s="100"/>
      <c r="N267" s="127"/>
      <c r="O267" s="128"/>
      <c r="P267" s="95"/>
      <c r="Q267" s="137"/>
      <c r="R267" s="129"/>
      <c r="S267" s="95"/>
      <c r="T267" s="95"/>
      <c r="V267" s="107"/>
    </row>
    <row r="268" ht="15.75" customHeight="1">
      <c r="A268" s="89"/>
      <c r="B268" s="182"/>
      <c r="C268" s="149"/>
      <c r="D268" s="95"/>
      <c r="E268" s="149"/>
      <c r="F268" s="149"/>
      <c r="G268" s="95"/>
      <c r="H268" s="149"/>
      <c r="I268" s="95"/>
      <c r="J268" s="95"/>
      <c r="K268" s="154"/>
      <c r="L268" s="154"/>
      <c r="M268" s="100"/>
      <c r="N268" s="127"/>
      <c r="O268" s="128"/>
      <c r="P268" s="95"/>
      <c r="Q268" s="137"/>
      <c r="R268" s="129"/>
      <c r="S268" s="95"/>
      <c r="T268" s="95"/>
      <c r="V268" s="107"/>
    </row>
    <row r="269" ht="15.75" customHeight="1">
      <c r="A269" s="89"/>
      <c r="B269" s="182"/>
      <c r="C269" s="149"/>
      <c r="D269" s="95"/>
      <c r="E269" s="149"/>
      <c r="F269" s="149"/>
      <c r="G269" s="95"/>
      <c r="H269" s="149"/>
      <c r="I269" s="95"/>
      <c r="J269" s="95"/>
      <c r="K269" s="156"/>
      <c r="L269" s="156"/>
      <c r="M269" s="100"/>
      <c r="N269" s="127"/>
      <c r="O269" s="128"/>
      <c r="P269" s="95"/>
      <c r="Q269" s="137"/>
      <c r="R269" s="129"/>
      <c r="S269" s="95"/>
      <c r="T269" s="95"/>
      <c r="V269" s="107"/>
    </row>
    <row r="270" ht="15.75" customHeight="1">
      <c r="A270" s="89"/>
      <c r="B270" s="182"/>
      <c r="C270" s="149"/>
      <c r="D270" s="95"/>
      <c r="E270" s="149"/>
      <c r="F270" s="149"/>
      <c r="G270" s="95"/>
      <c r="H270" s="149"/>
      <c r="I270" s="95"/>
      <c r="J270" s="95"/>
      <c r="K270" s="154"/>
      <c r="L270" s="154"/>
      <c r="M270" s="100"/>
      <c r="N270" s="127"/>
      <c r="O270" s="128"/>
      <c r="P270" s="95"/>
      <c r="Q270" s="137"/>
      <c r="R270" s="129"/>
      <c r="S270" s="95"/>
      <c r="T270" s="95"/>
      <c r="V270" s="107"/>
    </row>
    <row r="271" ht="15.75" customHeight="1">
      <c r="A271" s="89"/>
      <c r="B271" s="182"/>
      <c r="C271" s="107"/>
      <c r="D271" s="95"/>
      <c r="E271" s="149"/>
      <c r="F271" s="149"/>
      <c r="G271" s="95"/>
      <c r="H271" s="149"/>
      <c r="I271" s="95"/>
      <c r="J271" s="95"/>
      <c r="K271" s="156"/>
      <c r="L271" s="156"/>
      <c r="M271" s="100"/>
      <c r="N271" s="127"/>
      <c r="O271" s="128"/>
      <c r="P271" s="95"/>
      <c r="Q271" s="137"/>
      <c r="R271" s="129"/>
      <c r="S271" s="95"/>
      <c r="T271" s="95"/>
      <c r="V271" s="107"/>
    </row>
    <row r="272" ht="15.75" customHeight="1">
      <c r="A272" s="89"/>
      <c r="B272" s="182"/>
      <c r="C272" s="149"/>
      <c r="D272" s="95"/>
      <c r="E272" s="149"/>
      <c r="F272" s="149"/>
      <c r="G272" s="95"/>
      <c r="H272" s="149"/>
      <c r="I272" s="95"/>
      <c r="J272" s="95"/>
      <c r="K272" s="154"/>
      <c r="L272" s="154"/>
      <c r="M272" s="100"/>
      <c r="N272" s="127"/>
      <c r="O272" s="128"/>
      <c r="P272" s="95"/>
      <c r="Q272" s="137"/>
      <c r="R272" s="129"/>
      <c r="S272" s="95"/>
      <c r="T272" s="95"/>
      <c r="V272" s="107"/>
    </row>
    <row r="273" ht="15.75" customHeight="1">
      <c r="A273" s="89"/>
      <c r="B273" s="182"/>
      <c r="C273" s="149"/>
      <c r="D273" s="95"/>
      <c r="E273" s="149"/>
      <c r="F273" s="149"/>
      <c r="G273" s="95"/>
      <c r="H273" s="149"/>
      <c r="I273" s="95"/>
      <c r="J273" s="95"/>
      <c r="K273" s="156"/>
      <c r="L273" s="156"/>
      <c r="M273" s="100"/>
      <c r="N273" s="127"/>
      <c r="O273" s="128"/>
      <c r="P273" s="95"/>
      <c r="Q273" s="137"/>
      <c r="R273" s="129"/>
      <c r="S273" s="95"/>
      <c r="T273" s="95"/>
      <c r="V273" s="107"/>
    </row>
    <row r="274" ht="15.75" customHeight="1">
      <c r="A274" s="89"/>
      <c r="B274" s="182"/>
      <c r="C274" s="149"/>
      <c r="D274" s="95"/>
      <c r="E274" s="149"/>
      <c r="F274" s="149"/>
      <c r="G274" s="95"/>
      <c r="H274" s="149"/>
      <c r="I274" s="95"/>
      <c r="J274" s="95"/>
      <c r="K274" s="154"/>
      <c r="L274" s="154"/>
      <c r="M274" s="100"/>
      <c r="N274" s="127"/>
      <c r="O274" s="128"/>
      <c r="P274" s="95"/>
      <c r="Q274" s="137"/>
      <c r="R274" s="129"/>
      <c r="S274" s="95"/>
      <c r="T274" s="95"/>
      <c r="V274" s="107"/>
    </row>
    <row r="275" ht="15.75" customHeight="1">
      <c r="A275" s="89"/>
      <c r="B275" s="182"/>
      <c r="C275" s="149"/>
      <c r="D275" s="95"/>
      <c r="E275" s="149"/>
      <c r="F275" s="149"/>
      <c r="G275" s="95"/>
      <c r="H275" s="149"/>
      <c r="I275" s="95"/>
      <c r="J275" s="95"/>
      <c r="K275" s="156"/>
      <c r="L275" s="156"/>
      <c r="M275" s="100"/>
      <c r="N275" s="127"/>
      <c r="O275" s="128"/>
      <c r="P275" s="95"/>
      <c r="Q275" s="137"/>
      <c r="R275" s="129"/>
      <c r="S275" s="95"/>
      <c r="T275" s="95"/>
      <c r="V275" s="107"/>
    </row>
    <row r="276" ht="15.75" customHeight="1">
      <c r="A276" s="89"/>
      <c r="B276" s="182"/>
      <c r="C276" s="149"/>
      <c r="D276" s="95"/>
      <c r="E276" s="149"/>
      <c r="F276" s="149"/>
      <c r="G276" s="95"/>
      <c r="H276" s="149"/>
      <c r="I276" s="95"/>
      <c r="J276" s="95"/>
      <c r="K276" s="154"/>
      <c r="L276" s="154"/>
      <c r="M276" s="100"/>
      <c r="N276" s="127"/>
      <c r="O276" s="128"/>
      <c r="P276" s="95"/>
      <c r="Q276" s="137"/>
      <c r="R276" s="129"/>
      <c r="S276" s="95"/>
      <c r="T276" s="95"/>
      <c r="V276" s="107"/>
    </row>
    <row r="277" ht="15.75" customHeight="1">
      <c r="A277" s="89"/>
      <c r="B277" s="182"/>
      <c r="C277" s="107"/>
      <c r="D277" s="95"/>
      <c r="E277" s="149"/>
      <c r="F277" s="149"/>
      <c r="G277" s="95"/>
      <c r="H277" s="149"/>
      <c r="I277" s="95"/>
      <c r="J277" s="95"/>
      <c r="K277" s="156"/>
      <c r="L277" s="156"/>
      <c r="M277" s="100"/>
      <c r="N277" s="127"/>
      <c r="O277" s="128"/>
      <c r="P277" s="95"/>
      <c r="Q277" s="137"/>
      <c r="R277" s="129"/>
      <c r="S277" s="95"/>
      <c r="T277" s="95"/>
      <c r="V277" s="107"/>
    </row>
    <row r="278" ht="15.75" customHeight="1">
      <c r="A278" s="89"/>
      <c r="B278" s="182"/>
      <c r="C278" s="149"/>
      <c r="D278" s="95"/>
      <c r="E278" s="149"/>
      <c r="F278" s="149"/>
      <c r="G278" s="95"/>
      <c r="H278" s="149"/>
      <c r="I278" s="95"/>
      <c r="J278" s="95"/>
      <c r="K278" s="154"/>
      <c r="L278" s="154"/>
      <c r="M278" s="100"/>
      <c r="N278" s="127"/>
      <c r="O278" s="128"/>
      <c r="P278" s="95"/>
      <c r="Q278" s="137"/>
      <c r="R278" s="129"/>
      <c r="S278" s="95"/>
      <c r="T278" s="95"/>
      <c r="V278" s="107"/>
    </row>
    <row r="279" ht="15.75" customHeight="1">
      <c r="A279" s="89"/>
      <c r="B279" s="182"/>
      <c r="C279" s="149"/>
      <c r="D279" s="95"/>
      <c r="E279" s="149"/>
      <c r="F279" s="149"/>
      <c r="G279" s="95"/>
      <c r="H279" s="149"/>
      <c r="I279" s="95"/>
      <c r="J279" s="95"/>
      <c r="K279" s="156"/>
      <c r="L279" s="156"/>
      <c r="M279" s="100"/>
      <c r="N279" s="127"/>
      <c r="O279" s="128"/>
      <c r="P279" s="95"/>
      <c r="Q279" s="137"/>
      <c r="R279" s="129"/>
      <c r="S279" s="95"/>
      <c r="T279" s="95"/>
      <c r="V279" s="107"/>
    </row>
    <row r="280" ht="15.75" customHeight="1">
      <c r="A280" s="89"/>
      <c r="B280" s="182"/>
      <c r="C280" s="149"/>
      <c r="D280" s="95"/>
      <c r="E280" s="149"/>
      <c r="F280" s="149"/>
      <c r="G280" s="95"/>
      <c r="H280" s="149"/>
      <c r="I280" s="95"/>
      <c r="J280" s="95"/>
      <c r="K280" s="154"/>
      <c r="L280" s="154"/>
      <c r="M280" s="100"/>
      <c r="N280" s="127"/>
      <c r="O280" s="128"/>
      <c r="P280" s="95"/>
      <c r="Q280" s="137"/>
      <c r="R280" s="129"/>
      <c r="S280" s="95"/>
      <c r="T280" s="95"/>
      <c r="V280" s="107"/>
    </row>
    <row r="281" ht="15.75" customHeight="1">
      <c r="A281" s="89"/>
      <c r="B281" s="182"/>
      <c r="C281" s="149"/>
      <c r="D281" s="95"/>
      <c r="E281" s="149"/>
      <c r="F281" s="149"/>
      <c r="G281" s="95"/>
      <c r="H281" s="149"/>
      <c r="I281" s="95"/>
      <c r="J281" s="95"/>
      <c r="K281" s="156"/>
      <c r="L281" s="156"/>
      <c r="M281" s="100"/>
      <c r="N281" s="127"/>
      <c r="O281" s="128"/>
      <c r="P281" s="95"/>
      <c r="Q281" s="137"/>
      <c r="R281" s="129"/>
      <c r="S281" s="95"/>
      <c r="T281" s="95"/>
      <c r="V281" s="107"/>
    </row>
    <row r="282" ht="15.75" customHeight="1">
      <c r="A282" s="89"/>
      <c r="B282" s="182"/>
      <c r="C282" s="149"/>
      <c r="D282" s="95"/>
      <c r="E282" s="149"/>
      <c r="F282" s="149"/>
      <c r="G282" s="95"/>
      <c r="H282" s="149"/>
      <c r="I282" s="95"/>
      <c r="J282" s="95"/>
      <c r="K282" s="154"/>
      <c r="L282" s="154"/>
      <c r="M282" s="100"/>
      <c r="N282" s="127"/>
      <c r="O282" s="128"/>
      <c r="P282" s="95"/>
      <c r="Q282" s="137"/>
      <c r="R282" s="129"/>
      <c r="S282" s="95"/>
      <c r="T282" s="95"/>
      <c r="V282" s="107"/>
    </row>
    <row r="283" ht="15.75" customHeight="1">
      <c r="A283" s="89"/>
      <c r="B283" s="182"/>
      <c r="C283" s="107"/>
      <c r="D283" s="95"/>
      <c r="E283" s="149"/>
      <c r="F283" s="149"/>
      <c r="G283" s="95"/>
      <c r="H283" s="149"/>
      <c r="I283" s="95"/>
      <c r="J283" s="95"/>
      <c r="K283" s="156"/>
      <c r="L283" s="156"/>
      <c r="M283" s="100"/>
      <c r="N283" s="127"/>
      <c r="O283" s="128"/>
      <c r="P283" s="95"/>
      <c r="Q283" s="137"/>
      <c r="R283" s="129"/>
      <c r="S283" s="95"/>
      <c r="T283" s="95"/>
      <c r="V283" s="107"/>
    </row>
    <row r="284" ht="15.75" customHeight="1">
      <c r="A284" s="89"/>
      <c r="B284" s="182"/>
      <c r="C284" s="149"/>
      <c r="D284" s="95"/>
      <c r="E284" s="149"/>
      <c r="F284" s="149"/>
      <c r="G284" s="95"/>
      <c r="H284" s="149"/>
      <c r="I284" s="95"/>
      <c r="J284" s="95"/>
      <c r="K284" s="154"/>
      <c r="L284" s="154"/>
      <c r="M284" s="100"/>
      <c r="N284" s="127"/>
      <c r="O284" s="128"/>
      <c r="P284" s="95"/>
      <c r="Q284" s="137"/>
      <c r="R284" s="129"/>
      <c r="S284" s="95"/>
      <c r="T284" s="95"/>
      <c r="V284" s="107"/>
    </row>
    <row r="285" ht="15.75" customHeight="1">
      <c r="A285" s="89"/>
      <c r="B285" s="182"/>
      <c r="C285" s="149"/>
      <c r="D285" s="95"/>
      <c r="E285" s="149"/>
      <c r="F285" s="149"/>
      <c r="G285" s="95"/>
      <c r="H285" s="149"/>
      <c r="I285" s="95"/>
      <c r="J285" s="95"/>
      <c r="K285" s="156"/>
      <c r="L285" s="156"/>
      <c r="M285" s="100"/>
      <c r="N285" s="127"/>
      <c r="O285" s="128"/>
      <c r="P285" s="95"/>
      <c r="Q285" s="137"/>
      <c r="R285" s="129"/>
      <c r="S285" s="95"/>
      <c r="T285" s="95"/>
      <c r="V285" s="107"/>
    </row>
    <row r="286" ht="15.75" customHeight="1">
      <c r="A286" s="89"/>
      <c r="B286" s="182"/>
      <c r="C286" s="149"/>
      <c r="D286" s="95"/>
      <c r="E286" s="149"/>
      <c r="F286" s="149"/>
      <c r="G286" s="95"/>
      <c r="H286" s="149"/>
      <c r="I286" s="95"/>
      <c r="J286" s="95"/>
      <c r="K286" s="154"/>
      <c r="L286" s="154"/>
      <c r="M286" s="100"/>
      <c r="N286" s="127"/>
      <c r="O286" s="128"/>
      <c r="P286" s="95"/>
      <c r="Q286" s="137"/>
      <c r="R286" s="129"/>
      <c r="S286" s="95"/>
      <c r="T286" s="95"/>
      <c r="V286" s="107"/>
    </row>
    <row r="287" ht="15.75" customHeight="1">
      <c r="A287" s="89"/>
      <c r="B287" s="182"/>
      <c r="C287" s="149"/>
      <c r="D287" s="95"/>
      <c r="E287" s="149"/>
      <c r="F287" s="149"/>
      <c r="G287" s="95"/>
      <c r="H287" s="149"/>
      <c r="I287" s="95"/>
      <c r="J287" s="95"/>
      <c r="K287" s="156"/>
      <c r="L287" s="156"/>
      <c r="M287" s="100"/>
      <c r="N287" s="127"/>
      <c r="O287" s="128"/>
      <c r="P287" s="95"/>
      <c r="Q287" s="137"/>
      <c r="R287" s="129"/>
      <c r="S287" s="95"/>
      <c r="T287" s="95"/>
      <c r="V287" s="107"/>
    </row>
    <row r="288" ht="15.75" customHeight="1">
      <c r="A288" s="89"/>
      <c r="B288" s="182"/>
      <c r="C288" s="149"/>
      <c r="D288" s="95"/>
      <c r="E288" s="149"/>
      <c r="F288" s="149"/>
      <c r="G288" s="95"/>
      <c r="H288" s="149"/>
      <c r="I288" s="95"/>
      <c r="J288" s="95"/>
      <c r="K288" s="154"/>
      <c r="L288" s="154"/>
      <c r="M288" s="100"/>
      <c r="N288" s="127"/>
      <c r="O288" s="128"/>
      <c r="P288" s="95"/>
      <c r="Q288" s="137"/>
      <c r="R288" s="129"/>
      <c r="S288" s="95"/>
      <c r="T288" s="95"/>
      <c r="V288" s="107"/>
    </row>
    <row r="289" ht="15.75" customHeight="1">
      <c r="A289" s="89"/>
      <c r="B289" s="182"/>
      <c r="C289" s="107"/>
      <c r="D289" s="95"/>
      <c r="E289" s="149"/>
      <c r="F289" s="149"/>
      <c r="G289" s="95"/>
      <c r="H289" s="149"/>
      <c r="I289" s="95"/>
      <c r="J289" s="95"/>
      <c r="K289" s="156"/>
      <c r="L289" s="156"/>
      <c r="M289" s="100"/>
      <c r="N289" s="127"/>
      <c r="O289" s="128"/>
      <c r="P289" s="95"/>
      <c r="Q289" s="137"/>
      <c r="R289" s="129"/>
      <c r="S289" s="95"/>
      <c r="T289" s="95"/>
      <c r="V289" s="107"/>
    </row>
    <row r="290" ht="15.75" customHeight="1">
      <c r="A290" s="89"/>
      <c r="B290" s="182"/>
      <c r="C290" s="149"/>
      <c r="D290" s="95"/>
      <c r="E290" s="149"/>
      <c r="F290" s="149"/>
      <c r="G290" s="95"/>
      <c r="H290" s="149"/>
      <c r="I290" s="95"/>
      <c r="J290" s="95"/>
      <c r="K290" s="154"/>
      <c r="L290" s="154"/>
      <c r="M290" s="100"/>
      <c r="N290" s="127"/>
      <c r="O290" s="128"/>
      <c r="P290" s="95"/>
      <c r="Q290" s="137"/>
      <c r="R290" s="129"/>
      <c r="S290" s="95"/>
      <c r="T290" s="95"/>
      <c r="V290" s="107"/>
    </row>
    <row r="291" ht="15.75" customHeight="1">
      <c r="A291" s="89"/>
      <c r="B291" s="182"/>
      <c r="C291" s="149"/>
      <c r="D291" s="95"/>
      <c r="E291" s="149"/>
      <c r="F291" s="149"/>
      <c r="G291" s="95"/>
      <c r="H291" s="149"/>
      <c r="I291" s="95"/>
      <c r="J291" s="95"/>
      <c r="K291" s="156"/>
      <c r="L291" s="156"/>
      <c r="M291" s="100"/>
      <c r="N291" s="127"/>
      <c r="O291" s="128"/>
      <c r="P291" s="95"/>
      <c r="Q291" s="137"/>
      <c r="R291" s="129"/>
      <c r="S291" s="95"/>
      <c r="T291" s="95"/>
      <c r="V291" s="107"/>
    </row>
    <row r="292" ht="15.75" customHeight="1">
      <c r="A292" s="89"/>
      <c r="B292" s="182"/>
      <c r="C292" s="149"/>
      <c r="D292" s="95"/>
      <c r="E292" s="149"/>
      <c r="F292" s="149"/>
      <c r="G292" s="95"/>
      <c r="H292" s="149"/>
      <c r="I292" s="95"/>
      <c r="J292" s="95"/>
      <c r="K292" s="154"/>
      <c r="L292" s="154"/>
      <c r="M292" s="100"/>
      <c r="N292" s="127"/>
      <c r="O292" s="128"/>
      <c r="P292" s="95"/>
      <c r="Q292" s="137"/>
      <c r="R292" s="129"/>
      <c r="S292" s="95"/>
      <c r="T292" s="95"/>
      <c r="V292" s="107"/>
    </row>
    <row r="293" ht="15.75" customHeight="1">
      <c r="A293" s="89"/>
      <c r="B293" s="182"/>
      <c r="C293" s="149"/>
      <c r="D293" s="95"/>
      <c r="E293" s="149"/>
      <c r="F293" s="149"/>
      <c r="G293" s="95"/>
      <c r="H293" s="149"/>
      <c r="I293" s="95"/>
      <c r="J293" s="95"/>
      <c r="K293" s="156"/>
      <c r="L293" s="156"/>
      <c r="M293" s="100"/>
      <c r="N293" s="127"/>
      <c r="O293" s="128"/>
      <c r="P293" s="95"/>
      <c r="Q293" s="137"/>
      <c r="R293" s="129"/>
      <c r="S293" s="95"/>
      <c r="T293" s="95"/>
      <c r="V293" s="107"/>
    </row>
    <row r="294" ht="15.75" customHeight="1">
      <c r="A294" s="89"/>
      <c r="B294" s="182"/>
      <c r="C294" s="149"/>
      <c r="D294" s="95"/>
      <c r="E294" s="149"/>
      <c r="F294" s="149"/>
      <c r="G294" s="95"/>
      <c r="H294" s="149"/>
      <c r="I294" s="95"/>
      <c r="J294" s="95"/>
      <c r="K294" s="154"/>
      <c r="L294" s="154"/>
      <c r="M294" s="100"/>
      <c r="N294" s="127"/>
      <c r="O294" s="128"/>
      <c r="P294" s="95"/>
      <c r="Q294" s="137"/>
      <c r="R294" s="129"/>
      <c r="S294" s="95"/>
      <c r="T294" s="95"/>
      <c r="V294" s="107"/>
    </row>
    <row r="295" ht="15.75" customHeight="1">
      <c r="A295" s="89"/>
      <c r="B295" s="182"/>
      <c r="C295" s="107"/>
      <c r="D295" s="95"/>
      <c r="E295" s="149"/>
      <c r="F295" s="149"/>
      <c r="G295" s="95"/>
      <c r="H295" s="149"/>
      <c r="I295" s="95"/>
      <c r="J295" s="95"/>
      <c r="K295" s="156"/>
      <c r="L295" s="156"/>
      <c r="M295" s="100"/>
      <c r="N295" s="127"/>
      <c r="O295" s="128"/>
      <c r="P295" s="95"/>
      <c r="Q295" s="137"/>
      <c r="R295" s="129"/>
      <c r="S295" s="95"/>
      <c r="T295" s="95"/>
      <c r="V295" s="107"/>
    </row>
    <row r="296" ht="15.75" customHeight="1">
      <c r="A296" s="89"/>
      <c r="B296" s="182"/>
      <c r="C296" s="149"/>
      <c r="D296" s="95"/>
      <c r="E296" s="149"/>
      <c r="F296" s="149"/>
      <c r="G296" s="95"/>
      <c r="H296" s="149"/>
      <c r="I296" s="95"/>
      <c r="J296" s="95"/>
      <c r="K296" s="154"/>
      <c r="L296" s="154"/>
      <c r="M296" s="100"/>
      <c r="N296" s="127"/>
      <c r="O296" s="128"/>
      <c r="P296" s="95"/>
      <c r="Q296" s="137"/>
      <c r="R296" s="129"/>
      <c r="S296" s="95"/>
      <c r="T296" s="95"/>
      <c r="V296" s="107"/>
    </row>
    <row r="297" ht="15.75" customHeight="1">
      <c r="A297" s="89"/>
      <c r="B297" s="182"/>
      <c r="C297" s="149"/>
      <c r="D297" s="95"/>
      <c r="E297" s="149"/>
      <c r="F297" s="149"/>
      <c r="G297" s="95"/>
      <c r="H297" s="149"/>
      <c r="I297" s="95"/>
      <c r="J297" s="95"/>
      <c r="K297" s="156"/>
      <c r="L297" s="156"/>
      <c r="M297" s="100"/>
      <c r="N297" s="127"/>
      <c r="O297" s="128"/>
      <c r="P297" s="95"/>
      <c r="Q297" s="137"/>
      <c r="R297" s="129"/>
      <c r="S297" s="95"/>
      <c r="T297" s="95"/>
      <c r="V297" s="107"/>
    </row>
    <row r="298" ht="15.75" customHeight="1">
      <c r="A298" s="89"/>
      <c r="B298" s="182"/>
      <c r="C298" s="149"/>
      <c r="D298" s="95"/>
      <c r="E298" s="149"/>
      <c r="F298" s="149"/>
      <c r="G298" s="95"/>
      <c r="H298" s="149"/>
      <c r="I298" s="95"/>
      <c r="J298" s="95"/>
      <c r="K298" s="154"/>
      <c r="L298" s="154"/>
      <c r="M298" s="100"/>
      <c r="N298" s="127"/>
      <c r="O298" s="128"/>
      <c r="P298" s="95"/>
      <c r="Q298" s="137"/>
      <c r="R298" s="129"/>
      <c r="S298" s="95"/>
      <c r="T298" s="95"/>
      <c r="V298" s="107"/>
    </row>
    <row r="299" ht="15.75" customHeight="1">
      <c r="A299" s="89"/>
      <c r="B299" s="182"/>
      <c r="C299" s="149"/>
      <c r="D299" s="95"/>
      <c r="E299" s="149"/>
      <c r="F299" s="149"/>
      <c r="G299" s="95"/>
      <c r="H299" s="149"/>
      <c r="I299" s="95"/>
      <c r="J299" s="95"/>
      <c r="K299" s="156"/>
      <c r="L299" s="156"/>
      <c r="M299" s="100"/>
      <c r="N299" s="127"/>
      <c r="O299" s="128"/>
      <c r="P299" s="95"/>
      <c r="Q299" s="137"/>
      <c r="R299" s="129"/>
      <c r="S299" s="95"/>
      <c r="T299" s="95"/>
      <c r="V299" s="107"/>
    </row>
    <row r="300" ht="15.75" customHeight="1">
      <c r="A300" s="89"/>
      <c r="B300" s="182"/>
      <c r="C300" s="149"/>
      <c r="D300" s="95"/>
      <c r="E300" s="149"/>
      <c r="F300" s="149"/>
      <c r="G300" s="95"/>
      <c r="H300" s="149"/>
      <c r="I300" s="95"/>
      <c r="J300" s="95"/>
      <c r="K300" s="154"/>
      <c r="L300" s="154"/>
      <c r="M300" s="100"/>
      <c r="N300" s="127"/>
      <c r="O300" s="128"/>
      <c r="P300" s="95"/>
      <c r="Q300" s="137"/>
      <c r="R300" s="129"/>
      <c r="S300" s="95"/>
      <c r="T300" s="95"/>
      <c r="V300" s="107"/>
    </row>
    <row r="301" ht="15.75" customHeight="1">
      <c r="A301" s="89"/>
      <c r="B301" s="182"/>
      <c r="C301" s="107"/>
      <c r="D301" s="95"/>
      <c r="E301" s="149"/>
      <c r="F301" s="149"/>
      <c r="G301" s="95"/>
      <c r="H301" s="149"/>
      <c r="I301" s="95"/>
      <c r="J301" s="95"/>
      <c r="K301" s="156"/>
      <c r="L301" s="156"/>
      <c r="M301" s="100"/>
      <c r="N301" s="127"/>
      <c r="O301" s="128"/>
      <c r="P301" s="95"/>
      <c r="Q301" s="137"/>
      <c r="R301" s="129"/>
      <c r="S301" s="95"/>
      <c r="T301" s="95"/>
      <c r="V301" s="107"/>
    </row>
    <row r="302" ht="15.75" customHeight="1">
      <c r="A302" s="89"/>
      <c r="B302" s="182"/>
      <c r="C302" s="149"/>
      <c r="D302" s="95"/>
      <c r="E302" s="149"/>
      <c r="F302" s="149"/>
      <c r="G302" s="95"/>
      <c r="H302" s="149"/>
      <c r="I302" s="95"/>
      <c r="J302" s="95"/>
      <c r="K302" s="154"/>
      <c r="L302" s="154"/>
      <c r="M302" s="100"/>
      <c r="N302" s="127"/>
      <c r="O302" s="128"/>
      <c r="P302" s="95"/>
      <c r="Q302" s="137"/>
      <c r="R302" s="129"/>
      <c r="S302" s="95"/>
      <c r="T302" s="95"/>
      <c r="V302" s="107"/>
    </row>
    <row r="303" ht="15.75" customHeight="1">
      <c r="A303" s="89"/>
      <c r="B303" s="182"/>
      <c r="C303" s="149"/>
      <c r="D303" s="95"/>
      <c r="E303" s="149"/>
      <c r="F303" s="149"/>
      <c r="G303" s="95"/>
      <c r="H303" s="149"/>
      <c r="I303" s="95"/>
      <c r="J303" s="95"/>
      <c r="K303" s="156"/>
      <c r="L303" s="156"/>
      <c r="M303" s="100"/>
      <c r="N303" s="127"/>
      <c r="O303" s="128"/>
      <c r="P303" s="95"/>
      <c r="Q303" s="137"/>
      <c r="R303" s="129"/>
      <c r="S303" s="95"/>
      <c r="T303" s="95"/>
      <c r="V303" s="107"/>
    </row>
    <row r="304" ht="15.75" customHeight="1">
      <c r="A304" s="89"/>
      <c r="B304" s="182"/>
      <c r="C304" s="149"/>
      <c r="D304" s="95"/>
      <c r="E304" s="149"/>
      <c r="F304" s="149"/>
      <c r="G304" s="95"/>
      <c r="H304" s="149"/>
      <c r="I304" s="95"/>
      <c r="J304" s="95"/>
      <c r="K304" s="154"/>
      <c r="L304" s="154"/>
      <c r="M304" s="100"/>
      <c r="N304" s="127"/>
      <c r="O304" s="128"/>
      <c r="P304" s="95"/>
      <c r="Q304" s="137"/>
      <c r="R304" s="129"/>
      <c r="S304" s="95"/>
      <c r="T304" s="95"/>
      <c r="V304" s="107"/>
    </row>
    <row r="305" ht="15.75" customHeight="1">
      <c r="A305" s="89"/>
      <c r="B305" s="182"/>
      <c r="C305" s="149"/>
      <c r="D305" s="95"/>
      <c r="E305" s="149"/>
      <c r="F305" s="149"/>
      <c r="G305" s="95"/>
      <c r="H305" s="149"/>
      <c r="I305" s="95"/>
      <c r="J305" s="95"/>
      <c r="K305" s="156"/>
      <c r="L305" s="156"/>
      <c r="M305" s="100"/>
      <c r="N305" s="127"/>
      <c r="O305" s="128"/>
      <c r="P305" s="95"/>
      <c r="Q305" s="137"/>
      <c r="R305" s="129"/>
      <c r="S305" s="95"/>
      <c r="T305" s="95"/>
      <c r="V305" s="107"/>
    </row>
    <row r="306" ht="15.75" customHeight="1">
      <c r="A306" s="89"/>
      <c r="B306" s="182"/>
      <c r="C306" s="149"/>
      <c r="D306" s="95"/>
      <c r="E306" s="149"/>
      <c r="F306" s="149"/>
      <c r="G306" s="95"/>
      <c r="H306" s="149"/>
      <c r="I306" s="95"/>
      <c r="J306" s="95"/>
      <c r="K306" s="154"/>
      <c r="L306" s="154"/>
      <c r="M306" s="100"/>
      <c r="N306" s="127"/>
      <c r="O306" s="128"/>
      <c r="P306" s="95"/>
      <c r="Q306" s="137"/>
      <c r="R306" s="129"/>
      <c r="S306" s="95"/>
      <c r="T306" s="95"/>
      <c r="V306" s="107"/>
    </row>
    <row r="307" ht="15.75" customHeight="1">
      <c r="A307" s="89"/>
      <c r="B307" s="182"/>
      <c r="C307" s="107"/>
      <c r="D307" s="95"/>
      <c r="E307" s="149"/>
      <c r="F307" s="149"/>
      <c r="G307" s="95"/>
      <c r="H307" s="149"/>
      <c r="I307" s="95"/>
      <c r="J307" s="95"/>
      <c r="K307" s="156"/>
      <c r="L307" s="156"/>
      <c r="M307" s="100"/>
      <c r="N307" s="127"/>
      <c r="O307" s="128"/>
      <c r="P307" s="95"/>
      <c r="Q307" s="137"/>
      <c r="R307" s="129"/>
      <c r="S307" s="95"/>
      <c r="T307" s="95"/>
      <c r="V307" s="107"/>
    </row>
    <row r="308" ht="15.75" customHeight="1">
      <c r="A308" s="89"/>
      <c r="B308" s="182"/>
      <c r="C308" s="149"/>
      <c r="D308" s="95"/>
      <c r="E308" s="149"/>
      <c r="F308" s="149"/>
      <c r="G308" s="95"/>
      <c r="H308" s="149"/>
      <c r="I308" s="95"/>
      <c r="J308" s="95"/>
      <c r="K308" s="154"/>
      <c r="L308" s="154"/>
      <c r="M308" s="100"/>
      <c r="N308" s="127"/>
      <c r="O308" s="128"/>
      <c r="P308" s="95"/>
      <c r="Q308" s="137"/>
      <c r="R308" s="129"/>
      <c r="S308" s="95"/>
      <c r="T308" s="95"/>
      <c r="V308" s="107"/>
    </row>
    <row r="309" ht="15.75" customHeight="1">
      <c r="A309" s="89"/>
      <c r="B309" s="182"/>
      <c r="C309" s="149"/>
      <c r="D309" s="95"/>
      <c r="E309" s="149"/>
      <c r="F309" s="149"/>
      <c r="G309" s="95"/>
      <c r="H309" s="149"/>
      <c r="I309" s="95"/>
      <c r="J309" s="95"/>
      <c r="K309" s="156"/>
      <c r="L309" s="156"/>
      <c r="M309" s="100"/>
      <c r="N309" s="127"/>
      <c r="O309" s="128"/>
      <c r="P309" s="95"/>
      <c r="Q309" s="137"/>
      <c r="R309" s="129"/>
      <c r="S309" s="95"/>
      <c r="T309" s="95"/>
      <c r="V309" s="107"/>
    </row>
    <row r="310" ht="15.75" customHeight="1">
      <c r="A310" s="89"/>
      <c r="B310" s="182"/>
      <c r="C310" s="149"/>
      <c r="D310" s="95"/>
      <c r="E310" s="149"/>
      <c r="F310" s="149"/>
      <c r="G310" s="95"/>
      <c r="H310" s="149"/>
      <c r="I310" s="95"/>
      <c r="J310" s="95"/>
      <c r="K310" s="154"/>
      <c r="L310" s="154"/>
      <c r="M310" s="100"/>
      <c r="N310" s="127"/>
      <c r="O310" s="128"/>
      <c r="P310" s="95"/>
      <c r="Q310" s="137"/>
      <c r="R310" s="129"/>
      <c r="S310" s="95"/>
      <c r="T310" s="95"/>
      <c r="V310" s="107"/>
    </row>
    <row r="311" ht="15.75" customHeight="1">
      <c r="A311" s="89"/>
      <c r="B311" s="182"/>
      <c r="C311" s="149"/>
      <c r="D311" s="95"/>
      <c r="E311" s="149"/>
      <c r="F311" s="149"/>
      <c r="G311" s="95"/>
      <c r="H311" s="149"/>
      <c r="I311" s="95"/>
      <c r="J311" s="95"/>
      <c r="K311" s="156"/>
      <c r="L311" s="156"/>
      <c r="M311" s="100"/>
      <c r="N311" s="127"/>
      <c r="O311" s="128"/>
      <c r="P311" s="95"/>
      <c r="Q311" s="137"/>
      <c r="R311" s="129"/>
      <c r="S311" s="95"/>
      <c r="T311" s="95"/>
      <c r="V311" s="107"/>
    </row>
    <row r="312" ht="15.75" customHeight="1">
      <c r="A312" s="89"/>
      <c r="B312" s="182"/>
      <c r="C312" s="149"/>
      <c r="D312" s="95"/>
      <c r="E312" s="149"/>
      <c r="F312" s="149"/>
      <c r="G312" s="95"/>
      <c r="H312" s="149"/>
      <c r="I312" s="95"/>
      <c r="J312" s="95"/>
      <c r="K312" s="154"/>
      <c r="L312" s="154"/>
      <c r="M312" s="100"/>
      <c r="N312" s="127"/>
      <c r="O312" s="128"/>
      <c r="P312" s="95"/>
      <c r="Q312" s="137"/>
      <c r="R312" s="129"/>
      <c r="S312" s="95"/>
      <c r="T312" s="95"/>
      <c r="V312" s="107"/>
    </row>
    <row r="313" ht="15.75" customHeight="1">
      <c r="A313" s="89"/>
      <c r="B313" s="182"/>
      <c r="C313" s="107"/>
      <c r="D313" s="95"/>
      <c r="E313" s="149"/>
      <c r="F313" s="149"/>
      <c r="G313" s="95"/>
      <c r="H313" s="149"/>
      <c r="I313" s="95"/>
      <c r="J313" s="95"/>
      <c r="K313" s="156"/>
      <c r="L313" s="156"/>
      <c r="M313" s="100"/>
      <c r="N313" s="127"/>
      <c r="O313" s="128"/>
      <c r="P313" s="95"/>
      <c r="Q313" s="137"/>
      <c r="R313" s="129"/>
      <c r="S313" s="95"/>
      <c r="T313" s="95"/>
      <c r="V313" s="107"/>
    </row>
    <row r="314" ht="15.75" customHeight="1">
      <c r="A314" s="89"/>
      <c r="B314" s="182"/>
      <c r="C314" s="149"/>
      <c r="D314" s="95"/>
      <c r="E314" s="149"/>
      <c r="F314" s="149"/>
      <c r="G314" s="95"/>
      <c r="H314" s="149"/>
      <c r="I314" s="95"/>
      <c r="J314" s="95"/>
      <c r="K314" s="154"/>
      <c r="L314" s="154"/>
      <c r="M314" s="100"/>
      <c r="N314" s="127"/>
      <c r="O314" s="128"/>
      <c r="P314" s="95"/>
      <c r="Q314" s="137"/>
      <c r="R314" s="129"/>
      <c r="S314" s="95"/>
      <c r="T314" s="95"/>
      <c r="V314" s="107"/>
    </row>
    <row r="315" ht="15.75" customHeight="1">
      <c r="A315" s="89"/>
      <c r="B315" s="182"/>
      <c r="C315" s="149"/>
      <c r="D315" s="95"/>
      <c r="E315" s="149"/>
      <c r="F315" s="149"/>
      <c r="G315" s="95"/>
      <c r="H315" s="149"/>
      <c r="I315" s="95"/>
      <c r="J315" s="95"/>
      <c r="K315" s="156"/>
      <c r="L315" s="156"/>
      <c r="M315" s="100"/>
      <c r="N315" s="127"/>
      <c r="O315" s="128"/>
      <c r="P315" s="95"/>
      <c r="Q315" s="137"/>
      <c r="R315" s="129"/>
      <c r="S315" s="95"/>
      <c r="T315" s="95"/>
      <c r="V315" s="107"/>
    </row>
    <row r="316" ht="15.75" customHeight="1">
      <c r="A316" s="89"/>
      <c r="B316" s="182"/>
      <c r="C316" s="149"/>
      <c r="D316" s="95"/>
      <c r="E316" s="149"/>
      <c r="F316" s="149"/>
      <c r="G316" s="95"/>
      <c r="H316" s="149"/>
      <c r="I316" s="95"/>
      <c r="J316" s="95"/>
      <c r="K316" s="154"/>
      <c r="L316" s="154"/>
      <c r="M316" s="100"/>
      <c r="N316" s="127"/>
      <c r="O316" s="128"/>
      <c r="P316" s="95"/>
      <c r="Q316" s="137"/>
      <c r="R316" s="129"/>
      <c r="S316" s="95"/>
      <c r="T316" s="95"/>
      <c r="V316" s="107"/>
    </row>
    <row r="317" ht="15.75" customHeight="1">
      <c r="A317" s="89"/>
      <c r="B317" s="182"/>
      <c r="C317" s="149"/>
      <c r="D317" s="95"/>
      <c r="E317" s="149"/>
      <c r="F317" s="149"/>
      <c r="G317" s="95"/>
      <c r="H317" s="149"/>
      <c r="I317" s="95"/>
      <c r="J317" s="95"/>
      <c r="K317" s="156"/>
      <c r="L317" s="156"/>
      <c r="M317" s="100"/>
      <c r="N317" s="127"/>
      <c r="O317" s="128"/>
      <c r="P317" s="95"/>
      <c r="Q317" s="137"/>
      <c r="R317" s="129"/>
      <c r="S317" s="95"/>
      <c r="T317" s="95"/>
      <c r="V317" s="107"/>
    </row>
    <row r="318" ht="15.75" customHeight="1">
      <c r="A318" s="89"/>
      <c r="B318" s="182"/>
      <c r="C318" s="149"/>
      <c r="D318" s="95"/>
      <c r="E318" s="149"/>
      <c r="F318" s="149"/>
      <c r="G318" s="95"/>
      <c r="H318" s="149"/>
      <c r="I318" s="95"/>
      <c r="J318" s="95"/>
      <c r="K318" s="154"/>
      <c r="L318" s="154"/>
      <c r="M318" s="100"/>
      <c r="N318" s="127"/>
      <c r="O318" s="128"/>
      <c r="P318" s="95"/>
      <c r="Q318" s="137"/>
      <c r="R318" s="129"/>
      <c r="S318" s="95"/>
      <c r="T318" s="95"/>
      <c r="V318" s="107"/>
    </row>
    <row r="319" ht="15.75" customHeight="1">
      <c r="A319" s="89"/>
      <c r="B319" s="182"/>
      <c r="C319" s="107"/>
      <c r="D319" s="95"/>
      <c r="E319" s="149"/>
      <c r="F319" s="149"/>
      <c r="G319" s="95"/>
      <c r="H319" s="149"/>
      <c r="I319" s="95"/>
      <c r="J319" s="95"/>
      <c r="K319" s="156"/>
      <c r="L319" s="156"/>
      <c r="M319" s="100"/>
      <c r="N319" s="127"/>
      <c r="O319" s="128"/>
      <c r="P319" s="95"/>
      <c r="Q319" s="137"/>
      <c r="R319" s="129"/>
      <c r="S319" s="95"/>
      <c r="T319" s="95"/>
      <c r="V319" s="107"/>
    </row>
    <row r="320" ht="15.75" customHeight="1">
      <c r="A320" s="89"/>
      <c r="B320" s="182"/>
      <c r="C320" s="149"/>
      <c r="D320" s="95"/>
      <c r="E320" s="149"/>
      <c r="F320" s="149"/>
      <c r="G320" s="95"/>
      <c r="H320" s="149"/>
      <c r="I320" s="95"/>
      <c r="J320" s="95"/>
      <c r="K320" s="154"/>
      <c r="L320" s="154"/>
      <c r="M320" s="100"/>
      <c r="N320" s="127"/>
      <c r="O320" s="128"/>
      <c r="P320" s="95"/>
      <c r="Q320" s="137"/>
      <c r="R320" s="129"/>
      <c r="S320" s="95"/>
      <c r="T320" s="95"/>
      <c r="V320" s="107"/>
    </row>
    <row r="321" ht="15.75" customHeight="1">
      <c r="A321" s="89"/>
      <c r="B321" s="182"/>
      <c r="C321" s="149"/>
      <c r="D321" s="95"/>
      <c r="E321" s="149"/>
      <c r="F321" s="149"/>
      <c r="G321" s="95"/>
      <c r="H321" s="149"/>
      <c r="I321" s="95"/>
      <c r="J321" s="95"/>
      <c r="K321" s="156"/>
      <c r="L321" s="156"/>
      <c r="M321" s="100"/>
      <c r="N321" s="127"/>
      <c r="O321" s="128"/>
      <c r="P321" s="95"/>
      <c r="Q321" s="137"/>
      <c r="R321" s="129"/>
      <c r="S321" s="95"/>
      <c r="T321" s="95"/>
      <c r="V321" s="107"/>
    </row>
    <row r="322" ht="15.75" customHeight="1">
      <c r="A322" s="89"/>
      <c r="B322" s="182"/>
      <c r="C322" s="149"/>
      <c r="D322" s="95"/>
      <c r="E322" s="149"/>
      <c r="F322" s="149"/>
      <c r="G322" s="95"/>
      <c r="H322" s="149"/>
      <c r="I322" s="95"/>
      <c r="J322" s="95"/>
      <c r="K322" s="154"/>
      <c r="L322" s="154"/>
      <c r="M322" s="100"/>
      <c r="N322" s="127"/>
      <c r="O322" s="128"/>
      <c r="P322" s="95"/>
      <c r="Q322" s="137"/>
      <c r="R322" s="129"/>
      <c r="S322" s="95"/>
      <c r="T322" s="95"/>
      <c r="V322" s="107"/>
    </row>
    <row r="323" ht="15.75" customHeight="1">
      <c r="A323" s="89"/>
      <c r="B323" s="182"/>
      <c r="C323" s="149"/>
      <c r="D323" s="95"/>
      <c r="E323" s="149"/>
      <c r="F323" s="149"/>
      <c r="G323" s="95"/>
      <c r="H323" s="149"/>
      <c r="I323" s="95"/>
      <c r="J323" s="95"/>
      <c r="K323" s="156"/>
      <c r="L323" s="156"/>
      <c r="M323" s="100"/>
      <c r="N323" s="127"/>
      <c r="O323" s="128"/>
      <c r="P323" s="95"/>
      <c r="Q323" s="137"/>
      <c r="R323" s="129"/>
      <c r="S323" s="95"/>
      <c r="T323" s="95"/>
      <c r="V323" s="107"/>
    </row>
    <row r="324" ht="15.75" customHeight="1">
      <c r="A324" s="89"/>
      <c r="B324" s="182"/>
      <c r="C324" s="149"/>
      <c r="D324" s="95"/>
      <c r="E324" s="149"/>
      <c r="F324" s="149"/>
      <c r="G324" s="95"/>
      <c r="H324" s="149"/>
      <c r="I324" s="95"/>
      <c r="J324" s="95"/>
      <c r="K324" s="154"/>
      <c r="L324" s="154"/>
      <c r="M324" s="100"/>
      <c r="N324" s="127"/>
      <c r="O324" s="128"/>
      <c r="P324" s="95"/>
      <c r="Q324" s="137"/>
      <c r="R324" s="129"/>
      <c r="S324" s="95"/>
      <c r="T324" s="95"/>
      <c r="V324" s="107"/>
    </row>
    <row r="325" ht="15.75" customHeight="1">
      <c r="A325" s="89"/>
      <c r="B325" s="182"/>
      <c r="C325" s="107"/>
      <c r="D325" s="95"/>
      <c r="E325" s="149"/>
      <c r="F325" s="149"/>
      <c r="G325" s="95"/>
      <c r="H325" s="149"/>
      <c r="I325" s="95"/>
      <c r="J325" s="95"/>
      <c r="K325" s="156"/>
      <c r="L325" s="156"/>
      <c r="M325" s="100"/>
      <c r="N325" s="127"/>
      <c r="O325" s="128"/>
      <c r="P325" s="95"/>
      <c r="Q325" s="137"/>
      <c r="R325" s="129"/>
      <c r="S325" s="95"/>
      <c r="T325" s="95"/>
      <c r="V325" s="107"/>
    </row>
    <row r="326" ht="15.75" customHeight="1">
      <c r="A326" s="89"/>
      <c r="B326" s="182"/>
      <c r="C326" s="149"/>
      <c r="D326" s="95"/>
      <c r="E326" s="149"/>
      <c r="F326" s="149"/>
      <c r="G326" s="95"/>
      <c r="H326" s="149"/>
      <c r="I326" s="95"/>
      <c r="J326" s="95"/>
      <c r="K326" s="154"/>
      <c r="L326" s="154"/>
      <c r="M326" s="100"/>
      <c r="N326" s="127"/>
      <c r="O326" s="128"/>
      <c r="P326" s="95"/>
      <c r="Q326" s="137"/>
      <c r="R326" s="129"/>
      <c r="S326" s="95"/>
      <c r="T326" s="95"/>
      <c r="V326" s="107"/>
    </row>
    <row r="327" ht="15.75" customHeight="1">
      <c r="A327" s="89"/>
      <c r="B327" s="182"/>
      <c r="C327" s="149"/>
      <c r="D327" s="95"/>
      <c r="E327" s="149"/>
      <c r="F327" s="149"/>
      <c r="G327" s="95"/>
      <c r="H327" s="149"/>
      <c r="I327" s="95"/>
      <c r="J327" s="95"/>
      <c r="K327" s="156"/>
      <c r="L327" s="156"/>
      <c r="M327" s="100"/>
      <c r="N327" s="127"/>
      <c r="O327" s="128"/>
      <c r="P327" s="95"/>
      <c r="Q327" s="137"/>
      <c r="R327" s="129"/>
      <c r="S327" s="95"/>
      <c r="T327" s="95"/>
      <c r="V327" s="107"/>
    </row>
    <row r="328" ht="15.75" customHeight="1">
      <c r="A328" s="89"/>
      <c r="B328" s="182"/>
      <c r="C328" s="149"/>
      <c r="D328" s="95"/>
      <c r="E328" s="149"/>
      <c r="F328" s="149"/>
      <c r="G328" s="95"/>
      <c r="H328" s="149"/>
      <c r="I328" s="95"/>
      <c r="J328" s="95"/>
      <c r="K328" s="158"/>
      <c r="L328" s="158"/>
      <c r="M328" s="100"/>
      <c r="N328" s="127"/>
      <c r="O328" s="128"/>
      <c r="P328" s="95"/>
      <c r="Q328" s="137"/>
      <c r="R328" s="129"/>
      <c r="S328" s="95"/>
      <c r="T328" s="95"/>
      <c r="V328" s="107"/>
    </row>
    <row r="329" ht="15.75" customHeight="1">
      <c r="A329" s="89"/>
      <c r="B329" s="182"/>
      <c r="C329" s="149"/>
      <c r="D329" s="95"/>
      <c r="E329" s="149"/>
      <c r="F329" s="149"/>
      <c r="G329" s="95"/>
      <c r="H329" s="149"/>
      <c r="I329" s="95"/>
      <c r="J329" s="95"/>
      <c r="K329" s="158"/>
      <c r="L329" s="158"/>
      <c r="M329" s="100"/>
      <c r="N329" s="127"/>
      <c r="O329" s="128"/>
      <c r="P329" s="95"/>
      <c r="Q329" s="137"/>
      <c r="R329" s="129"/>
      <c r="S329" s="95"/>
      <c r="T329" s="95"/>
      <c r="V329" s="107"/>
    </row>
    <row r="330" ht="15.75" customHeight="1">
      <c r="A330" s="89"/>
      <c r="B330" s="182"/>
      <c r="C330" s="149"/>
      <c r="D330" s="95"/>
      <c r="E330" s="149"/>
      <c r="F330" s="149"/>
      <c r="G330" s="95"/>
      <c r="H330" s="149"/>
      <c r="I330" s="95"/>
      <c r="J330" s="95"/>
      <c r="K330" s="158"/>
      <c r="L330" s="158"/>
      <c r="M330" s="100"/>
      <c r="N330" s="127"/>
      <c r="O330" s="128"/>
      <c r="P330" s="95"/>
      <c r="Q330" s="137"/>
      <c r="R330" s="129"/>
      <c r="S330" s="95"/>
      <c r="T330" s="95"/>
      <c r="V330" s="107"/>
    </row>
    <row r="331" ht="15.75" customHeight="1">
      <c r="A331" s="89"/>
      <c r="B331" s="182"/>
      <c r="C331" s="107"/>
      <c r="D331" s="95"/>
      <c r="E331" s="149"/>
      <c r="F331" s="149"/>
      <c r="G331" s="95"/>
      <c r="H331" s="149"/>
      <c r="I331" s="95"/>
      <c r="J331" s="95"/>
      <c r="K331" s="158"/>
      <c r="L331" s="158"/>
      <c r="M331" s="100"/>
      <c r="N331" s="127"/>
      <c r="O331" s="128"/>
      <c r="P331" s="95"/>
      <c r="Q331" s="137"/>
      <c r="R331" s="129"/>
      <c r="S331" s="95"/>
      <c r="T331" s="95"/>
      <c r="V331" s="107"/>
    </row>
    <row r="332" ht="15.75" customHeight="1">
      <c r="A332" s="89"/>
      <c r="B332" s="182"/>
      <c r="C332" s="149"/>
      <c r="D332" s="95"/>
      <c r="E332" s="149"/>
      <c r="F332" s="149"/>
      <c r="G332" s="95"/>
      <c r="H332" s="149"/>
      <c r="I332" s="95"/>
      <c r="J332" s="95"/>
      <c r="K332" s="158"/>
      <c r="L332" s="158"/>
      <c r="M332" s="100"/>
      <c r="N332" s="127"/>
      <c r="O332" s="128"/>
      <c r="P332" s="95"/>
      <c r="Q332" s="137"/>
      <c r="R332" s="129"/>
      <c r="S332" s="95"/>
      <c r="T332" s="95"/>
      <c r="V332" s="107"/>
    </row>
    <row r="333" ht="15.75" customHeight="1">
      <c r="A333" s="89"/>
      <c r="B333" s="182"/>
      <c r="C333" s="149"/>
      <c r="D333" s="95"/>
      <c r="E333" s="149"/>
      <c r="F333" s="149"/>
      <c r="G333" s="95"/>
      <c r="H333" s="149"/>
      <c r="I333" s="95"/>
      <c r="J333" s="95"/>
      <c r="K333" s="158"/>
      <c r="L333" s="158"/>
      <c r="M333" s="100"/>
      <c r="N333" s="127"/>
      <c r="O333" s="128"/>
      <c r="P333" s="95"/>
      <c r="Q333" s="137"/>
      <c r="R333" s="129"/>
      <c r="S333" s="95"/>
      <c r="T333" s="95"/>
      <c r="V333" s="107"/>
    </row>
    <row r="334" ht="15.75" customHeight="1">
      <c r="A334" s="89"/>
      <c r="B334" s="182"/>
      <c r="C334" s="149"/>
      <c r="D334" s="95"/>
      <c r="E334" s="149"/>
      <c r="F334" s="149"/>
      <c r="G334" s="95"/>
      <c r="H334" s="149"/>
      <c r="I334" s="95"/>
      <c r="J334" s="95"/>
      <c r="K334" s="158"/>
      <c r="L334" s="158"/>
      <c r="M334" s="100"/>
      <c r="N334" s="127"/>
      <c r="O334" s="128"/>
      <c r="P334" s="95"/>
      <c r="Q334" s="137"/>
      <c r="R334" s="129"/>
      <c r="S334" s="95"/>
      <c r="T334" s="95"/>
      <c r="V334" s="107"/>
    </row>
    <row r="335" ht="15.75" customHeight="1">
      <c r="A335" s="89"/>
      <c r="B335" s="182"/>
      <c r="C335" s="149"/>
      <c r="D335" s="95"/>
      <c r="E335" s="149"/>
      <c r="F335" s="149"/>
      <c r="G335" s="95"/>
      <c r="H335" s="149"/>
      <c r="I335" s="95"/>
      <c r="J335" s="95"/>
      <c r="K335" s="158"/>
      <c r="L335" s="158"/>
      <c r="M335" s="100"/>
      <c r="N335" s="127"/>
      <c r="O335" s="128"/>
      <c r="P335" s="95"/>
      <c r="Q335" s="137"/>
      <c r="R335" s="129"/>
      <c r="S335" s="95"/>
      <c r="T335" s="95"/>
      <c r="V335" s="107"/>
    </row>
    <row r="336" ht="15.75" customHeight="1">
      <c r="A336" s="89"/>
      <c r="B336" s="182"/>
      <c r="C336" s="149"/>
      <c r="D336" s="95"/>
      <c r="E336" s="149"/>
      <c r="F336" s="149"/>
      <c r="G336" s="95"/>
      <c r="H336" s="149"/>
      <c r="I336" s="95"/>
      <c r="J336" s="95"/>
      <c r="K336" s="158"/>
      <c r="L336" s="158"/>
      <c r="M336" s="100"/>
      <c r="N336" s="127"/>
      <c r="O336" s="128"/>
      <c r="P336" s="95"/>
      <c r="Q336" s="137"/>
      <c r="R336" s="129"/>
      <c r="S336" s="95"/>
      <c r="T336" s="95"/>
      <c r="V336" s="107"/>
    </row>
    <row r="337" ht="15.75" customHeight="1">
      <c r="A337" s="89"/>
      <c r="B337" s="182"/>
      <c r="C337" s="107"/>
      <c r="D337" s="95"/>
      <c r="E337" s="149"/>
      <c r="F337" s="149"/>
      <c r="G337" s="95"/>
      <c r="H337" s="149"/>
      <c r="I337" s="95"/>
      <c r="J337" s="95"/>
      <c r="K337" s="158"/>
      <c r="L337" s="158"/>
      <c r="M337" s="100"/>
      <c r="N337" s="127"/>
      <c r="O337" s="128"/>
      <c r="P337" s="95"/>
      <c r="Q337" s="137"/>
      <c r="R337" s="129"/>
      <c r="S337" s="95"/>
      <c r="T337" s="95"/>
      <c r="V337" s="107"/>
    </row>
    <row r="338" ht="15.75" customHeight="1">
      <c r="A338" s="89"/>
      <c r="B338" s="182"/>
      <c r="C338" s="149"/>
      <c r="D338" s="95"/>
      <c r="E338" s="149"/>
      <c r="F338" s="149"/>
      <c r="G338" s="95"/>
      <c r="H338" s="149"/>
      <c r="I338" s="95"/>
      <c r="J338" s="95"/>
      <c r="K338" s="158"/>
      <c r="L338" s="158"/>
      <c r="M338" s="100"/>
      <c r="N338" s="127"/>
      <c r="O338" s="128"/>
      <c r="P338" s="95"/>
      <c r="Q338" s="137"/>
      <c r="R338" s="129"/>
      <c r="S338" s="95"/>
      <c r="T338" s="95"/>
      <c r="V338" s="107"/>
    </row>
    <row r="339" ht="15.75" customHeight="1">
      <c r="A339" s="89"/>
      <c r="B339" s="182"/>
      <c r="C339" s="149"/>
      <c r="D339" s="95"/>
      <c r="E339" s="149"/>
      <c r="F339" s="149"/>
      <c r="G339" s="95"/>
      <c r="H339" s="149"/>
      <c r="I339" s="95"/>
      <c r="J339" s="95"/>
      <c r="K339" s="158"/>
      <c r="L339" s="158"/>
      <c r="M339" s="100"/>
      <c r="N339" s="127"/>
      <c r="O339" s="128"/>
      <c r="P339" s="95"/>
      <c r="Q339" s="137"/>
      <c r="R339" s="129"/>
      <c r="S339" s="95"/>
      <c r="T339" s="95"/>
      <c r="V339" s="107"/>
    </row>
    <row r="340" ht="15.75" customHeight="1">
      <c r="A340" s="89"/>
      <c r="B340" s="182"/>
      <c r="C340" s="149"/>
      <c r="D340" s="95"/>
      <c r="E340" s="149"/>
      <c r="F340" s="149"/>
      <c r="G340" s="95"/>
      <c r="H340" s="149"/>
      <c r="I340" s="95"/>
      <c r="J340" s="95"/>
      <c r="K340" s="158"/>
      <c r="L340" s="158"/>
      <c r="M340" s="100"/>
      <c r="N340" s="127"/>
      <c r="O340" s="128"/>
      <c r="P340" s="95"/>
      <c r="Q340" s="137"/>
      <c r="R340" s="129"/>
      <c r="S340" s="95"/>
      <c r="T340" s="95"/>
      <c r="V340" s="107"/>
    </row>
    <row r="341" ht="15.75" customHeight="1">
      <c r="A341" s="89"/>
      <c r="B341" s="182"/>
      <c r="C341" s="149"/>
      <c r="D341" s="95"/>
      <c r="E341" s="149"/>
      <c r="F341" s="149"/>
      <c r="G341" s="95"/>
      <c r="H341" s="149"/>
      <c r="I341" s="95"/>
      <c r="J341" s="95"/>
      <c r="K341" s="158"/>
      <c r="L341" s="158"/>
      <c r="M341" s="100"/>
      <c r="N341" s="127"/>
      <c r="O341" s="128"/>
      <c r="P341" s="95"/>
      <c r="Q341" s="137"/>
      <c r="R341" s="129"/>
      <c r="S341" s="95"/>
      <c r="T341" s="95"/>
      <c r="V341" s="107"/>
    </row>
    <row r="342" ht="15.75" customHeight="1">
      <c r="A342" s="89"/>
      <c r="B342" s="182"/>
      <c r="C342" s="149"/>
      <c r="D342" s="95"/>
      <c r="E342" s="149"/>
      <c r="F342" s="149"/>
      <c r="G342" s="95"/>
      <c r="H342" s="149"/>
      <c r="I342" s="95"/>
      <c r="J342" s="95"/>
      <c r="K342" s="158"/>
      <c r="L342" s="158"/>
      <c r="M342" s="100"/>
      <c r="N342" s="127"/>
      <c r="O342" s="128"/>
      <c r="P342" s="95"/>
      <c r="Q342" s="137"/>
      <c r="R342" s="129"/>
      <c r="S342" s="95"/>
      <c r="T342" s="95"/>
      <c r="V342" s="107"/>
    </row>
    <row r="343" ht="15.75" customHeight="1">
      <c r="A343" s="89"/>
      <c r="B343" s="182"/>
      <c r="C343" s="107"/>
      <c r="D343" s="95"/>
      <c r="E343" s="149"/>
      <c r="F343" s="149"/>
      <c r="G343" s="95"/>
      <c r="H343" s="149"/>
      <c r="I343" s="95"/>
      <c r="J343" s="95"/>
      <c r="K343" s="158"/>
      <c r="L343" s="158"/>
      <c r="M343" s="100"/>
      <c r="N343" s="127"/>
      <c r="O343" s="128"/>
      <c r="P343" s="95"/>
      <c r="Q343" s="137"/>
      <c r="R343" s="129"/>
      <c r="S343" s="95"/>
      <c r="T343" s="95"/>
      <c r="V343" s="107"/>
    </row>
    <row r="344" ht="15.75" customHeight="1">
      <c r="A344" s="89"/>
      <c r="B344" s="182"/>
      <c r="C344" s="149"/>
      <c r="D344" s="95"/>
      <c r="E344" s="149"/>
      <c r="F344" s="149"/>
      <c r="G344" s="95"/>
      <c r="H344" s="149"/>
      <c r="I344" s="95"/>
      <c r="J344" s="95"/>
      <c r="K344" s="158"/>
      <c r="L344" s="158"/>
      <c r="M344" s="100"/>
      <c r="N344" s="127"/>
      <c r="O344" s="128"/>
      <c r="P344" s="95"/>
      <c r="Q344" s="137"/>
      <c r="R344" s="129"/>
      <c r="S344" s="95"/>
      <c r="T344" s="95"/>
      <c r="V344" s="107"/>
    </row>
    <row r="345" ht="15.75" customHeight="1">
      <c r="A345" s="89"/>
      <c r="B345" s="182"/>
      <c r="C345" s="149"/>
      <c r="D345" s="95"/>
      <c r="E345" s="149"/>
      <c r="F345" s="149"/>
      <c r="G345" s="95"/>
      <c r="H345" s="149"/>
      <c r="I345" s="95"/>
      <c r="J345" s="95"/>
      <c r="K345" s="158"/>
      <c r="L345" s="158"/>
      <c r="M345" s="100"/>
      <c r="N345" s="127"/>
      <c r="O345" s="128"/>
      <c r="P345" s="95"/>
      <c r="Q345" s="137"/>
      <c r="R345" s="129"/>
      <c r="S345" s="95"/>
      <c r="T345" s="95"/>
      <c r="V345" s="107"/>
    </row>
    <row r="346" ht="15.75" customHeight="1">
      <c r="A346" s="89"/>
      <c r="B346" s="182"/>
      <c r="C346" s="149"/>
      <c r="D346" s="95"/>
      <c r="E346" s="149"/>
      <c r="F346" s="149"/>
      <c r="G346" s="95"/>
      <c r="H346" s="149"/>
      <c r="I346" s="95"/>
      <c r="J346" s="95"/>
      <c r="K346" s="158"/>
      <c r="L346" s="158"/>
      <c r="M346" s="100"/>
      <c r="N346" s="127"/>
      <c r="O346" s="128"/>
      <c r="P346" s="95"/>
      <c r="Q346" s="137"/>
      <c r="R346" s="129"/>
      <c r="S346" s="95"/>
      <c r="T346" s="95"/>
      <c r="V346" s="107"/>
    </row>
    <row r="347" ht="15.75" customHeight="1">
      <c r="A347" s="89"/>
      <c r="B347" s="182"/>
      <c r="C347" s="149"/>
      <c r="D347" s="95"/>
      <c r="E347" s="149"/>
      <c r="F347" s="149"/>
      <c r="G347" s="95"/>
      <c r="H347" s="149"/>
      <c r="I347" s="95"/>
      <c r="J347" s="95"/>
      <c r="K347" s="158"/>
      <c r="L347" s="158"/>
      <c r="M347" s="100"/>
      <c r="N347" s="127"/>
      <c r="O347" s="128"/>
      <c r="P347" s="95"/>
      <c r="Q347" s="137"/>
      <c r="R347" s="129"/>
      <c r="S347" s="95"/>
      <c r="T347" s="95"/>
      <c r="V347" s="107"/>
    </row>
    <row r="348" ht="15.75" customHeight="1">
      <c r="A348" s="89"/>
      <c r="B348" s="182"/>
      <c r="C348" s="149"/>
      <c r="D348" s="95"/>
      <c r="E348" s="149"/>
      <c r="F348" s="149"/>
      <c r="G348" s="95"/>
      <c r="H348" s="149"/>
      <c r="I348" s="95"/>
      <c r="J348" s="95"/>
      <c r="K348" s="158"/>
      <c r="L348" s="158"/>
      <c r="M348" s="100"/>
      <c r="N348" s="127"/>
      <c r="O348" s="128"/>
      <c r="P348" s="95"/>
      <c r="Q348" s="137"/>
      <c r="R348" s="129"/>
      <c r="S348" s="95"/>
      <c r="T348" s="95"/>
      <c r="V348" s="107"/>
    </row>
    <row r="349" ht="15.75" customHeight="1">
      <c r="A349" s="89"/>
      <c r="B349" s="182"/>
      <c r="C349" s="107"/>
      <c r="D349" s="95"/>
      <c r="E349" s="149"/>
      <c r="F349" s="149"/>
      <c r="G349" s="95"/>
      <c r="H349" s="149"/>
      <c r="I349" s="95"/>
      <c r="J349" s="95"/>
      <c r="K349" s="158"/>
      <c r="L349" s="158"/>
      <c r="M349" s="100"/>
      <c r="N349" s="127"/>
      <c r="O349" s="128"/>
      <c r="P349" s="95"/>
      <c r="Q349" s="137"/>
      <c r="R349" s="129"/>
      <c r="S349" s="95"/>
      <c r="T349" s="95"/>
      <c r="V349" s="107"/>
    </row>
    <row r="350" ht="15.75" customHeight="1">
      <c r="A350" s="89"/>
      <c r="B350" s="182"/>
      <c r="C350" s="149"/>
      <c r="D350" s="95"/>
      <c r="E350" s="149"/>
      <c r="F350" s="149"/>
      <c r="G350" s="95"/>
      <c r="H350" s="149"/>
      <c r="I350" s="95"/>
      <c r="J350" s="95"/>
      <c r="K350" s="158"/>
      <c r="L350" s="158"/>
      <c r="M350" s="100"/>
      <c r="N350" s="127"/>
      <c r="O350" s="128"/>
      <c r="P350" s="95"/>
      <c r="Q350" s="137"/>
      <c r="R350" s="129"/>
      <c r="S350" s="95"/>
      <c r="T350" s="95"/>
      <c r="V350" s="107"/>
    </row>
    <row r="351" ht="15.75" customHeight="1">
      <c r="A351" s="89"/>
      <c r="B351" s="182"/>
      <c r="C351" s="149"/>
      <c r="D351" s="95"/>
      <c r="E351" s="149"/>
      <c r="F351" s="149"/>
      <c r="G351" s="95"/>
      <c r="H351" s="149"/>
      <c r="I351" s="95"/>
      <c r="J351" s="95"/>
      <c r="K351" s="158"/>
      <c r="L351" s="158"/>
      <c r="M351" s="100"/>
      <c r="N351" s="127"/>
      <c r="O351" s="128"/>
      <c r="P351" s="95"/>
      <c r="Q351" s="137"/>
      <c r="R351" s="129"/>
      <c r="S351" s="95"/>
      <c r="T351" s="95"/>
      <c r="V351" s="107"/>
    </row>
    <row r="352" ht="15.75" customHeight="1">
      <c r="A352" s="89"/>
      <c r="B352" s="182"/>
      <c r="C352" s="149"/>
      <c r="D352" s="95"/>
      <c r="E352" s="149"/>
      <c r="F352" s="149"/>
      <c r="G352" s="95"/>
      <c r="H352" s="149"/>
      <c r="I352" s="95"/>
      <c r="J352" s="95"/>
      <c r="K352" s="158"/>
      <c r="L352" s="158"/>
      <c r="M352" s="100"/>
      <c r="N352" s="127"/>
      <c r="O352" s="128"/>
      <c r="P352" s="95"/>
      <c r="Q352" s="137"/>
      <c r="R352" s="129"/>
      <c r="S352" s="95"/>
      <c r="T352" s="95"/>
      <c r="V352" s="107"/>
    </row>
    <row r="353" ht="15.75" customHeight="1">
      <c r="A353" s="89"/>
      <c r="B353" s="182"/>
      <c r="C353" s="149"/>
      <c r="D353" s="95"/>
      <c r="E353" s="149"/>
      <c r="F353" s="149"/>
      <c r="G353" s="95"/>
      <c r="H353" s="149"/>
      <c r="I353" s="95"/>
      <c r="J353" s="95"/>
      <c r="K353" s="158"/>
      <c r="L353" s="158"/>
      <c r="M353" s="100"/>
      <c r="N353" s="127"/>
      <c r="O353" s="128"/>
      <c r="P353" s="95"/>
      <c r="Q353" s="137"/>
      <c r="R353" s="129"/>
      <c r="S353" s="95"/>
      <c r="T353" s="95"/>
      <c r="V353" s="107"/>
    </row>
    <row r="354" ht="15.75" customHeight="1">
      <c r="A354" s="89"/>
      <c r="B354" s="182"/>
      <c r="C354" s="149"/>
      <c r="D354" s="95"/>
      <c r="E354" s="149"/>
      <c r="F354" s="149"/>
      <c r="G354" s="95"/>
      <c r="H354" s="149"/>
      <c r="I354" s="95"/>
      <c r="J354" s="95"/>
      <c r="K354" s="158"/>
      <c r="L354" s="158"/>
      <c r="M354" s="100"/>
      <c r="N354" s="127"/>
      <c r="O354" s="128"/>
      <c r="P354" s="95"/>
      <c r="Q354" s="137"/>
      <c r="R354" s="129"/>
      <c r="S354" s="95"/>
      <c r="T354" s="95"/>
      <c r="V354" s="107"/>
    </row>
    <row r="355" ht="15.75" customHeight="1">
      <c r="A355" s="89"/>
      <c r="B355" s="182"/>
      <c r="C355" s="107"/>
      <c r="D355" s="95"/>
      <c r="E355" s="149"/>
      <c r="F355" s="149"/>
      <c r="G355" s="95"/>
      <c r="H355" s="149"/>
      <c r="I355" s="95"/>
      <c r="J355" s="95"/>
      <c r="K355" s="158"/>
      <c r="L355" s="158"/>
      <c r="M355" s="100"/>
      <c r="N355" s="127"/>
      <c r="O355" s="128"/>
      <c r="P355" s="95"/>
      <c r="Q355" s="137"/>
      <c r="R355" s="129"/>
      <c r="S355" s="95"/>
      <c r="T355" s="95"/>
      <c r="V355" s="107"/>
    </row>
    <row r="356" ht="15.75" customHeight="1">
      <c r="A356" s="89"/>
      <c r="B356" s="182"/>
      <c r="C356" s="149"/>
      <c r="D356" s="95"/>
      <c r="E356" s="149"/>
      <c r="F356" s="149"/>
      <c r="G356" s="95"/>
      <c r="H356" s="149"/>
      <c r="I356" s="95"/>
      <c r="J356" s="95"/>
      <c r="K356" s="158"/>
      <c r="L356" s="158"/>
      <c r="M356" s="100"/>
      <c r="N356" s="127"/>
      <c r="O356" s="128"/>
      <c r="P356" s="95"/>
      <c r="Q356" s="137"/>
      <c r="R356" s="129"/>
      <c r="S356" s="95"/>
      <c r="T356" s="95"/>
      <c r="V356" s="107"/>
    </row>
    <row r="357" ht="15.75" customHeight="1">
      <c r="A357" s="89"/>
      <c r="B357" s="182"/>
      <c r="C357" s="149"/>
      <c r="D357" s="95"/>
      <c r="E357" s="149"/>
      <c r="F357" s="149"/>
      <c r="G357" s="95"/>
      <c r="H357" s="149"/>
      <c r="I357" s="95"/>
      <c r="J357" s="95"/>
      <c r="K357" s="158"/>
      <c r="L357" s="158"/>
      <c r="M357" s="100"/>
      <c r="N357" s="127"/>
      <c r="O357" s="128"/>
      <c r="P357" s="95"/>
      <c r="Q357" s="137"/>
      <c r="R357" s="129"/>
      <c r="S357" s="95"/>
      <c r="T357" s="95"/>
      <c r="V357" s="107"/>
    </row>
    <row r="358" ht="15.75" customHeight="1">
      <c r="A358" s="89"/>
      <c r="B358" s="182"/>
      <c r="C358" s="149"/>
      <c r="D358" s="95"/>
      <c r="E358" s="149"/>
      <c r="F358" s="149"/>
      <c r="G358" s="95"/>
      <c r="H358" s="149"/>
      <c r="I358" s="95"/>
      <c r="J358" s="95"/>
      <c r="K358" s="158"/>
      <c r="L358" s="158"/>
      <c r="M358" s="100"/>
      <c r="N358" s="127"/>
      <c r="O358" s="128"/>
      <c r="P358" s="95"/>
      <c r="Q358" s="137"/>
      <c r="R358" s="129"/>
      <c r="S358" s="95"/>
      <c r="T358" s="95"/>
      <c r="V358" s="107"/>
    </row>
    <row r="359" ht="15.75" customHeight="1">
      <c r="A359" s="89"/>
      <c r="B359" s="182"/>
      <c r="C359" s="149"/>
      <c r="D359" s="95"/>
      <c r="E359" s="149"/>
      <c r="F359" s="149"/>
      <c r="G359" s="95"/>
      <c r="H359" s="149"/>
      <c r="I359" s="95"/>
      <c r="J359" s="95"/>
      <c r="K359" s="158"/>
      <c r="L359" s="158"/>
      <c r="M359" s="100"/>
      <c r="N359" s="127"/>
      <c r="O359" s="128"/>
      <c r="P359" s="95"/>
      <c r="Q359" s="137"/>
      <c r="R359" s="129"/>
      <c r="S359" s="95"/>
      <c r="T359" s="95"/>
      <c r="V359" s="107"/>
    </row>
    <row r="360" ht="15.75" customHeight="1">
      <c r="A360" s="89"/>
      <c r="B360" s="182"/>
      <c r="C360" s="149"/>
      <c r="D360" s="95"/>
      <c r="E360" s="149"/>
      <c r="F360" s="149"/>
      <c r="G360" s="95"/>
      <c r="H360" s="149"/>
      <c r="I360" s="95"/>
      <c r="J360" s="95"/>
      <c r="K360" s="158"/>
      <c r="L360" s="158"/>
      <c r="M360" s="100"/>
      <c r="N360" s="127"/>
      <c r="O360" s="128"/>
      <c r="P360" s="95"/>
      <c r="Q360" s="137"/>
      <c r="R360" s="129"/>
      <c r="S360" s="95"/>
      <c r="T360" s="95"/>
      <c r="V360" s="107"/>
    </row>
  </sheetData>
  <autoFilter ref="$A$12:$V$109"/>
  <customSheetViews>
    <customSheetView guid="{3D5205AB-724F-426F-9D73-83BFCBF63977}" filter="1" showAutoFilter="1">
      <autoFilter ref="$R$19:$R$30"/>
    </customSheetView>
  </customSheetViews>
  <mergeCells count="344">
    <mergeCell ref="T9:U9"/>
    <mergeCell ref="T10:U10"/>
    <mergeCell ref="T11:U11"/>
    <mergeCell ref="T12:U12"/>
    <mergeCell ref="T18:U18"/>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R13"/>
    <hyperlink r:id="rId3" ref="R15"/>
    <hyperlink r:id="rId4" ref="R16"/>
    <hyperlink r:id="rId5" ref="R17"/>
    <hyperlink r:id="rId6" ref="R18"/>
    <hyperlink r:id="rId7" ref="R19"/>
    <hyperlink r:id="rId8" ref="R20"/>
    <hyperlink r:id="rId9" ref="R21"/>
    <hyperlink r:id="rId10" ref="R22"/>
    <hyperlink r:id="rId11" ref="R23"/>
    <hyperlink r:id="rId12" ref="R24"/>
    <hyperlink r:id="rId13" ref="R25"/>
    <hyperlink r:id="rId14" ref="R26"/>
    <hyperlink r:id="rId15" ref="R27"/>
    <hyperlink r:id="rId16" ref="R28"/>
    <hyperlink r:id="rId17" ref="R29"/>
    <hyperlink r:id="rId18" ref="R30"/>
  </hyperlinks>
  <drawing r:id="rId19"/>
  <legacyDrawing r:id="rId2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2.88"/>
    <col customWidth="1" min="4" max="4" width="0.38"/>
    <col customWidth="1" min="5" max="5" width="15.13"/>
    <col customWidth="1" min="6" max="6" width="21.38"/>
    <col customWidth="1" min="7" max="7" width="0.38"/>
    <col customWidth="1" min="8" max="8" width="15.63"/>
    <col customWidth="1" min="9" max="9" width="13.88"/>
    <col customWidth="1" min="10" max="10" width="0.38"/>
    <col customWidth="1" min="13" max="13" width="0.38"/>
    <col customWidth="1" min="15" max="15" width="28.63"/>
    <col customWidth="1" min="16" max="16" width="0.38"/>
    <col customWidth="1" min="17" max="17" width="13.13"/>
    <col customWidth="1" min="18" max="18" width="18.38"/>
    <col customWidth="1" min="19" max="19" width="16.5"/>
    <col customWidth="1" min="21" max="21" width="23.75"/>
    <col customWidth="1" min="22" max="22" width="0.38"/>
  </cols>
  <sheetData>
    <row r="1">
      <c r="A1" s="35"/>
      <c r="B1" s="87" t="s">
        <v>31</v>
      </c>
      <c r="C1" s="87" t="s">
        <v>77</v>
      </c>
      <c r="D1" s="35"/>
      <c r="E1" s="38" t="s">
        <v>33</v>
      </c>
      <c r="F1" s="39"/>
      <c r="G1" s="35"/>
      <c r="H1" s="38" t="s">
        <v>34</v>
      </c>
      <c r="I1" s="39"/>
      <c r="J1" s="13"/>
      <c r="K1" s="159" t="s">
        <v>35</v>
      </c>
      <c r="L1" s="41"/>
      <c r="M1" s="13"/>
      <c r="N1" s="38" t="s">
        <v>36</v>
      </c>
      <c r="O1" s="42"/>
      <c r="P1" s="35"/>
      <c r="Q1" s="38" t="s">
        <v>37</v>
      </c>
      <c r="R1" s="43"/>
      <c r="S1" s="39"/>
      <c r="T1" s="39"/>
      <c r="U1" s="35" t="s">
        <v>38</v>
      </c>
      <c r="V1" s="35"/>
    </row>
    <row r="2">
      <c r="A2" s="35"/>
      <c r="B2" s="39"/>
      <c r="C2" s="39"/>
      <c r="D2" s="13"/>
      <c r="E2" s="160" t="s">
        <v>26</v>
      </c>
      <c r="F2" s="161">
        <f>IFERROR(COUNTIFS(I13:I287, "Full-Pay"),"")</f>
        <v>3</v>
      </c>
      <c r="G2" s="13"/>
      <c r="H2" s="46" t="s">
        <v>16</v>
      </c>
      <c r="I2" s="47">
        <f>iferror(I10/I8,"")</f>
        <v>0.5454545455</v>
      </c>
      <c r="J2" s="12"/>
      <c r="K2" s="162" t="s">
        <v>39</v>
      </c>
      <c r="L2" s="49">
        <f>iferror(F8/I6,"")</f>
        <v>0.04347826087</v>
      </c>
      <c r="M2" s="12"/>
      <c r="N2" s="50" t="s">
        <v>40</v>
      </c>
      <c r="O2" s="51">
        <f>IFERROR(COUNTIFS(N13:N286, "think about it"),"")</f>
        <v>2</v>
      </c>
      <c r="P2" s="13"/>
      <c r="Q2" s="52" t="s">
        <v>41</v>
      </c>
      <c r="R2" s="53">
        <f>IFERROR(COUNTIF(H13:H286,Q2),"")</f>
        <v>0</v>
      </c>
      <c r="S2" s="52" t="s">
        <v>42</v>
      </c>
      <c r="T2" s="54">
        <f>IFERROR(COUNTIF(H13:H286,S2),"")</f>
        <v>0</v>
      </c>
      <c r="U2" s="35"/>
      <c r="V2" s="55"/>
    </row>
    <row r="3">
      <c r="A3" s="13"/>
      <c r="B3" s="163" t="s">
        <v>43</v>
      </c>
      <c r="C3" s="57">
        <f>IFERROR(SUM(K13:K283),"")</f>
        <v>103500</v>
      </c>
      <c r="D3" s="58"/>
      <c r="E3" s="160" t="s">
        <v>27</v>
      </c>
      <c r="F3" s="161">
        <f>IFERROR(COUNTIFS(I13:I287, "Split-Pay"),"")</f>
        <v>9</v>
      </c>
      <c r="G3" s="13"/>
      <c r="H3" s="46" t="s">
        <v>17</v>
      </c>
      <c r="I3" s="47">
        <f>IFERROR(I10/I9,"")</f>
        <v>0.5454545455</v>
      </c>
      <c r="J3" s="12"/>
      <c r="K3" s="162" t="s">
        <v>44</v>
      </c>
      <c r="L3" s="49">
        <f>iferror(F9/I6,"")</f>
        <v>0</v>
      </c>
      <c r="M3" s="12"/>
      <c r="N3" s="50" t="s">
        <v>45</v>
      </c>
      <c r="O3" s="59">
        <f>IFERROR(COUNTIFS(N13:N286, "money"),"")</f>
        <v>13</v>
      </c>
      <c r="P3" s="13"/>
      <c r="Q3" s="52" t="s">
        <v>46</v>
      </c>
      <c r="R3" s="53">
        <f>IFERROR(COUNTIF(H13:H286,Q3),"")</f>
        <v>0</v>
      </c>
      <c r="S3" s="52" t="s">
        <v>47</v>
      </c>
      <c r="T3" s="54">
        <f>IFERROR(COUNTIF(H13:H286,S3),"")</f>
        <v>0</v>
      </c>
      <c r="U3" s="35"/>
      <c r="V3" s="55"/>
    </row>
    <row r="4">
      <c r="A4" s="13"/>
      <c r="B4" s="164" t="s">
        <v>48</v>
      </c>
      <c r="C4" s="61">
        <f>IFERROR(SUM(L13:L284),"")</f>
        <v>49500</v>
      </c>
      <c r="D4" s="58"/>
      <c r="E4" s="160" t="s">
        <v>28</v>
      </c>
      <c r="F4" s="161">
        <f>IFERROR(COUNTIFS(I13:I287, "Deposit"),"")</f>
        <v>0</v>
      </c>
      <c r="G4" s="13"/>
      <c r="H4" s="46" t="s">
        <v>18</v>
      </c>
      <c r="I4" s="47">
        <f>IFERROR(I9/I8,"")</f>
        <v>1</v>
      </c>
      <c r="J4" s="12"/>
      <c r="K4" s="162" t="s">
        <v>49</v>
      </c>
      <c r="L4" s="49">
        <f>iferror(F10/I6,"")</f>
        <v>0</v>
      </c>
      <c r="M4" s="12"/>
      <c r="N4" s="50" t="s">
        <v>50</v>
      </c>
      <c r="O4" s="51">
        <f>IFERROR(COUNTIFS(N13:N286, "time"),"")</f>
        <v>1</v>
      </c>
      <c r="P4" s="13"/>
      <c r="Q4" s="52" t="s">
        <v>51</v>
      </c>
      <c r="R4" s="53">
        <f>IFERROR(COUNTIF(H13:H286,Q4),"")</f>
        <v>0</v>
      </c>
      <c r="S4" s="52" t="s">
        <v>52</v>
      </c>
      <c r="T4" s="54">
        <f>IFERROR(COUNTIF(H13:H286,S4),"")</f>
        <v>0</v>
      </c>
      <c r="U4" s="35"/>
      <c r="V4" s="35"/>
    </row>
    <row r="5">
      <c r="A5" s="35"/>
      <c r="B5" s="39"/>
      <c r="C5" s="39"/>
      <c r="D5" s="13"/>
      <c r="E5" s="160" t="s">
        <v>53</v>
      </c>
      <c r="F5" s="161">
        <f>IFERROR(COUNTIFS(I13:I287, "Offer &amp; Didn't Buy"),"")</f>
        <v>10</v>
      </c>
      <c r="G5" s="13"/>
      <c r="H5" s="46" t="s">
        <v>54</v>
      </c>
      <c r="I5" s="47">
        <f>IFERROR(F7/(C6+F7+F8),"")</f>
        <v>0</v>
      </c>
      <c r="J5" s="13"/>
      <c r="K5" s="162" t="s">
        <v>54</v>
      </c>
      <c r="L5" s="49">
        <f>iferror(F7/I6,"")</f>
        <v>0</v>
      </c>
      <c r="M5" s="12"/>
      <c r="N5" s="50" t="s">
        <v>55</v>
      </c>
      <c r="O5" s="51">
        <f>IFERROR(COUNTIFS(N13:N286, "partner"),"")</f>
        <v>5</v>
      </c>
      <c r="P5" s="13"/>
      <c r="Q5" s="52" t="s">
        <v>56</v>
      </c>
      <c r="R5" s="53">
        <f>IFERROR(COUNTIF(H13:H286,Q5),"")</f>
        <v>0</v>
      </c>
      <c r="S5" s="52" t="s">
        <v>57</v>
      </c>
      <c r="T5" s="54">
        <f>IFERROR(COUNTIF(H13:H286,S5),"")</f>
        <v>0</v>
      </c>
      <c r="U5" s="35"/>
      <c r="V5" s="55"/>
    </row>
    <row r="6">
      <c r="A6" s="13"/>
      <c r="B6" s="165" t="s">
        <v>58</v>
      </c>
      <c r="C6" s="63">
        <f>IFERROR(SUM(F2:F6),"")</f>
        <v>22</v>
      </c>
      <c r="D6" s="13"/>
      <c r="E6" s="160" t="s">
        <v>59</v>
      </c>
      <c r="F6" s="161">
        <f>IFERROR(COUNTIFS(I13:I287, "Bad Fit &amp; No Offer"),"")</f>
        <v>0</v>
      </c>
      <c r="G6" s="13"/>
      <c r="H6" s="46" t="s">
        <v>21</v>
      </c>
      <c r="I6" s="64">
        <f>IFERROR(SUM(F2:F10),"")</f>
        <v>23</v>
      </c>
      <c r="J6" s="13"/>
      <c r="K6" s="166" t="s">
        <v>29</v>
      </c>
      <c r="L6" s="49">
        <f>iferror(I7/I6,"")</f>
        <v>0.9565217391</v>
      </c>
      <c r="M6" s="12"/>
      <c r="N6" s="50" t="s">
        <v>60</v>
      </c>
      <c r="O6" s="51">
        <f>IFERROR(COUNTIFS(N13:N286, "fear"),"")</f>
        <v>2</v>
      </c>
      <c r="P6" s="13"/>
      <c r="Q6" s="52" t="s">
        <v>61</v>
      </c>
      <c r="R6" s="53">
        <f>IFERROR(COUNTIF(H13:H286,Q6),"")</f>
        <v>0</v>
      </c>
      <c r="S6" s="52" t="s">
        <v>62</v>
      </c>
      <c r="T6" s="54">
        <f>IFERROR(COUNTIF(H13:H286,S6),"")</f>
        <v>0</v>
      </c>
      <c r="U6" s="35"/>
      <c r="V6" s="55"/>
    </row>
    <row r="7">
      <c r="A7" s="13"/>
      <c r="B7" s="165" t="s">
        <v>63</v>
      </c>
      <c r="C7" s="66">
        <f>IFERROR(F2+F3,"")</f>
        <v>12</v>
      </c>
      <c r="D7" s="13"/>
      <c r="E7" s="160" t="s">
        <v>64</v>
      </c>
      <c r="F7" s="161">
        <f>IFERROR(COUNTIFS(I13:I287, "Drag Over &amp; Show"),"")</f>
        <v>0</v>
      </c>
      <c r="G7" s="13"/>
      <c r="H7" s="46" t="s">
        <v>22</v>
      </c>
      <c r="I7" s="64">
        <f>IFERROR(SUM(F2:F7),"")</f>
        <v>22</v>
      </c>
      <c r="J7" s="13"/>
      <c r="K7" s="167" t="s">
        <v>30</v>
      </c>
      <c r="L7" s="68">
        <f>IFERROR(I8/I6,"")</f>
        <v>0.9565217391</v>
      </c>
      <c r="M7" s="12"/>
      <c r="N7" s="69" t="s">
        <v>65</v>
      </c>
      <c r="O7" s="70">
        <f>IFERROR(COUNTIFS(N14:N287, "value"),"")</f>
        <v>0</v>
      </c>
      <c r="P7" s="13"/>
      <c r="Q7" s="52" t="s">
        <v>66</v>
      </c>
      <c r="R7" s="53">
        <f>IFERROR(COUNTIF(H13:H286,Q7),"")</f>
        <v>0</v>
      </c>
      <c r="S7" s="52" t="s">
        <v>67</v>
      </c>
      <c r="T7" s="54">
        <f>IFERROR(COUNTIF(H13:H286,S7),"")</f>
        <v>0</v>
      </c>
      <c r="U7" s="35"/>
      <c r="V7" s="35"/>
    </row>
    <row r="8">
      <c r="A8" s="13"/>
      <c r="B8" s="165" t="s">
        <v>68</v>
      </c>
      <c r="C8" s="71">
        <f>COUNTIF(I13:I286,"offer &amp; didn't buy")+countif(I13:I286,"deposit")+countif(I13:I286,"bad fit &amp; no offer")</f>
        <v>10</v>
      </c>
      <c r="D8" s="72"/>
      <c r="E8" s="160" t="s">
        <v>69</v>
      </c>
      <c r="F8" s="161">
        <f>IFERROR(COUNTIFS(I13:I287, "Rescheduled"),"")</f>
        <v>1</v>
      </c>
      <c r="G8" s="13"/>
      <c r="H8" s="46" t="s">
        <v>23</v>
      </c>
      <c r="I8" s="64">
        <f>IFERROR(SUM(F2:F6),"")</f>
        <v>22</v>
      </c>
      <c r="J8" s="35"/>
      <c r="K8" s="35"/>
      <c r="L8" s="35"/>
      <c r="M8" s="35"/>
      <c r="N8" s="35"/>
      <c r="O8" s="74"/>
      <c r="P8" s="13"/>
      <c r="Q8" s="75" t="s">
        <v>70</v>
      </c>
      <c r="R8" s="76">
        <f>IFERROR(COUNTIF(H13:H286,Q8),"")</f>
        <v>0</v>
      </c>
      <c r="S8" s="75" t="s">
        <v>71</v>
      </c>
      <c r="T8" s="77">
        <f>IFERROR(COUNTIF(H13:H286,S8),"")</f>
        <v>0</v>
      </c>
      <c r="U8" s="35"/>
      <c r="V8" s="35"/>
    </row>
    <row r="9">
      <c r="A9" s="13"/>
      <c r="B9" s="165" t="s">
        <v>72</v>
      </c>
      <c r="C9" s="78">
        <f>iferror(SUM(C7/C6),"")</f>
        <v>0.5454545455</v>
      </c>
      <c r="D9" s="12"/>
      <c r="E9" s="160" t="s">
        <v>73</v>
      </c>
      <c r="F9" s="161">
        <f>IFERROR(COUNTIFS(I13:I287, "Cancelled"),"")</f>
        <v>0</v>
      </c>
      <c r="G9" s="13"/>
      <c r="H9" s="46" t="s">
        <v>24</v>
      </c>
      <c r="I9" s="64">
        <f>IFERROR(sum(F2:F5),"")</f>
        <v>22</v>
      </c>
      <c r="J9" s="35"/>
      <c r="K9" s="35"/>
      <c r="L9" s="35"/>
      <c r="M9" s="35"/>
      <c r="N9" s="35"/>
      <c r="O9" s="74"/>
      <c r="P9" s="35"/>
      <c r="Q9" s="35"/>
      <c r="R9" s="35"/>
      <c r="S9" s="35"/>
      <c r="T9" s="35"/>
      <c r="V9" s="35"/>
    </row>
    <row r="10">
      <c r="A10" s="35"/>
      <c r="B10" s="188" t="s">
        <v>373</v>
      </c>
      <c r="C10" s="190">
        <f>C3/C6</f>
        <v>4704.545455</v>
      </c>
      <c r="D10" s="13"/>
      <c r="E10" s="168" t="s">
        <v>74</v>
      </c>
      <c r="F10" s="169">
        <f>IFERROR(COUNTIFS(I13:I287, "No-Show"),"")</f>
        <v>0</v>
      </c>
      <c r="G10" s="13"/>
      <c r="H10" s="81" t="s">
        <v>75</v>
      </c>
      <c r="I10" s="82">
        <f>F2+F3</f>
        <v>12</v>
      </c>
      <c r="J10" s="35"/>
      <c r="K10" s="35"/>
      <c r="L10" s="35"/>
      <c r="M10" s="35"/>
      <c r="N10" s="35"/>
      <c r="O10" s="74"/>
      <c r="P10" s="35"/>
      <c r="Q10" s="35"/>
      <c r="R10" s="35"/>
      <c r="S10" s="35"/>
      <c r="T10" s="35"/>
      <c r="V10" s="35"/>
    </row>
    <row r="11" ht="6.0" customHeight="1">
      <c r="A11" s="35"/>
      <c r="B11" s="35"/>
      <c r="C11" s="35"/>
      <c r="D11" s="35"/>
      <c r="E11" s="35"/>
      <c r="F11" s="35"/>
      <c r="G11" s="35"/>
      <c r="H11" s="35"/>
      <c r="I11" s="35"/>
      <c r="J11" s="35"/>
      <c r="K11" s="35"/>
      <c r="L11" s="35"/>
      <c r="M11" s="35"/>
      <c r="N11" s="35"/>
      <c r="O11" s="74"/>
      <c r="P11" s="35"/>
      <c r="Q11" s="35"/>
      <c r="R11" s="35"/>
      <c r="S11" s="35"/>
      <c r="T11" s="35"/>
      <c r="V11" s="35"/>
    </row>
    <row r="12">
      <c r="A12" s="35"/>
      <c r="B12" s="85" t="s">
        <v>76</v>
      </c>
      <c r="C12" s="85" t="s">
        <v>77</v>
      </c>
      <c r="D12" s="35"/>
      <c r="E12" s="87" t="s">
        <v>78</v>
      </c>
      <c r="F12" s="87" t="s">
        <v>56</v>
      </c>
      <c r="G12" s="35"/>
      <c r="H12" s="87" t="s">
        <v>37</v>
      </c>
      <c r="I12" s="87" t="s">
        <v>33</v>
      </c>
      <c r="J12" s="35"/>
      <c r="K12" s="87" t="s">
        <v>79</v>
      </c>
      <c r="L12" s="87" t="s">
        <v>48</v>
      </c>
      <c r="M12" s="35"/>
      <c r="N12" s="87" t="s">
        <v>80</v>
      </c>
      <c r="O12" s="88" t="s">
        <v>81</v>
      </c>
      <c r="P12" s="35"/>
      <c r="Q12" s="87" t="s">
        <v>82</v>
      </c>
      <c r="R12" s="87" t="s">
        <v>83</v>
      </c>
      <c r="S12" s="87" t="s">
        <v>84</v>
      </c>
      <c r="T12" s="87" t="s">
        <v>85</v>
      </c>
      <c r="V12" s="55"/>
    </row>
    <row r="13" ht="15.75" customHeight="1">
      <c r="A13" s="89"/>
      <c r="B13" s="96" t="s">
        <v>484</v>
      </c>
      <c r="C13" s="172" t="s">
        <v>485</v>
      </c>
      <c r="D13" s="92"/>
      <c r="E13" s="130" t="s">
        <v>486</v>
      </c>
      <c r="F13" s="194" t="s">
        <v>487</v>
      </c>
      <c r="G13" s="95"/>
      <c r="H13" s="96" t="s">
        <v>89</v>
      </c>
      <c r="I13" s="97" t="s">
        <v>110</v>
      </c>
      <c r="J13" s="95"/>
      <c r="K13" s="99">
        <v>9000.0</v>
      </c>
      <c r="L13" s="99">
        <v>9000.0</v>
      </c>
      <c r="M13" s="100"/>
      <c r="N13" s="101"/>
      <c r="O13" s="102"/>
      <c r="P13" s="95"/>
      <c r="Q13" s="103" t="s">
        <v>111</v>
      </c>
      <c r="R13" s="171" t="s">
        <v>488</v>
      </c>
      <c r="S13" s="103" t="s">
        <v>113</v>
      </c>
      <c r="T13" s="105" t="s">
        <v>489</v>
      </c>
      <c r="U13" s="106"/>
      <c r="V13" s="107"/>
    </row>
    <row r="14" ht="15.75" customHeight="1">
      <c r="A14" s="89"/>
      <c r="B14" s="96" t="s">
        <v>490</v>
      </c>
      <c r="C14" s="173" t="s">
        <v>491</v>
      </c>
      <c r="D14" s="92"/>
      <c r="E14" s="130" t="s">
        <v>492</v>
      </c>
      <c r="F14" s="194" t="s">
        <v>493</v>
      </c>
      <c r="G14" s="95"/>
      <c r="H14" s="96" t="s">
        <v>89</v>
      </c>
      <c r="I14" s="97" t="s">
        <v>276</v>
      </c>
      <c r="J14" s="95"/>
      <c r="K14" s="99">
        <v>9000.0</v>
      </c>
      <c r="L14" s="99">
        <v>3000.0</v>
      </c>
      <c r="M14" s="100"/>
      <c r="N14" s="101" t="s">
        <v>55</v>
      </c>
      <c r="O14" s="102"/>
      <c r="P14" s="95"/>
      <c r="Q14" s="103" t="s">
        <v>111</v>
      </c>
      <c r="R14" s="170" t="s">
        <v>494</v>
      </c>
      <c r="S14" s="103" t="s">
        <v>113</v>
      </c>
      <c r="T14" s="105" t="s">
        <v>495</v>
      </c>
      <c r="U14" s="106"/>
      <c r="V14" s="107"/>
    </row>
    <row r="15" ht="15.75" customHeight="1">
      <c r="A15" s="95"/>
      <c r="B15" s="96" t="s">
        <v>490</v>
      </c>
      <c r="C15" s="172" t="s">
        <v>496</v>
      </c>
      <c r="D15" s="95"/>
      <c r="E15" s="130" t="s">
        <v>497</v>
      </c>
      <c r="F15" s="194" t="s">
        <v>498</v>
      </c>
      <c r="G15" s="95"/>
      <c r="H15" s="96" t="s">
        <v>89</v>
      </c>
      <c r="I15" s="97" t="s">
        <v>90</v>
      </c>
      <c r="J15" s="95"/>
      <c r="K15" s="99"/>
      <c r="L15" s="99"/>
      <c r="M15" s="100"/>
      <c r="N15" s="101" t="s">
        <v>91</v>
      </c>
      <c r="O15" s="102"/>
      <c r="P15" s="95"/>
      <c r="Q15" s="103" t="s">
        <v>213</v>
      </c>
      <c r="R15" s="170" t="s">
        <v>499</v>
      </c>
      <c r="S15" s="103" t="s">
        <v>94</v>
      </c>
      <c r="T15" s="110" t="s">
        <v>500</v>
      </c>
      <c r="U15" s="103"/>
      <c r="V15" s="107"/>
    </row>
    <row r="16" ht="15.75" customHeight="1">
      <c r="A16" s="95"/>
      <c r="B16" s="96" t="s">
        <v>501</v>
      </c>
      <c r="C16" s="172" t="s">
        <v>502</v>
      </c>
      <c r="D16" s="103"/>
      <c r="E16" s="130" t="s">
        <v>503</v>
      </c>
      <c r="F16" s="194" t="s">
        <v>504</v>
      </c>
      <c r="G16" s="95"/>
      <c r="H16" s="96" t="s">
        <v>89</v>
      </c>
      <c r="I16" s="97" t="s">
        <v>276</v>
      </c>
      <c r="J16" s="95"/>
      <c r="K16" s="99">
        <v>9000.0</v>
      </c>
      <c r="L16" s="99">
        <v>3000.0</v>
      </c>
      <c r="M16" s="100"/>
      <c r="N16" s="101" t="s">
        <v>45</v>
      </c>
      <c r="O16" s="102"/>
      <c r="P16" s="95"/>
      <c r="Q16" s="103" t="s">
        <v>111</v>
      </c>
      <c r="R16" s="170" t="s">
        <v>505</v>
      </c>
      <c r="S16" s="103" t="s">
        <v>113</v>
      </c>
      <c r="T16" s="116" t="s">
        <v>506</v>
      </c>
      <c r="U16" s="103"/>
      <c r="V16" s="107"/>
    </row>
    <row r="17" ht="15.75" customHeight="1">
      <c r="A17" s="95"/>
      <c r="B17" s="96" t="s">
        <v>507</v>
      </c>
      <c r="C17" s="118" t="s">
        <v>508</v>
      </c>
      <c r="D17" s="95"/>
      <c r="E17" s="130" t="s">
        <v>509</v>
      </c>
      <c r="F17" s="194" t="s">
        <v>510</v>
      </c>
      <c r="G17" s="95"/>
      <c r="H17" s="96" t="s">
        <v>89</v>
      </c>
      <c r="I17" s="97" t="s">
        <v>110</v>
      </c>
      <c r="J17" s="95"/>
      <c r="K17" s="99">
        <v>9000.0</v>
      </c>
      <c r="L17" s="99">
        <v>9000.0</v>
      </c>
      <c r="M17" s="100"/>
      <c r="N17" s="101" t="s">
        <v>45</v>
      </c>
      <c r="O17" s="102"/>
      <c r="P17" s="95"/>
      <c r="Q17" s="103" t="s">
        <v>111</v>
      </c>
      <c r="R17" s="170" t="s">
        <v>511</v>
      </c>
      <c r="S17" s="103" t="s">
        <v>113</v>
      </c>
      <c r="T17" s="103" t="s">
        <v>512</v>
      </c>
      <c r="V17" s="107"/>
    </row>
    <row r="18" ht="15.75" customHeight="1">
      <c r="A18" s="95"/>
      <c r="B18" s="96" t="s">
        <v>513</v>
      </c>
      <c r="C18" s="118" t="s">
        <v>514</v>
      </c>
      <c r="D18" s="95"/>
      <c r="E18" s="130" t="s">
        <v>515</v>
      </c>
      <c r="F18" s="194" t="s">
        <v>516</v>
      </c>
      <c r="G18" s="95"/>
      <c r="H18" s="96" t="s">
        <v>89</v>
      </c>
      <c r="I18" s="97" t="s">
        <v>90</v>
      </c>
      <c r="J18" s="95"/>
      <c r="K18" s="113"/>
      <c r="L18" s="113"/>
      <c r="M18" s="100"/>
      <c r="N18" s="101" t="s">
        <v>55</v>
      </c>
      <c r="O18" s="102"/>
      <c r="P18" s="95"/>
      <c r="Q18" s="103" t="s">
        <v>111</v>
      </c>
      <c r="R18" s="171" t="s">
        <v>517</v>
      </c>
      <c r="S18" s="103" t="s">
        <v>94</v>
      </c>
      <c r="T18" s="119" t="s">
        <v>518</v>
      </c>
      <c r="U18" s="95"/>
      <c r="V18" s="107"/>
    </row>
    <row r="19" ht="15.75" customHeight="1">
      <c r="A19" s="95"/>
      <c r="B19" s="96" t="s">
        <v>519</v>
      </c>
      <c r="C19" s="120" t="s">
        <v>520</v>
      </c>
      <c r="D19" s="95"/>
      <c r="E19" s="130" t="s">
        <v>521</v>
      </c>
      <c r="F19" s="194" t="s">
        <v>522</v>
      </c>
      <c r="G19" s="95"/>
      <c r="H19" s="96" t="s">
        <v>89</v>
      </c>
      <c r="I19" s="97" t="s">
        <v>90</v>
      </c>
      <c r="J19" s="95"/>
      <c r="K19" s="99"/>
      <c r="L19" s="99"/>
      <c r="M19" s="100"/>
      <c r="N19" s="101" t="s">
        <v>45</v>
      </c>
      <c r="O19" s="102" t="s">
        <v>523</v>
      </c>
      <c r="P19" s="95"/>
      <c r="Q19" s="103" t="s">
        <v>308</v>
      </c>
      <c r="R19" s="171" t="s">
        <v>524</v>
      </c>
      <c r="S19" s="103" t="s">
        <v>157</v>
      </c>
      <c r="T19" s="119" t="s">
        <v>525</v>
      </c>
      <c r="U19" s="95"/>
      <c r="V19" s="107"/>
    </row>
    <row r="20" ht="15.75" customHeight="1">
      <c r="A20" s="95"/>
      <c r="B20" s="119" t="s">
        <v>526</v>
      </c>
      <c r="C20" s="172" t="s">
        <v>527</v>
      </c>
      <c r="D20" s="95"/>
      <c r="E20" s="130" t="s">
        <v>528</v>
      </c>
      <c r="F20" s="194" t="s">
        <v>529</v>
      </c>
      <c r="G20" s="95"/>
      <c r="H20" s="96" t="s">
        <v>89</v>
      </c>
      <c r="I20" s="97" t="s">
        <v>90</v>
      </c>
      <c r="J20" s="95"/>
      <c r="K20" s="113"/>
      <c r="L20" s="113"/>
      <c r="M20" s="100"/>
      <c r="N20" s="101" t="s">
        <v>45</v>
      </c>
      <c r="O20" s="102" t="s">
        <v>530</v>
      </c>
      <c r="P20" s="95"/>
      <c r="Q20" s="103" t="s">
        <v>111</v>
      </c>
      <c r="R20" s="171" t="s">
        <v>531</v>
      </c>
      <c r="S20" s="103" t="s">
        <v>94</v>
      </c>
      <c r="T20" s="119" t="s">
        <v>532</v>
      </c>
      <c r="U20" s="95"/>
      <c r="V20" s="107"/>
    </row>
    <row r="21" ht="15.75" customHeight="1">
      <c r="A21" s="89"/>
      <c r="B21" s="96" t="s">
        <v>533</v>
      </c>
      <c r="C21" s="108" t="s">
        <v>534</v>
      </c>
      <c r="D21" s="95"/>
      <c r="E21" s="130" t="s">
        <v>535</v>
      </c>
      <c r="F21" s="194" t="s">
        <v>536</v>
      </c>
      <c r="G21" s="95"/>
      <c r="H21" s="96" t="s">
        <v>89</v>
      </c>
      <c r="I21" s="97" t="s">
        <v>276</v>
      </c>
      <c r="J21" s="95"/>
      <c r="K21" s="99">
        <v>7500.0</v>
      </c>
      <c r="L21" s="99">
        <v>1500.0</v>
      </c>
      <c r="M21" s="100"/>
      <c r="N21" s="101" t="s">
        <v>45</v>
      </c>
      <c r="O21" s="102" t="s">
        <v>537</v>
      </c>
      <c r="P21" s="95"/>
      <c r="Q21" s="103" t="s">
        <v>538</v>
      </c>
      <c r="R21" s="186" t="s">
        <v>539</v>
      </c>
      <c r="S21" s="103" t="s">
        <v>113</v>
      </c>
      <c r="T21" s="103" t="s">
        <v>540</v>
      </c>
      <c r="V21" s="107"/>
    </row>
    <row r="22" ht="15.75" customHeight="1">
      <c r="A22" s="89"/>
      <c r="B22" s="96" t="s">
        <v>541</v>
      </c>
      <c r="C22" s="122" t="s">
        <v>542</v>
      </c>
      <c r="D22" s="95"/>
      <c r="E22" s="130" t="s">
        <v>543</v>
      </c>
      <c r="F22" s="194" t="s">
        <v>544</v>
      </c>
      <c r="G22" s="95"/>
      <c r="H22" s="96" t="s">
        <v>89</v>
      </c>
      <c r="I22" s="97" t="s">
        <v>545</v>
      </c>
      <c r="J22" s="95"/>
      <c r="K22" s="113"/>
      <c r="L22" s="113"/>
      <c r="M22" s="100"/>
      <c r="N22" s="101" t="s">
        <v>45</v>
      </c>
      <c r="O22" s="102" t="s">
        <v>546</v>
      </c>
      <c r="P22" s="95"/>
      <c r="Q22" s="103" t="s">
        <v>308</v>
      </c>
      <c r="R22" s="171" t="s">
        <v>547</v>
      </c>
      <c r="S22" s="103" t="s">
        <v>157</v>
      </c>
      <c r="T22" s="103" t="s">
        <v>548</v>
      </c>
      <c r="V22" s="107"/>
    </row>
    <row r="23" ht="15.75" customHeight="1">
      <c r="A23" s="89"/>
      <c r="B23" s="96" t="s">
        <v>549</v>
      </c>
      <c r="C23" s="172" t="s">
        <v>550</v>
      </c>
      <c r="D23" s="95"/>
      <c r="E23" s="130" t="s">
        <v>551</v>
      </c>
      <c r="F23" s="194" t="s">
        <v>552</v>
      </c>
      <c r="G23" s="95"/>
      <c r="H23" s="96" t="s">
        <v>89</v>
      </c>
      <c r="I23" s="103" t="s">
        <v>276</v>
      </c>
      <c r="J23" s="95"/>
      <c r="K23" s="99">
        <v>9000.0</v>
      </c>
      <c r="L23" s="99">
        <v>3000.0</v>
      </c>
      <c r="M23" s="100"/>
      <c r="N23" s="101" t="s">
        <v>45</v>
      </c>
      <c r="O23" s="102" t="s">
        <v>553</v>
      </c>
      <c r="P23" s="95"/>
      <c r="Q23" s="103" t="s">
        <v>111</v>
      </c>
      <c r="R23" s="171" t="s">
        <v>554</v>
      </c>
      <c r="S23" s="103" t="s">
        <v>113</v>
      </c>
      <c r="T23" s="103" t="s">
        <v>555</v>
      </c>
      <c r="V23" s="107"/>
    </row>
    <row r="24" ht="15.75" customHeight="1">
      <c r="A24" s="89"/>
      <c r="B24" s="96" t="s">
        <v>549</v>
      </c>
      <c r="C24" s="122" t="s">
        <v>556</v>
      </c>
      <c r="D24" s="95"/>
      <c r="E24" s="130" t="s">
        <v>557</v>
      </c>
      <c r="F24" s="194" t="s">
        <v>558</v>
      </c>
      <c r="G24" s="95"/>
      <c r="H24" s="96" t="s">
        <v>89</v>
      </c>
      <c r="I24" s="103" t="s">
        <v>110</v>
      </c>
      <c r="J24" s="95"/>
      <c r="K24" s="99">
        <v>9000.0</v>
      </c>
      <c r="L24" s="99">
        <v>9000.0</v>
      </c>
      <c r="M24" s="100"/>
      <c r="N24" s="127"/>
      <c r="O24" s="128"/>
      <c r="P24" s="95"/>
      <c r="Q24" s="103" t="s">
        <v>111</v>
      </c>
      <c r="R24" s="171" t="s">
        <v>559</v>
      </c>
      <c r="S24" s="103" t="s">
        <v>113</v>
      </c>
      <c r="T24" s="103" t="s">
        <v>560</v>
      </c>
      <c r="V24" s="107"/>
    </row>
    <row r="25" ht="15.75" customHeight="1">
      <c r="A25" s="89"/>
      <c r="B25" s="96" t="s">
        <v>549</v>
      </c>
      <c r="C25" s="122" t="s">
        <v>561</v>
      </c>
      <c r="D25" s="95"/>
      <c r="E25" s="130" t="s">
        <v>562</v>
      </c>
      <c r="F25" s="194" t="s">
        <v>563</v>
      </c>
      <c r="G25" s="95"/>
      <c r="H25" s="96" t="s">
        <v>89</v>
      </c>
      <c r="I25" s="103" t="s">
        <v>276</v>
      </c>
      <c r="J25" s="95"/>
      <c r="K25" s="99">
        <v>9000.0</v>
      </c>
      <c r="L25" s="99">
        <v>1500.0</v>
      </c>
      <c r="M25" s="100"/>
      <c r="N25" s="101" t="s">
        <v>45</v>
      </c>
      <c r="O25" s="102" t="s">
        <v>564</v>
      </c>
      <c r="P25" s="95"/>
      <c r="Q25" s="103" t="s">
        <v>111</v>
      </c>
      <c r="R25" s="171" t="s">
        <v>565</v>
      </c>
      <c r="S25" s="103" t="s">
        <v>113</v>
      </c>
      <c r="T25" s="103" t="s">
        <v>566</v>
      </c>
      <c r="V25" s="107"/>
    </row>
    <row r="26" ht="15.75" customHeight="1">
      <c r="A26" s="89"/>
      <c r="B26" s="96" t="s">
        <v>567</v>
      </c>
      <c r="C26" s="122" t="s">
        <v>568</v>
      </c>
      <c r="D26" s="95"/>
      <c r="E26" s="130" t="s">
        <v>569</v>
      </c>
      <c r="F26" s="194" t="s">
        <v>570</v>
      </c>
      <c r="G26" s="95"/>
      <c r="H26" s="96" t="s">
        <v>89</v>
      </c>
      <c r="I26" s="103" t="s">
        <v>90</v>
      </c>
      <c r="J26" s="95"/>
      <c r="K26" s="113"/>
      <c r="L26" s="113"/>
      <c r="M26" s="100"/>
      <c r="N26" s="101" t="s">
        <v>50</v>
      </c>
      <c r="O26" s="102" t="s">
        <v>571</v>
      </c>
      <c r="P26" s="95"/>
      <c r="Q26" s="103" t="s">
        <v>308</v>
      </c>
      <c r="R26" s="171" t="s">
        <v>572</v>
      </c>
      <c r="S26" s="103" t="s">
        <v>94</v>
      </c>
      <c r="T26" s="103" t="s">
        <v>573</v>
      </c>
      <c r="V26" s="107"/>
    </row>
    <row r="27" ht="15.75" customHeight="1">
      <c r="A27" s="89"/>
      <c r="B27" s="96" t="s">
        <v>574</v>
      </c>
      <c r="C27" s="97" t="s">
        <v>575</v>
      </c>
      <c r="D27" s="95"/>
      <c r="E27" s="130" t="s">
        <v>576</v>
      </c>
      <c r="F27" s="194" t="s">
        <v>577</v>
      </c>
      <c r="G27" s="95"/>
      <c r="H27" s="96" t="s">
        <v>89</v>
      </c>
      <c r="I27" s="103" t="s">
        <v>90</v>
      </c>
      <c r="J27" s="95"/>
      <c r="K27" s="99"/>
      <c r="L27" s="99"/>
      <c r="M27" s="100"/>
      <c r="N27" s="101" t="s">
        <v>45</v>
      </c>
      <c r="O27" s="102" t="s">
        <v>578</v>
      </c>
      <c r="P27" s="95"/>
      <c r="Q27" s="103" t="s">
        <v>111</v>
      </c>
      <c r="R27" s="171" t="s">
        <v>579</v>
      </c>
      <c r="S27" s="103" t="s">
        <v>94</v>
      </c>
      <c r="T27" s="103" t="s">
        <v>580</v>
      </c>
      <c r="V27" s="107"/>
    </row>
    <row r="28" ht="15.75" customHeight="1">
      <c r="A28" s="89"/>
      <c r="B28" s="96" t="s">
        <v>581</v>
      </c>
      <c r="C28" s="122" t="s">
        <v>582</v>
      </c>
      <c r="D28" s="95"/>
      <c r="E28" s="130" t="s">
        <v>583</v>
      </c>
      <c r="F28" s="194" t="s">
        <v>584</v>
      </c>
      <c r="G28" s="95"/>
      <c r="H28" s="96" t="s">
        <v>89</v>
      </c>
      <c r="I28" s="103" t="s">
        <v>276</v>
      </c>
      <c r="J28" s="95"/>
      <c r="K28" s="99">
        <v>9000.0</v>
      </c>
      <c r="L28" s="99">
        <v>3000.0</v>
      </c>
      <c r="M28" s="100"/>
      <c r="N28" s="101" t="s">
        <v>45</v>
      </c>
      <c r="O28" s="102"/>
      <c r="P28" s="95"/>
      <c r="Q28" s="103" t="s">
        <v>111</v>
      </c>
      <c r="R28" s="170" t="s">
        <v>585</v>
      </c>
      <c r="S28" s="103" t="s">
        <v>113</v>
      </c>
      <c r="T28" s="103" t="s">
        <v>586</v>
      </c>
      <c r="V28" s="107"/>
    </row>
    <row r="29" ht="15.75" customHeight="1">
      <c r="A29" s="89"/>
      <c r="B29" s="96" t="s">
        <v>587</v>
      </c>
      <c r="C29" s="111" t="s">
        <v>588</v>
      </c>
      <c r="D29" s="95"/>
      <c r="E29" s="130" t="s">
        <v>589</v>
      </c>
      <c r="F29" s="194" t="s">
        <v>590</v>
      </c>
      <c r="G29" s="95"/>
      <c r="H29" s="96" t="s">
        <v>89</v>
      </c>
      <c r="I29" s="103" t="s">
        <v>90</v>
      </c>
      <c r="J29" s="95"/>
      <c r="K29" s="99"/>
      <c r="L29" s="99"/>
      <c r="M29" s="100"/>
      <c r="N29" s="101" t="s">
        <v>60</v>
      </c>
      <c r="O29" s="128"/>
      <c r="P29" s="95"/>
      <c r="Q29" s="103" t="s">
        <v>111</v>
      </c>
      <c r="R29" s="171" t="s">
        <v>591</v>
      </c>
      <c r="S29" s="103" t="s">
        <v>94</v>
      </c>
      <c r="T29" s="103" t="s">
        <v>592</v>
      </c>
      <c r="V29" s="107"/>
    </row>
    <row r="30" ht="15.75" customHeight="1">
      <c r="A30" s="89"/>
      <c r="B30" s="96" t="s">
        <v>593</v>
      </c>
      <c r="C30" s="122" t="s">
        <v>594</v>
      </c>
      <c r="D30" s="95"/>
      <c r="E30" s="130" t="s">
        <v>595</v>
      </c>
      <c r="F30" s="194" t="s">
        <v>596</v>
      </c>
      <c r="G30" s="95"/>
      <c r="H30" s="96" t="s">
        <v>89</v>
      </c>
      <c r="I30" s="103" t="s">
        <v>276</v>
      </c>
      <c r="J30" s="95"/>
      <c r="K30" s="99">
        <v>9000.0</v>
      </c>
      <c r="L30" s="99">
        <v>1500.0</v>
      </c>
      <c r="M30" s="100"/>
      <c r="N30" s="101" t="s">
        <v>45</v>
      </c>
      <c r="O30" s="102" t="s">
        <v>571</v>
      </c>
      <c r="P30" s="95"/>
      <c r="Q30" s="103" t="s">
        <v>111</v>
      </c>
      <c r="R30" s="171" t="s">
        <v>597</v>
      </c>
      <c r="S30" s="103" t="s">
        <v>113</v>
      </c>
      <c r="T30" s="103" t="s">
        <v>598</v>
      </c>
      <c r="V30" s="107"/>
    </row>
    <row r="31" ht="15.75" customHeight="1">
      <c r="A31" s="89"/>
      <c r="B31" s="96" t="s">
        <v>599</v>
      </c>
      <c r="C31" s="97" t="s">
        <v>600</v>
      </c>
      <c r="D31" s="95"/>
      <c r="E31" s="130" t="s">
        <v>601</v>
      </c>
      <c r="F31" s="194" t="s">
        <v>602</v>
      </c>
      <c r="G31" s="95"/>
      <c r="H31" s="96" t="s">
        <v>89</v>
      </c>
      <c r="I31" s="103" t="s">
        <v>90</v>
      </c>
      <c r="J31" s="95"/>
      <c r="K31" s="99"/>
      <c r="L31" s="99"/>
      <c r="M31" s="100"/>
      <c r="N31" s="101" t="s">
        <v>45</v>
      </c>
      <c r="O31" s="102"/>
      <c r="P31" s="95"/>
      <c r="Q31" s="103" t="s">
        <v>409</v>
      </c>
      <c r="R31" s="171" t="s">
        <v>603</v>
      </c>
      <c r="S31" s="103" t="s">
        <v>94</v>
      </c>
      <c r="T31" s="103" t="s">
        <v>604</v>
      </c>
      <c r="V31" s="107"/>
    </row>
    <row r="32" ht="15.75" customHeight="1">
      <c r="A32" s="89"/>
      <c r="B32" s="96" t="s">
        <v>605</v>
      </c>
      <c r="C32" s="97" t="s">
        <v>606</v>
      </c>
      <c r="D32" s="95"/>
      <c r="E32" s="130" t="s">
        <v>607</v>
      </c>
      <c r="F32" s="194" t="s">
        <v>608</v>
      </c>
      <c r="G32" s="95"/>
      <c r="H32" s="96" t="s">
        <v>89</v>
      </c>
      <c r="I32" s="103" t="s">
        <v>90</v>
      </c>
      <c r="J32" s="95"/>
      <c r="K32" s="113"/>
      <c r="L32" s="113"/>
      <c r="M32" s="100"/>
      <c r="N32" s="101" t="s">
        <v>91</v>
      </c>
      <c r="O32" s="102" t="s">
        <v>609</v>
      </c>
      <c r="P32" s="95"/>
      <c r="Q32" s="103" t="s">
        <v>111</v>
      </c>
      <c r="R32" s="171" t="s">
        <v>610</v>
      </c>
      <c r="S32" s="103" t="s">
        <v>94</v>
      </c>
      <c r="T32" s="103" t="s">
        <v>611</v>
      </c>
      <c r="V32" s="107"/>
    </row>
    <row r="33" ht="15.75" customHeight="1">
      <c r="A33" s="89"/>
      <c r="B33" s="96" t="s">
        <v>612</v>
      </c>
      <c r="C33" s="122" t="s">
        <v>613</v>
      </c>
      <c r="D33" s="95"/>
      <c r="E33" s="130" t="s">
        <v>614</v>
      </c>
      <c r="F33" s="194" t="s">
        <v>615</v>
      </c>
      <c r="G33" s="95"/>
      <c r="H33" s="96" t="s">
        <v>89</v>
      </c>
      <c r="I33" s="103" t="s">
        <v>276</v>
      </c>
      <c r="J33" s="95"/>
      <c r="K33" s="99">
        <v>6000.0</v>
      </c>
      <c r="L33" s="99">
        <v>3000.0</v>
      </c>
      <c r="M33" s="100"/>
      <c r="N33" s="101" t="s">
        <v>45</v>
      </c>
      <c r="O33" s="102" t="s">
        <v>616</v>
      </c>
      <c r="P33" s="95"/>
      <c r="Q33" s="103" t="s">
        <v>213</v>
      </c>
      <c r="R33" s="171" t="s">
        <v>617</v>
      </c>
      <c r="S33" s="103" t="s">
        <v>113</v>
      </c>
      <c r="T33" s="103" t="s">
        <v>618</v>
      </c>
      <c r="V33" s="107"/>
    </row>
    <row r="34" ht="15.75" customHeight="1">
      <c r="A34" s="89"/>
      <c r="B34" s="96" t="s">
        <v>612</v>
      </c>
      <c r="C34" s="97" t="s">
        <v>619</v>
      </c>
      <c r="D34" s="95"/>
      <c r="E34" s="130" t="s">
        <v>620</v>
      </c>
      <c r="F34" s="194" t="s">
        <v>621</v>
      </c>
      <c r="G34" s="95"/>
      <c r="H34" s="96" t="s">
        <v>89</v>
      </c>
      <c r="I34" s="103" t="s">
        <v>276</v>
      </c>
      <c r="J34" s="95"/>
      <c r="K34" s="99">
        <v>9000.0</v>
      </c>
      <c r="L34" s="99">
        <v>3000.0</v>
      </c>
      <c r="M34" s="100"/>
      <c r="N34" s="101" t="s">
        <v>60</v>
      </c>
      <c r="O34" s="102" t="s">
        <v>622</v>
      </c>
      <c r="P34" s="95"/>
      <c r="Q34" s="103" t="s">
        <v>623</v>
      </c>
      <c r="R34" s="171" t="s">
        <v>624</v>
      </c>
      <c r="S34" s="103" t="s">
        <v>113</v>
      </c>
      <c r="T34" s="103" t="s">
        <v>625</v>
      </c>
      <c r="V34" s="107"/>
    </row>
    <row r="35" ht="15.75" customHeight="1">
      <c r="A35" s="89"/>
      <c r="B35" s="96" t="s">
        <v>612</v>
      </c>
      <c r="C35" s="103" t="s">
        <v>626</v>
      </c>
      <c r="D35" s="95"/>
      <c r="E35" s="130" t="s">
        <v>627</v>
      </c>
      <c r="F35" s="199" t="s">
        <v>628</v>
      </c>
      <c r="G35" s="95"/>
      <c r="H35" s="96" t="s">
        <v>89</v>
      </c>
      <c r="I35" s="103" t="s">
        <v>90</v>
      </c>
      <c r="J35" s="95"/>
      <c r="K35" s="99"/>
      <c r="L35" s="99"/>
      <c r="M35" s="100"/>
      <c r="N35" s="101" t="s">
        <v>55</v>
      </c>
      <c r="O35" s="102" t="s">
        <v>629</v>
      </c>
      <c r="P35" s="95"/>
      <c r="Q35" s="103" t="s">
        <v>111</v>
      </c>
      <c r="R35" s="171" t="s">
        <v>630</v>
      </c>
      <c r="S35" s="103" t="s">
        <v>94</v>
      </c>
      <c r="T35" s="103" t="s">
        <v>631</v>
      </c>
      <c r="V35" s="107"/>
    </row>
    <row r="36" ht="15.75" customHeight="1">
      <c r="A36" s="89"/>
      <c r="B36" s="177"/>
      <c r="C36" s="103"/>
      <c r="D36" s="95"/>
      <c r="E36" s="176"/>
      <c r="F36" s="146"/>
      <c r="G36" s="95"/>
      <c r="H36" s="96"/>
      <c r="I36" s="103"/>
      <c r="J36" s="95"/>
      <c r="K36" s="113"/>
      <c r="L36" s="113"/>
      <c r="M36" s="100"/>
      <c r="N36" s="127"/>
      <c r="O36" s="128"/>
      <c r="P36" s="95"/>
      <c r="Q36" s="95"/>
      <c r="R36" s="129"/>
      <c r="S36" s="95"/>
      <c r="T36" s="103"/>
      <c r="V36" s="107"/>
    </row>
    <row r="37" ht="15.75" customHeight="1">
      <c r="A37" s="89"/>
      <c r="B37" s="96" t="s">
        <v>632</v>
      </c>
      <c r="C37" s="97"/>
      <c r="D37" s="95"/>
      <c r="E37" s="176"/>
      <c r="F37" s="144"/>
      <c r="G37" s="95"/>
      <c r="H37" s="96"/>
      <c r="I37" s="103"/>
      <c r="J37" s="95"/>
      <c r="K37" s="99"/>
      <c r="L37" s="99"/>
      <c r="M37" s="100"/>
      <c r="N37" s="101"/>
      <c r="O37" s="102"/>
      <c r="P37" s="95"/>
      <c r="Q37" s="114"/>
      <c r="R37" s="106"/>
      <c r="S37" s="103"/>
      <c r="T37" s="103"/>
      <c r="V37" s="107"/>
    </row>
    <row r="38" ht="15.75" customHeight="1">
      <c r="A38" s="89"/>
      <c r="B38" s="96" t="s">
        <v>633</v>
      </c>
      <c r="C38" s="97" t="s">
        <v>324</v>
      </c>
      <c r="D38" s="95"/>
      <c r="E38" s="130" t="s">
        <v>634</v>
      </c>
      <c r="F38" s="194" t="s">
        <v>635</v>
      </c>
      <c r="G38" s="95"/>
      <c r="H38" s="96" t="s">
        <v>89</v>
      </c>
      <c r="I38" s="103"/>
      <c r="J38" s="95"/>
      <c r="K38" s="113"/>
      <c r="L38" s="113"/>
      <c r="M38" s="100"/>
      <c r="N38" s="101" t="s">
        <v>55</v>
      </c>
      <c r="O38" s="102" t="s">
        <v>636</v>
      </c>
      <c r="P38" s="95"/>
      <c r="Q38" s="135"/>
      <c r="R38" s="106"/>
      <c r="S38" s="95"/>
      <c r="V38" s="107"/>
    </row>
    <row r="39" ht="15.75" customHeight="1">
      <c r="A39" s="89"/>
      <c r="B39" s="96" t="s">
        <v>633</v>
      </c>
      <c r="C39" s="97" t="s">
        <v>637</v>
      </c>
      <c r="D39" s="95"/>
      <c r="E39" s="130" t="s">
        <v>638</v>
      </c>
      <c r="F39" s="200" t="s">
        <v>639</v>
      </c>
      <c r="G39" s="95"/>
      <c r="H39" s="96" t="s">
        <v>89</v>
      </c>
      <c r="I39" s="103"/>
      <c r="J39" s="95"/>
      <c r="K39" s="99"/>
      <c r="L39" s="99"/>
      <c r="M39" s="100"/>
      <c r="N39" s="101" t="s">
        <v>55</v>
      </c>
      <c r="O39" s="102" t="s">
        <v>640</v>
      </c>
      <c r="P39" s="95"/>
      <c r="Q39" s="103" t="s">
        <v>111</v>
      </c>
      <c r="R39" s="171" t="s">
        <v>641</v>
      </c>
      <c r="S39" s="103" t="s">
        <v>157</v>
      </c>
      <c r="T39" s="103" t="s">
        <v>642</v>
      </c>
      <c r="V39" s="107"/>
    </row>
    <row r="40" ht="15.75" customHeight="1">
      <c r="A40" s="89"/>
      <c r="B40" s="177"/>
      <c r="C40" s="97"/>
      <c r="D40" s="95"/>
      <c r="E40" s="176"/>
      <c r="F40" s="144"/>
      <c r="G40" s="95"/>
      <c r="H40" s="96"/>
      <c r="I40" s="103"/>
      <c r="J40" s="95"/>
      <c r="K40" s="113"/>
      <c r="L40" s="113"/>
      <c r="M40" s="100"/>
      <c r="N40" s="101"/>
      <c r="O40" s="102"/>
      <c r="P40" s="95"/>
      <c r="Q40" s="114"/>
      <c r="R40" s="106"/>
      <c r="S40" s="103"/>
      <c r="T40" s="103"/>
      <c r="V40" s="107"/>
    </row>
    <row r="41" ht="15.75" customHeight="1">
      <c r="A41" s="89"/>
      <c r="B41" s="177"/>
      <c r="C41" s="97"/>
      <c r="D41" s="95"/>
      <c r="E41" s="96"/>
      <c r="F41" s="146"/>
      <c r="G41" s="95"/>
      <c r="H41" s="96"/>
      <c r="I41" s="103"/>
      <c r="J41" s="95"/>
      <c r="K41" s="99"/>
      <c r="L41" s="99"/>
      <c r="M41" s="100"/>
      <c r="N41" s="127"/>
      <c r="O41" s="128"/>
      <c r="P41" s="95"/>
      <c r="Q41" s="95"/>
      <c r="R41" s="129"/>
      <c r="S41" s="95"/>
      <c r="T41" s="95"/>
      <c r="V41" s="107"/>
    </row>
    <row r="42" ht="15.75" customHeight="1">
      <c r="A42" s="89"/>
      <c r="B42" s="177"/>
      <c r="C42" s="103"/>
      <c r="D42" s="95"/>
      <c r="E42" s="176"/>
      <c r="F42" s="96"/>
      <c r="G42" s="95"/>
      <c r="H42" s="96"/>
      <c r="I42" s="103"/>
      <c r="J42" s="95"/>
      <c r="K42" s="113"/>
      <c r="L42" s="113"/>
      <c r="M42" s="100"/>
      <c r="N42" s="101"/>
      <c r="O42" s="102"/>
      <c r="P42" s="95"/>
      <c r="Q42" s="114"/>
      <c r="R42" s="106"/>
      <c r="S42" s="103"/>
      <c r="T42" s="103"/>
      <c r="V42" s="107"/>
    </row>
    <row r="43" ht="15.75" customHeight="1">
      <c r="A43" s="89"/>
      <c r="B43" s="177"/>
      <c r="C43" s="103"/>
      <c r="D43" s="95"/>
      <c r="E43" s="176"/>
      <c r="F43" s="144"/>
      <c r="G43" s="95"/>
      <c r="H43" s="96"/>
      <c r="I43" s="103"/>
      <c r="J43" s="95"/>
      <c r="K43" s="99"/>
      <c r="L43" s="99"/>
      <c r="M43" s="100"/>
      <c r="N43" s="127"/>
      <c r="O43" s="128"/>
      <c r="P43" s="95"/>
      <c r="Q43" s="137"/>
      <c r="R43" s="129"/>
      <c r="S43" s="95"/>
      <c r="T43" s="95"/>
      <c r="V43" s="107"/>
    </row>
    <row r="44" ht="15.75" customHeight="1">
      <c r="A44" s="89"/>
      <c r="B44" s="177"/>
      <c r="C44" s="103"/>
      <c r="D44" s="95"/>
      <c r="E44" s="176"/>
      <c r="F44" s="144"/>
      <c r="G44" s="95"/>
      <c r="H44" s="96"/>
      <c r="I44" s="103"/>
      <c r="J44" s="95"/>
      <c r="K44" s="113"/>
      <c r="L44" s="113"/>
      <c r="M44" s="100"/>
      <c r="N44" s="127"/>
      <c r="O44" s="128"/>
      <c r="P44" s="95"/>
      <c r="Q44" s="95"/>
      <c r="R44" s="129"/>
      <c r="S44" s="95"/>
      <c r="T44" s="95"/>
      <c r="V44" s="107"/>
    </row>
    <row r="45" ht="15.75" customHeight="1">
      <c r="A45" s="89"/>
      <c r="B45" s="177"/>
      <c r="C45" s="97"/>
      <c r="D45" s="95"/>
      <c r="E45" s="176"/>
      <c r="F45" s="144"/>
      <c r="G45" s="95"/>
      <c r="H45" s="96"/>
      <c r="I45" s="103"/>
      <c r="J45" s="95"/>
      <c r="K45" s="99"/>
      <c r="L45" s="99"/>
      <c r="M45" s="100"/>
      <c r="N45" s="127"/>
      <c r="O45" s="128"/>
      <c r="P45" s="95"/>
      <c r="Q45" s="95"/>
      <c r="R45" s="129"/>
      <c r="S45" s="95"/>
      <c r="T45" s="95"/>
      <c r="V45" s="107"/>
    </row>
    <row r="46" ht="15.75" customHeight="1">
      <c r="A46" s="89"/>
      <c r="B46" s="177"/>
      <c r="C46" s="97"/>
      <c r="D46" s="95"/>
      <c r="E46" s="176"/>
      <c r="F46" s="144"/>
      <c r="G46" s="95"/>
      <c r="H46" s="96"/>
      <c r="I46" s="103"/>
      <c r="J46" s="95"/>
      <c r="K46" s="113"/>
      <c r="L46" s="113"/>
      <c r="M46" s="100"/>
      <c r="N46" s="127"/>
      <c r="O46" s="128"/>
      <c r="P46" s="95"/>
      <c r="Q46" s="95"/>
      <c r="R46" s="129"/>
      <c r="S46" s="95"/>
      <c r="T46" s="95"/>
      <c r="V46" s="107"/>
    </row>
    <row r="47" ht="15.75" customHeight="1">
      <c r="A47" s="89"/>
      <c r="B47" s="177"/>
      <c r="C47" s="97"/>
      <c r="D47" s="95"/>
      <c r="E47" s="176"/>
      <c r="F47" s="144"/>
      <c r="G47" s="95"/>
      <c r="H47" s="96"/>
      <c r="I47" s="103"/>
      <c r="J47" s="95"/>
      <c r="K47" s="99"/>
      <c r="L47" s="99"/>
      <c r="M47" s="100"/>
      <c r="N47" s="101"/>
      <c r="O47" s="102"/>
      <c r="P47" s="95"/>
      <c r="Q47" s="114"/>
      <c r="R47" s="115"/>
      <c r="S47" s="103"/>
      <c r="T47" s="103"/>
      <c r="V47" s="107"/>
    </row>
    <row r="48" ht="15.75" customHeight="1">
      <c r="A48" s="89"/>
      <c r="B48" s="177"/>
      <c r="C48" s="97"/>
      <c r="D48" s="95"/>
      <c r="E48" s="176"/>
      <c r="F48" s="144"/>
      <c r="G48" s="95"/>
      <c r="H48" s="96"/>
      <c r="I48" s="103"/>
      <c r="J48" s="95"/>
      <c r="K48" s="113"/>
      <c r="L48" s="113"/>
      <c r="M48" s="100"/>
      <c r="N48" s="101"/>
      <c r="O48" s="102"/>
      <c r="P48" s="95"/>
      <c r="Q48" s="135"/>
      <c r="R48" s="106"/>
      <c r="S48" s="103"/>
      <c r="T48" s="103"/>
      <c r="V48" s="107"/>
    </row>
    <row r="49" ht="15.75" customHeight="1">
      <c r="A49" s="89"/>
      <c r="B49" s="177"/>
      <c r="C49" s="97"/>
      <c r="D49" s="95"/>
      <c r="E49" s="176"/>
      <c r="F49" s="144"/>
      <c r="G49" s="95"/>
      <c r="H49" s="96"/>
      <c r="I49" s="103"/>
      <c r="J49" s="95"/>
      <c r="K49" s="99"/>
      <c r="L49" s="99"/>
      <c r="M49" s="100"/>
      <c r="N49" s="101"/>
      <c r="O49" s="102"/>
      <c r="P49" s="95"/>
      <c r="Q49" s="135"/>
      <c r="R49" s="106"/>
      <c r="S49" s="103"/>
      <c r="T49" s="103"/>
      <c r="V49" s="107"/>
    </row>
    <row r="50" ht="15.75" customHeight="1">
      <c r="A50" s="89"/>
      <c r="B50" s="177"/>
      <c r="C50" s="103"/>
      <c r="D50" s="95"/>
      <c r="E50" s="176"/>
      <c r="F50" s="146"/>
      <c r="G50" s="95"/>
      <c r="H50" s="96"/>
      <c r="I50" s="103"/>
      <c r="J50" s="95"/>
      <c r="K50" s="113"/>
      <c r="L50" s="113"/>
      <c r="M50" s="100"/>
      <c r="N50" s="127"/>
      <c r="O50" s="128"/>
      <c r="P50" s="95"/>
      <c r="Q50" s="95"/>
      <c r="R50" s="129"/>
      <c r="S50" s="95"/>
      <c r="T50" s="103"/>
      <c r="V50" s="107"/>
    </row>
    <row r="51" ht="15.75" customHeight="1">
      <c r="A51" s="89"/>
      <c r="B51" s="177"/>
      <c r="C51" s="103"/>
      <c r="D51" s="95"/>
      <c r="E51" s="176"/>
      <c r="F51" s="179"/>
      <c r="G51" s="95"/>
      <c r="H51" s="96"/>
      <c r="I51" s="103"/>
      <c r="J51" s="95"/>
      <c r="K51" s="99"/>
      <c r="L51" s="99"/>
      <c r="M51" s="100"/>
      <c r="N51" s="101"/>
      <c r="O51" s="102"/>
      <c r="P51" s="95"/>
      <c r="Q51" s="137"/>
      <c r="R51" s="129"/>
      <c r="S51" s="103"/>
      <c r="T51" s="103"/>
      <c r="V51" s="107"/>
    </row>
    <row r="52" ht="15.75" customHeight="1">
      <c r="A52" s="89"/>
      <c r="B52" s="177"/>
      <c r="C52" s="103"/>
      <c r="D52" s="95"/>
      <c r="E52" s="176"/>
      <c r="F52" s="144"/>
      <c r="G52" s="95"/>
      <c r="H52" s="96"/>
      <c r="I52" s="103"/>
      <c r="J52" s="95"/>
      <c r="K52" s="113"/>
      <c r="L52" s="113"/>
      <c r="M52" s="100"/>
      <c r="N52" s="127"/>
      <c r="O52" s="128"/>
      <c r="P52" s="95"/>
      <c r="Q52" s="137"/>
      <c r="R52" s="129"/>
      <c r="S52" s="95"/>
      <c r="T52" s="95"/>
      <c r="V52" s="107"/>
    </row>
    <row r="53" ht="15.75" customHeight="1">
      <c r="A53" s="89"/>
      <c r="B53" s="177"/>
      <c r="C53" s="97"/>
      <c r="D53" s="95"/>
      <c r="E53" s="176"/>
      <c r="F53" s="144"/>
      <c r="G53" s="95"/>
      <c r="H53" s="96"/>
      <c r="I53" s="103"/>
      <c r="J53" s="95"/>
      <c r="K53" s="99"/>
      <c r="L53" s="99"/>
      <c r="M53" s="100"/>
      <c r="N53" s="127"/>
      <c r="O53" s="128"/>
      <c r="P53" s="95"/>
      <c r="Q53" s="135"/>
      <c r="R53" s="106"/>
      <c r="S53" s="95"/>
      <c r="T53" s="103"/>
      <c r="V53" s="107"/>
    </row>
    <row r="54" ht="15.75" customHeight="1">
      <c r="A54" s="89"/>
      <c r="B54" s="177"/>
      <c r="C54" s="96"/>
      <c r="D54" s="95"/>
      <c r="E54" s="176"/>
      <c r="F54" s="144"/>
      <c r="G54" s="95"/>
      <c r="H54" s="96"/>
      <c r="I54" s="103"/>
      <c r="J54" s="95"/>
      <c r="K54" s="113"/>
      <c r="L54" s="113"/>
      <c r="M54" s="100"/>
      <c r="N54" s="101"/>
      <c r="O54" s="102"/>
      <c r="P54" s="95"/>
      <c r="Q54" s="135"/>
      <c r="R54" s="139"/>
      <c r="S54" s="103"/>
      <c r="T54" s="103"/>
      <c r="V54" s="107"/>
    </row>
    <row r="55" ht="15.75" customHeight="1">
      <c r="A55" s="89"/>
      <c r="B55" s="177"/>
      <c r="C55" s="96"/>
      <c r="D55" s="95"/>
      <c r="E55" s="176"/>
      <c r="F55" s="146"/>
      <c r="G55" s="95"/>
      <c r="H55" s="96"/>
      <c r="I55" s="103"/>
      <c r="J55" s="95"/>
      <c r="K55" s="99"/>
      <c r="L55" s="99"/>
      <c r="M55" s="100"/>
      <c r="N55" s="101"/>
      <c r="O55" s="102"/>
      <c r="P55" s="95"/>
      <c r="Q55" s="135"/>
      <c r="R55" s="106"/>
      <c r="S55" s="103"/>
      <c r="T55" s="103"/>
      <c r="V55" s="107"/>
    </row>
    <row r="56" ht="15.75" customHeight="1">
      <c r="A56" s="89"/>
      <c r="B56" s="177"/>
      <c r="C56" s="96"/>
      <c r="D56" s="95"/>
      <c r="E56" s="176"/>
      <c r="F56" s="144"/>
      <c r="G56" s="95"/>
      <c r="H56" s="96"/>
      <c r="I56" s="103"/>
      <c r="J56" s="95"/>
      <c r="K56" s="113"/>
      <c r="L56" s="113"/>
      <c r="M56" s="100"/>
      <c r="N56" s="127"/>
      <c r="O56" s="128"/>
      <c r="P56" s="95"/>
      <c r="Q56" s="114"/>
      <c r="R56" s="106"/>
      <c r="S56" s="95"/>
      <c r="T56" s="103"/>
      <c r="V56" s="107"/>
    </row>
    <row r="57" ht="15.75" customHeight="1">
      <c r="A57" s="89"/>
      <c r="B57" s="177"/>
      <c r="C57" s="96"/>
      <c r="D57" s="95"/>
      <c r="E57" s="176"/>
      <c r="F57" s="144"/>
      <c r="G57" s="95"/>
      <c r="H57" s="96"/>
      <c r="I57" s="103"/>
      <c r="J57" s="95"/>
      <c r="K57" s="99"/>
      <c r="L57" s="99"/>
      <c r="M57" s="100"/>
      <c r="N57" s="127"/>
      <c r="O57" s="128"/>
      <c r="P57" s="95"/>
      <c r="Q57" s="137"/>
      <c r="R57" s="129"/>
      <c r="S57" s="95"/>
      <c r="T57" s="103"/>
      <c r="V57" s="107"/>
    </row>
    <row r="58" ht="15.75" customHeight="1">
      <c r="A58" s="89"/>
      <c r="B58" s="177"/>
      <c r="C58" s="106"/>
      <c r="D58" s="95"/>
      <c r="E58" s="176"/>
      <c r="F58" s="144"/>
      <c r="G58" s="95"/>
      <c r="H58" s="96"/>
      <c r="I58" s="103"/>
      <c r="J58" s="95"/>
      <c r="K58" s="113"/>
      <c r="L58" s="113"/>
      <c r="M58" s="100"/>
      <c r="N58" s="101"/>
      <c r="O58" s="102"/>
      <c r="P58" s="95"/>
      <c r="Q58" s="114"/>
      <c r="R58" s="106"/>
      <c r="S58" s="103"/>
      <c r="T58" s="103"/>
      <c r="V58" s="107"/>
    </row>
    <row r="59" ht="15.75" customHeight="1">
      <c r="A59" s="89"/>
      <c r="B59" s="177"/>
      <c r="C59" s="106"/>
      <c r="D59" s="95"/>
      <c r="E59" s="176"/>
      <c r="F59" s="144"/>
      <c r="G59" s="95"/>
      <c r="H59" s="96"/>
      <c r="I59" s="103"/>
      <c r="J59" s="95"/>
      <c r="K59" s="99"/>
      <c r="L59" s="99"/>
      <c r="M59" s="100"/>
      <c r="N59" s="127"/>
      <c r="O59" s="128"/>
      <c r="P59" s="95"/>
      <c r="Q59" s="95"/>
      <c r="R59" s="129"/>
      <c r="S59" s="95"/>
      <c r="T59" s="95"/>
      <c r="V59" s="107"/>
    </row>
    <row r="60" ht="15.75" customHeight="1">
      <c r="A60" s="89"/>
      <c r="B60" s="177"/>
      <c r="C60" s="106"/>
      <c r="D60" s="95"/>
      <c r="E60" s="96"/>
      <c r="F60" s="144"/>
      <c r="G60" s="95"/>
      <c r="H60" s="96"/>
      <c r="I60" s="103"/>
      <c r="J60" s="95"/>
      <c r="K60" s="113"/>
      <c r="L60" s="113"/>
      <c r="M60" s="100"/>
      <c r="N60" s="127"/>
      <c r="O60" s="128"/>
      <c r="P60" s="95"/>
      <c r="Q60" s="114"/>
      <c r="R60" s="106"/>
      <c r="S60" s="95"/>
      <c r="T60" s="103"/>
      <c r="V60" s="107"/>
    </row>
    <row r="61" ht="15.75" customHeight="1">
      <c r="A61" s="89"/>
      <c r="B61" s="177"/>
      <c r="C61" s="96"/>
      <c r="D61" s="95"/>
      <c r="E61" s="176"/>
      <c r="F61" s="146"/>
      <c r="G61" s="95"/>
      <c r="H61" s="96"/>
      <c r="I61" s="103"/>
      <c r="J61" s="95"/>
      <c r="K61" s="99"/>
      <c r="L61" s="99"/>
      <c r="M61" s="100"/>
      <c r="N61" s="127"/>
      <c r="O61" s="128"/>
      <c r="P61" s="95"/>
      <c r="Q61" s="95"/>
      <c r="R61" s="129"/>
      <c r="S61" s="95"/>
      <c r="T61" s="95"/>
      <c r="V61" s="107"/>
    </row>
    <row r="62" ht="15.75" customHeight="1">
      <c r="A62" s="89"/>
      <c r="B62" s="177"/>
      <c r="C62" s="96"/>
      <c r="D62" s="95"/>
      <c r="E62" s="176"/>
      <c r="F62" s="144"/>
      <c r="G62" s="95"/>
      <c r="H62" s="96"/>
      <c r="I62" s="103"/>
      <c r="J62" s="95"/>
      <c r="K62" s="113"/>
      <c r="L62" s="113"/>
      <c r="M62" s="100"/>
      <c r="N62" s="127"/>
      <c r="O62" s="128"/>
      <c r="P62" s="95"/>
      <c r="Q62" s="95"/>
      <c r="R62" s="129"/>
      <c r="S62" s="95"/>
      <c r="T62" s="95"/>
      <c r="V62" s="107"/>
    </row>
    <row r="63" ht="15.75" customHeight="1">
      <c r="A63" s="89"/>
      <c r="B63" s="177"/>
      <c r="C63" s="140"/>
      <c r="D63" s="95"/>
      <c r="E63" s="176"/>
      <c r="F63" s="146"/>
      <c r="G63" s="95"/>
      <c r="H63" s="96"/>
      <c r="I63" s="103"/>
      <c r="J63" s="95"/>
      <c r="K63" s="99"/>
      <c r="L63" s="99"/>
      <c r="M63" s="100"/>
      <c r="N63" s="127"/>
      <c r="O63" s="128"/>
      <c r="P63" s="95"/>
      <c r="Q63" s="95"/>
      <c r="R63" s="129"/>
      <c r="S63" s="95"/>
      <c r="T63" s="95"/>
      <c r="V63" s="107"/>
    </row>
    <row r="64" ht="15.75" customHeight="1">
      <c r="A64" s="89"/>
      <c r="B64" s="177"/>
      <c r="C64" s="141"/>
      <c r="D64" s="95"/>
      <c r="E64" s="176"/>
      <c r="F64" s="144"/>
      <c r="G64" s="95"/>
      <c r="H64" s="96"/>
      <c r="I64" s="103"/>
      <c r="J64" s="95"/>
      <c r="K64" s="113"/>
      <c r="L64" s="113"/>
      <c r="M64" s="100"/>
      <c r="N64" s="101"/>
      <c r="O64" s="102"/>
      <c r="P64" s="95"/>
      <c r="Q64" s="114"/>
      <c r="R64" s="115"/>
      <c r="S64" s="103"/>
      <c r="T64" s="103"/>
      <c r="V64" s="107"/>
    </row>
    <row r="65" ht="15.75" customHeight="1">
      <c r="A65" s="89"/>
      <c r="B65" s="177"/>
      <c r="C65" s="97"/>
      <c r="D65" s="95"/>
      <c r="E65" s="176"/>
      <c r="F65" s="144"/>
      <c r="G65" s="95"/>
      <c r="H65" s="96"/>
      <c r="I65" s="103"/>
      <c r="J65" s="95"/>
      <c r="K65" s="99"/>
      <c r="L65" s="99"/>
      <c r="M65" s="100"/>
      <c r="N65" s="101"/>
      <c r="O65" s="102"/>
      <c r="P65" s="95"/>
      <c r="Q65" s="135"/>
      <c r="R65" s="115"/>
      <c r="S65" s="103"/>
      <c r="T65" s="103"/>
      <c r="V65" s="107"/>
    </row>
    <row r="66" ht="15.75" customHeight="1">
      <c r="A66" s="89"/>
      <c r="B66" s="177"/>
      <c r="C66" s="106"/>
      <c r="D66" s="95"/>
      <c r="E66" s="176"/>
      <c r="F66" s="144"/>
      <c r="G66" s="95"/>
      <c r="H66" s="96"/>
      <c r="I66" s="103"/>
      <c r="J66" s="95"/>
      <c r="K66" s="113"/>
      <c r="L66" s="113"/>
      <c r="M66" s="100"/>
      <c r="N66" s="127"/>
      <c r="O66" s="128"/>
      <c r="P66" s="95"/>
      <c r="Q66" s="95"/>
      <c r="R66" s="129"/>
      <c r="S66" s="95"/>
      <c r="T66" s="95"/>
      <c r="V66" s="107"/>
    </row>
    <row r="67" ht="15.75" customHeight="1">
      <c r="A67" s="89"/>
      <c r="B67" s="177"/>
      <c r="C67" s="106"/>
      <c r="D67" s="95"/>
      <c r="E67" s="96"/>
      <c r="F67" s="144"/>
      <c r="G67" s="95"/>
      <c r="H67" s="96"/>
      <c r="I67" s="103"/>
      <c r="J67" s="95"/>
      <c r="K67" s="99"/>
      <c r="L67" s="99"/>
      <c r="M67" s="100"/>
      <c r="N67" s="127"/>
      <c r="O67" s="128"/>
      <c r="P67" s="95"/>
      <c r="Q67" s="135"/>
      <c r="R67" s="106"/>
      <c r="S67" s="103"/>
      <c r="T67" s="103"/>
      <c r="V67" s="107"/>
    </row>
    <row r="68" ht="15.75" customHeight="1">
      <c r="A68" s="89"/>
      <c r="B68" s="177"/>
      <c r="C68" s="106"/>
      <c r="D68" s="95"/>
      <c r="E68" s="96"/>
      <c r="F68" s="144"/>
      <c r="G68" s="95"/>
      <c r="H68" s="96"/>
      <c r="I68" s="103"/>
      <c r="J68" s="95"/>
      <c r="K68" s="113"/>
      <c r="L68" s="113"/>
      <c r="M68" s="100"/>
      <c r="N68" s="127"/>
      <c r="O68" s="128"/>
      <c r="P68" s="95"/>
      <c r="Q68" s="135"/>
      <c r="R68" s="129"/>
      <c r="S68" s="95"/>
      <c r="T68" s="103"/>
      <c r="V68" s="107"/>
    </row>
    <row r="69" ht="15.75" customHeight="1">
      <c r="A69" s="89"/>
      <c r="B69" s="177"/>
      <c r="C69" s="96"/>
      <c r="D69" s="95"/>
      <c r="E69" s="96"/>
      <c r="F69" s="146"/>
      <c r="G69" s="95"/>
      <c r="H69" s="96"/>
      <c r="I69" s="103"/>
      <c r="J69" s="95"/>
      <c r="K69" s="99"/>
      <c r="L69" s="99"/>
      <c r="M69" s="100"/>
      <c r="N69" s="127"/>
      <c r="O69" s="128"/>
      <c r="P69" s="95"/>
      <c r="Q69" s="114"/>
      <c r="R69" s="106"/>
      <c r="S69" s="103"/>
      <c r="T69" s="103"/>
      <c r="V69" s="107"/>
    </row>
    <row r="70" ht="15.75" customHeight="1">
      <c r="A70" s="89"/>
      <c r="B70" s="177"/>
      <c r="C70" s="96"/>
      <c r="D70" s="95"/>
      <c r="E70" s="96"/>
      <c r="F70" s="144"/>
      <c r="G70" s="95"/>
      <c r="H70" s="96"/>
      <c r="I70" s="103"/>
      <c r="J70" s="95"/>
      <c r="K70" s="113"/>
      <c r="L70" s="113"/>
      <c r="M70" s="100"/>
      <c r="N70" s="127"/>
      <c r="O70" s="128"/>
      <c r="P70" s="95"/>
      <c r="Q70" s="137"/>
      <c r="R70" s="129"/>
      <c r="S70" s="95"/>
      <c r="T70" s="95"/>
      <c r="V70" s="107"/>
    </row>
    <row r="71" ht="15.75" customHeight="1">
      <c r="A71" s="89"/>
      <c r="B71" s="177"/>
      <c r="C71" s="96"/>
      <c r="D71" s="95"/>
      <c r="E71" s="96"/>
      <c r="F71" s="144"/>
      <c r="G71" s="95"/>
      <c r="H71" s="96"/>
      <c r="I71" s="103"/>
      <c r="J71" s="95"/>
      <c r="K71" s="99"/>
      <c r="L71" s="99"/>
      <c r="M71" s="100"/>
      <c r="N71" s="127"/>
      <c r="O71" s="128"/>
      <c r="P71" s="95"/>
      <c r="Q71" s="135"/>
      <c r="R71" s="106"/>
      <c r="S71" s="103"/>
      <c r="T71" s="103"/>
      <c r="V71" s="107"/>
    </row>
    <row r="72" ht="15.75" customHeight="1">
      <c r="A72" s="89"/>
      <c r="B72" s="177"/>
      <c r="C72" s="96"/>
      <c r="D72" s="95"/>
      <c r="E72" s="176"/>
      <c r="F72" s="144"/>
      <c r="G72" s="95"/>
      <c r="H72" s="96"/>
      <c r="I72" s="103"/>
      <c r="J72" s="95"/>
      <c r="K72" s="113"/>
      <c r="L72" s="113"/>
      <c r="M72" s="100"/>
      <c r="N72" s="101"/>
      <c r="O72" s="128"/>
      <c r="P72" s="95"/>
      <c r="Q72" s="135"/>
      <c r="R72" s="106"/>
      <c r="S72" s="103"/>
      <c r="T72" s="103"/>
      <c r="V72" s="107"/>
    </row>
    <row r="73" ht="15.75" customHeight="1">
      <c r="A73" s="89"/>
      <c r="B73" s="177"/>
      <c r="C73" s="96"/>
      <c r="D73" s="95"/>
      <c r="E73" s="176"/>
      <c r="F73" s="146"/>
      <c r="G73" s="95"/>
      <c r="H73" s="96"/>
      <c r="I73" s="103"/>
      <c r="J73" s="95"/>
      <c r="K73" s="99"/>
      <c r="L73" s="99"/>
      <c r="M73" s="100"/>
      <c r="N73" s="101"/>
      <c r="O73" s="128"/>
      <c r="P73" s="95"/>
      <c r="Q73" s="114"/>
      <c r="R73" s="106"/>
      <c r="S73" s="103"/>
      <c r="T73" s="103"/>
      <c r="V73" s="107"/>
    </row>
    <row r="74" ht="15.75" customHeight="1">
      <c r="A74" s="89"/>
      <c r="B74" s="177"/>
      <c r="C74" s="106"/>
      <c r="D74" s="95"/>
      <c r="E74" s="176"/>
      <c r="F74" s="144"/>
      <c r="G74" s="95"/>
      <c r="H74" s="96"/>
      <c r="I74" s="103"/>
      <c r="J74" s="95"/>
      <c r="K74" s="113"/>
      <c r="L74" s="113"/>
      <c r="M74" s="100"/>
      <c r="N74" s="101"/>
      <c r="O74" s="128"/>
      <c r="P74" s="95"/>
      <c r="Q74" s="114"/>
      <c r="R74" s="106"/>
      <c r="S74" s="103"/>
      <c r="T74" s="103"/>
      <c r="V74" s="107"/>
    </row>
    <row r="75" ht="15.75" customHeight="1">
      <c r="A75" s="89"/>
      <c r="B75" s="177"/>
      <c r="C75" s="106"/>
      <c r="D75" s="95"/>
      <c r="E75" s="176"/>
      <c r="F75" s="144"/>
      <c r="G75" s="95"/>
      <c r="H75" s="96"/>
      <c r="I75" s="103"/>
      <c r="J75" s="95"/>
      <c r="K75" s="99"/>
      <c r="L75" s="99"/>
      <c r="M75" s="100"/>
      <c r="N75" s="127"/>
      <c r="O75" s="128"/>
      <c r="P75" s="95"/>
      <c r="Q75" s="137"/>
      <c r="R75" s="129"/>
      <c r="S75" s="95"/>
      <c r="T75" s="95"/>
      <c r="V75" s="107"/>
    </row>
    <row r="76" ht="15.75" customHeight="1">
      <c r="A76" s="89"/>
      <c r="B76" s="177"/>
      <c r="C76" s="96"/>
      <c r="D76" s="95"/>
      <c r="E76" s="176"/>
      <c r="F76" s="144"/>
      <c r="G76" s="95"/>
      <c r="H76" s="96"/>
      <c r="I76" s="103"/>
      <c r="J76" s="95"/>
      <c r="K76" s="113"/>
      <c r="L76" s="113"/>
      <c r="M76" s="100"/>
      <c r="N76" s="101"/>
      <c r="O76" s="128"/>
      <c r="P76" s="95"/>
      <c r="Q76" s="114"/>
      <c r="R76" s="106"/>
      <c r="S76" s="103"/>
      <c r="T76" s="103"/>
      <c r="V76" s="107"/>
    </row>
    <row r="77" ht="15.75" customHeight="1">
      <c r="A77" s="89"/>
      <c r="B77" s="177"/>
      <c r="C77" s="96"/>
      <c r="D77" s="95"/>
      <c r="E77" s="96"/>
      <c r="F77" s="144"/>
      <c r="G77" s="95"/>
      <c r="H77" s="96"/>
      <c r="I77" s="103"/>
      <c r="J77" s="95"/>
      <c r="K77" s="99"/>
      <c r="L77" s="99"/>
      <c r="M77" s="100"/>
      <c r="N77" s="127"/>
      <c r="O77" s="128"/>
      <c r="P77" s="95"/>
      <c r="Q77" s="137"/>
      <c r="R77" s="129"/>
      <c r="S77" s="95"/>
      <c r="T77" s="95"/>
      <c r="V77" s="107"/>
    </row>
    <row r="78" ht="15.75" customHeight="1">
      <c r="A78" s="89"/>
      <c r="B78" s="177"/>
      <c r="C78" s="96"/>
      <c r="D78" s="95"/>
      <c r="E78" s="176"/>
      <c r="F78" s="144"/>
      <c r="G78" s="95"/>
      <c r="H78" s="96"/>
      <c r="I78" s="103"/>
      <c r="J78" s="95"/>
      <c r="K78" s="113"/>
      <c r="L78" s="113"/>
      <c r="M78" s="100"/>
      <c r="N78" s="101"/>
      <c r="O78" s="128"/>
      <c r="P78" s="95"/>
      <c r="Q78" s="114"/>
      <c r="R78" s="106"/>
      <c r="S78" s="103"/>
      <c r="T78" s="103"/>
      <c r="V78" s="107"/>
    </row>
    <row r="79" ht="15.75" customHeight="1">
      <c r="A79" s="89"/>
      <c r="B79" s="177"/>
      <c r="C79" s="96"/>
      <c r="D79" s="95"/>
      <c r="E79" s="176"/>
      <c r="F79" s="144"/>
      <c r="G79" s="95"/>
      <c r="H79" s="96"/>
      <c r="I79" s="103"/>
      <c r="J79" s="95"/>
      <c r="K79" s="99"/>
      <c r="L79" s="99"/>
      <c r="M79" s="100"/>
      <c r="N79" s="127"/>
      <c r="O79" s="128"/>
      <c r="P79" s="95"/>
      <c r="Q79" s="137"/>
      <c r="R79" s="129"/>
      <c r="S79" s="95"/>
      <c r="T79" s="95"/>
      <c r="V79" s="107"/>
    </row>
    <row r="80" ht="15.75" customHeight="1">
      <c r="A80" s="89"/>
      <c r="B80" s="177"/>
      <c r="C80" s="96"/>
      <c r="D80" s="95"/>
      <c r="E80" s="176"/>
      <c r="F80" s="144"/>
      <c r="G80" s="95"/>
      <c r="H80" s="96"/>
      <c r="I80" s="103"/>
      <c r="J80" s="95"/>
      <c r="K80" s="113"/>
      <c r="L80" s="113"/>
      <c r="M80" s="100"/>
      <c r="N80" s="101"/>
      <c r="O80" s="102"/>
      <c r="P80" s="95"/>
      <c r="Q80" s="135"/>
      <c r="R80" s="106"/>
      <c r="S80" s="103"/>
      <c r="T80" s="103"/>
      <c r="V80" s="107"/>
    </row>
    <row r="81" ht="15.75" customHeight="1">
      <c r="A81" s="89"/>
      <c r="B81" s="177"/>
      <c r="C81" s="106"/>
      <c r="D81" s="95"/>
      <c r="E81" s="176"/>
      <c r="F81" s="144"/>
      <c r="G81" s="95"/>
      <c r="H81" s="96"/>
      <c r="I81" s="103"/>
      <c r="J81" s="95"/>
      <c r="K81" s="99"/>
      <c r="L81" s="99"/>
      <c r="M81" s="100"/>
      <c r="N81" s="101"/>
      <c r="O81" s="102"/>
      <c r="P81" s="95"/>
      <c r="Q81" s="114"/>
      <c r="R81" s="142"/>
      <c r="S81" s="103"/>
      <c r="T81" s="103"/>
      <c r="V81" s="107"/>
    </row>
    <row r="82" ht="15.75" customHeight="1">
      <c r="A82" s="89"/>
      <c r="B82" s="177"/>
      <c r="C82" s="106"/>
      <c r="D82" s="95"/>
      <c r="E82" s="176"/>
      <c r="F82" s="144"/>
      <c r="G82" s="95"/>
      <c r="H82" s="96"/>
      <c r="I82" s="103"/>
      <c r="J82" s="95"/>
      <c r="K82" s="113"/>
      <c r="L82" s="113"/>
      <c r="M82" s="100"/>
      <c r="N82" s="101"/>
      <c r="O82" s="102"/>
      <c r="P82" s="95"/>
      <c r="Q82" s="114"/>
      <c r="R82" s="106"/>
      <c r="S82" s="103"/>
      <c r="T82" s="103"/>
      <c r="V82" s="107"/>
    </row>
    <row r="83" ht="15.75" customHeight="1">
      <c r="A83" s="89"/>
      <c r="B83" s="177"/>
      <c r="C83" s="96"/>
      <c r="D83" s="95"/>
      <c r="E83" s="176"/>
      <c r="F83" s="144"/>
      <c r="G83" s="95"/>
      <c r="H83" s="96"/>
      <c r="I83" s="103"/>
      <c r="J83" s="95"/>
      <c r="K83" s="99"/>
      <c r="L83" s="99"/>
      <c r="M83" s="100"/>
      <c r="N83" s="127"/>
      <c r="O83" s="128"/>
      <c r="P83" s="95"/>
      <c r="Q83" s="137"/>
      <c r="R83" s="129"/>
      <c r="S83" s="95"/>
      <c r="T83" s="95"/>
      <c r="V83" s="107"/>
    </row>
    <row r="84" ht="15.75" customHeight="1">
      <c r="A84" s="89"/>
      <c r="B84" s="177"/>
      <c r="C84" s="96"/>
      <c r="D84" s="95"/>
      <c r="E84" s="176"/>
      <c r="F84" s="144"/>
      <c r="G84" s="95"/>
      <c r="H84" s="96"/>
      <c r="I84" s="103"/>
      <c r="J84" s="95"/>
      <c r="K84" s="113"/>
      <c r="L84" s="113"/>
      <c r="M84" s="100"/>
      <c r="N84" s="127"/>
      <c r="O84" s="128"/>
      <c r="P84" s="95"/>
      <c r="Q84" s="95"/>
      <c r="R84" s="129"/>
      <c r="S84" s="95"/>
      <c r="T84" s="95"/>
      <c r="V84" s="107"/>
    </row>
    <row r="85" ht="15.75" customHeight="1">
      <c r="A85" s="89"/>
      <c r="B85" s="177"/>
      <c r="C85" s="143"/>
      <c r="D85" s="95"/>
      <c r="E85" s="176"/>
      <c r="F85" s="144"/>
      <c r="G85" s="95"/>
      <c r="H85" s="96"/>
      <c r="I85" s="103"/>
      <c r="J85" s="95"/>
      <c r="K85" s="99"/>
      <c r="L85" s="99"/>
      <c r="M85" s="100"/>
      <c r="N85" s="127"/>
      <c r="O85" s="128"/>
      <c r="P85" s="95"/>
      <c r="Q85" s="137"/>
      <c r="R85" s="129"/>
      <c r="S85" s="95"/>
      <c r="T85" s="95"/>
      <c r="V85" s="107"/>
    </row>
    <row r="86" ht="15.75" customHeight="1">
      <c r="A86" s="89"/>
      <c r="B86" s="177"/>
      <c r="C86" s="97"/>
      <c r="D86" s="95"/>
      <c r="E86" s="176"/>
      <c r="F86" s="144"/>
      <c r="G86" s="95"/>
      <c r="H86" s="96"/>
      <c r="I86" s="103"/>
      <c r="J86" s="95"/>
      <c r="K86" s="113"/>
      <c r="L86" s="113"/>
      <c r="M86" s="100"/>
      <c r="N86" s="101"/>
      <c r="O86" s="102"/>
      <c r="P86" s="95"/>
      <c r="Q86" s="135"/>
      <c r="R86" s="115"/>
      <c r="S86" s="103"/>
      <c r="T86" s="103"/>
      <c r="V86" s="107"/>
    </row>
    <row r="87" ht="15.75" customHeight="1">
      <c r="A87" s="89"/>
      <c r="B87" s="177"/>
      <c r="C87" s="96"/>
      <c r="D87" s="95"/>
      <c r="E87" s="176"/>
      <c r="F87" s="144"/>
      <c r="G87" s="95"/>
      <c r="H87" s="96"/>
      <c r="I87" s="103"/>
      <c r="J87" s="95"/>
      <c r="K87" s="99"/>
      <c r="L87" s="99"/>
      <c r="M87" s="100"/>
      <c r="N87" s="127"/>
      <c r="O87" s="102"/>
      <c r="P87" s="95"/>
      <c r="Q87" s="137"/>
      <c r="R87" s="106"/>
      <c r="S87" s="103"/>
      <c r="T87" s="103"/>
      <c r="V87" s="107"/>
    </row>
    <row r="88" ht="15.75" customHeight="1">
      <c r="A88" s="89"/>
      <c r="B88" s="177"/>
      <c r="C88" s="96"/>
      <c r="D88" s="95"/>
      <c r="E88" s="176"/>
      <c r="F88" s="144"/>
      <c r="G88" s="95"/>
      <c r="H88" s="96"/>
      <c r="I88" s="103"/>
      <c r="J88" s="95"/>
      <c r="K88" s="113"/>
      <c r="L88" s="113"/>
      <c r="M88" s="100"/>
      <c r="N88" s="101"/>
      <c r="O88" s="102"/>
      <c r="P88" s="95"/>
      <c r="Q88" s="114"/>
      <c r="R88" s="106"/>
      <c r="S88" s="103"/>
      <c r="T88" s="103"/>
      <c r="V88" s="107"/>
    </row>
    <row r="89" ht="15.75" customHeight="1">
      <c r="A89" s="89"/>
      <c r="B89" s="177"/>
      <c r="C89" s="96"/>
      <c r="D89" s="95"/>
      <c r="E89" s="176"/>
      <c r="F89" s="144"/>
      <c r="G89" s="95"/>
      <c r="H89" s="96"/>
      <c r="I89" s="103"/>
      <c r="J89" s="95"/>
      <c r="K89" s="99"/>
      <c r="L89" s="99"/>
      <c r="M89" s="100"/>
      <c r="N89" s="127"/>
      <c r="O89" s="128"/>
      <c r="P89" s="95"/>
      <c r="Q89" s="95"/>
      <c r="R89" s="129"/>
      <c r="S89" s="95"/>
      <c r="T89" s="95"/>
      <c r="V89" s="107"/>
    </row>
    <row r="90" ht="15.75" customHeight="1">
      <c r="A90" s="89"/>
      <c r="B90" s="177"/>
      <c r="C90" s="144"/>
      <c r="D90" s="95"/>
      <c r="E90" s="176"/>
      <c r="F90" s="180"/>
      <c r="G90" s="95"/>
      <c r="H90" s="96"/>
      <c r="I90" s="103"/>
      <c r="J90" s="95"/>
      <c r="K90" s="113"/>
      <c r="L90" s="113"/>
      <c r="M90" s="100"/>
      <c r="N90" s="101"/>
      <c r="O90" s="102"/>
      <c r="P90" s="95"/>
      <c r="Q90" s="103"/>
      <c r="R90" s="106"/>
      <c r="S90" s="103"/>
      <c r="T90" s="103"/>
      <c r="V90" s="107"/>
    </row>
    <row r="91" ht="15.75" customHeight="1">
      <c r="A91" s="89"/>
      <c r="B91" s="177"/>
      <c r="C91" s="146"/>
      <c r="D91" s="95"/>
      <c r="E91" s="176"/>
      <c r="F91" s="144"/>
      <c r="G91" s="95"/>
      <c r="H91" s="96"/>
      <c r="I91" s="103"/>
      <c r="J91" s="95"/>
      <c r="K91" s="99"/>
      <c r="L91" s="99"/>
      <c r="M91" s="100"/>
      <c r="N91" s="127"/>
      <c r="O91" s="128"/>
      <c r="P91" s="95"/>
      <c r="Q91" s="95"/>
      <c r="R91" s="129"/>
      <c r="S91" s="95"/>
      <c r="T91" s="95"/>
      <c r="V91" s="107"/>
    </row>
    <row r="92" ht="15.75" customHeight="1">
      <c r="A92" s="89"/>
      <c r="B92" s="177"/>
      <c r="C92" s="144"/>
      <c r="D92" s="95"/>
      <c r="E92" s="176"/>
      <c r="F92" s="144"/>
      <c r="G92" s="95"/>
      <c r="H92" s="96"/>
      <c r="I92" s="103"/>
      <c r="J92" s="95"/>
      <c r="K92" s="113"/>
      <c r="L92" s="113"/>
      <c r="M92" s="100"/>
      <c r="N92" s="101"/>
      <c r="O92" s="102"/>
      <c r="P92" s="95"/>
      <c r="Q92" s="135"/>
      <c r="R92" s="106"/>
      <c r="S92" s="103"/>
      <c r="T92" s="103"/>
      <c r="V92" s="107"/>
    </row>
    <row r="93" ht="15.75" customHeight="1">
      <c r="A93" s="89"/>
      <c r="B93" s="177"/>
      <c r="C93" s="146"/>
      <c r="D93" s="95"/>
      <c r="E93" s="144"/>
      <c r="F93" s="144"/>
      <c r="G93" s="95"/>
      <c r="H93" s="96"/>
      <c r="I93" s="103"/>
      <c r="J93" s="95"/>
      <c r="K93" s="99"/>
      <c r="L93" s="99"/>
      <c r="M93" s="100"/>
      <c r="N93" s="127"/>
      <c r="O93" s="128"/>
      <c r="P93" s="95"/>
      <c r="Q93" s="137"/>
      <c r="R93" s="129"/>
      <c r="S93" s="95"/>
      <c r="T93" s="95"/>
      <c r="V93" s="107"/>
    </row>
    <row r="94" ht="15.75" customHeight="1">
      <c r="A94" s="89"/>
      <c r="B94" s="177"/>
      <c r="C94" s="96"/>
      <c r="D94" s="95"/>
      <c r="E94" s="176"/>
      <c r="F94" s="144"/>
      <c r="G94" s="95"/>
      <c r="H94" s="96"/>
      <c r="I94" s="103"/>
      <c r="J94" s="95"/>
      <c r="K94" s="113"/>
      <c r="L94" s="113"/>
      <c r="M94" s="100"/>
      <c r="N94" s="127"/>
      <c r="O94" s="128"/>
      <c r="P94" s="95"/>
      <c r="Q94" s="95"/>
      <c r="R94" s="129"/>
      <c r="S94" s="95"/>
      <c r="T94" s="95"/>
      <c r="V94" s="107"/>
    </row>
    <row r="95" ht="15.75" customHeight="1">
      <c r="A95" s="89"/>
      <c r="B95" s="177"/>
      <c r="C95" s="96"/>
      <c r="D95" s="95"/>
      <c r="E95" s="176"/>
      <c r="F95" s="144"/>
      <c r="G95" s="95"/>
      <c r="H95" s="96"/>
      <c r="I95" s="103"/>
      <c r="J95" s="95"/>
      <c r="K95" s="99"/>
      <c r="L95" s="99"/>
      <c r="M95" s="100"/>
      <c r="N95" s="101"/>
      <c r="O95" s="102"/>
      <c r="P95" s="95"/>
      <c r="Q95" s="114"/>
      <c r="R95" s="106"/>
      <c r="S95" s="103"/>
      <c r="T95" s="103"/>
      <c r="V95" s="107"/>
    </row>
    <row r="96" ht="15.75" customHeight="1">
      <c r="A96" s="89"/>
      <c r="B96" s="177"/>
      <c r="C96" s="96"/>
      <c r="D96" s="95"/>
      <c r="E96" s="176"/>
      <c r="F96" s="144"/>
      <c r="G96" s="95"/>
      <c r="H96" s="96"/>
      <c r="I96" s="103"/>
      <c r="J96" s="95"/>
      <c r="K96" s="113"/>
      <c r="L96" s="113"/>
      <c r="M96" s="100"/>
      <c r="N96" s="127"/>
      <c r="O96" s="128"/>
      <c r="P96" s="95"/>
      <c r="Q96" s="95"/>
      <c r="R96" s="129"/>
      <c r="S96" s="95"/>
      <c r="T96" s="95"/>
      <c r="V96" s="107"/>
    </row>
    <row r="97" ht="15.75" customHeight="1">
      <c r="A97" s="89"/>
      <c r="B97" s="177"/>
      <c r="C97" s="96"/>
      <c r="D97" s="95"/>
      <c r="E97" s="181"/>
      <c r="F97" s="144"/>
      <c r="G97" s="95"/>
      <c r="H97" s="96"/>
      <c r="I97" s="103"/>
      <c r="J97" s="95"/>
      <c r="K97" s="99"/>
      <c r="L97" s="99"/>
      <c r="M97" s="100"/>
      <c r="N97" s="127"/>
      <c r="O97" s="128"/>
      <c r="P97" s="95"/>
      <c r="Q97" s="137"/>
      <c r="R97" s="129"/>
      <c r="S97" s="95"/>
      <c r="T97" s="95"/>
      <c r="V97" s="107"/>
    </row>
    <row r="98" ht="15.75" customHeight="1">
      <c r="A98" s="89"/>
      <c r="B98" s="177"/>
      <c r="C98" s="106"/>
      <c r="D98" s="95"/>
      <c r="E98" s="176"/>
      <c r="F98" s="144"/>
      <c r="G98" s="95"/>
      <c r="H98" s="96"/>
      <c r="I98" s="103"/>
      <c r="J98" s="95"/>
      <c r="K98" s="113"/>
      <c r="L98" s="113"/>
      <c r="M98" s="100"/>
      <c r="N98" s="127"/>
      <c r="O98" s="128"/>
      <c r="P98" s="95"/>
      <c r="Q98" s="135"/>
      <c r="R98" s="106"/>
      <c r="S98" s="95"/>
      <c r="T98" s="103"/>
      <c r="V98" s="107"/>
    </row>
    <row r="99" ht="15.75" customHeight="1">
      <c r="A99" s="89"/>
      <c r="B99" s="177"/>
      <c r="C99" s="106"/>
      <c r="D99" s="95"/>
      <c r="E99" s="176"/>
      <c r="F99" s="144"/>
      <c r="G99" s="95"/>
      <c r="H99" s="96"/>
      <c r="I99" s="103"/>
      <c r="J99" s="95"/>
      <c r="K99" s="99"/>
      <c r="L99" s="99"/>
      <c r="M99" s="100"/>
      <c r="N99" s="127"/>
      <c r="O99" s="128"/>
      <c r="P99" s="95"/>
      <c r="Q99" s="135"/>
      <c r="R99" s="106"/>
      <c r="S99" s="95"/>
      <c r="T99" s="103"/>
      <c r="V99" s="107"/>
    </row>
    <row r="100" ht="15.75" customHeight="1">
      <c r="A100" s="89"/>
      <c r="B100" s="177"/>
      <c r="C100" s="96"/>
      <c r="D100" s="95"/>
      <c r="E100" s="96"/>
      <c r="F100" s="146"/>
      <c r="G100" s="95"/>
      <c r="H100" s="96"/>
      <c r="I100" s="103"/>
      <c r="J100" s="95"/>
      <c r="K100" s="113"/>
      <c r="L100" s="113"/>
      <c r="M100" s="100"/>
      <c r="N100" s="127"/>
      <c r="O100" s="128"/>
      <c r="P100" s="95"/>
      <c r="Q100" s="137"/>
      <c r="R100" s="129"/>
      <c r="S100" s="95"/>
      <c r="T100" s="95"/>
      <c r="V100" s="107"/>
    </row>
    <row r="101" ht="15.75" customHeight="1">
      <c r="A101" s="89"/>
      <c r="B101" s="177"/>
      <c r="C101" s="96"/>
      <c r="D101" s="95"/>
      <c r="E101" s="176"/>
      <c r="F101" s="144"/>
      <c r="G101" s="95"/>
      <c r="H101" s="96"/>
      <c r="I101" s="103"/>
      <c r="J101" s="95"/>
      <c r="K101" s="99"/>
      <c r="L101" s="99"/>
      <c r="M101" s="100"/>
      <c r="N101" s="127"/>
      <c r="O101" s="128"/>
      <c r="P101" s="95"/>
      <c r="Q101" s="95"/>
      <c r="R101" s="129"/>
      <c r="S101" s="95"/>
      <c r="T101" s="95"/>
      <c r="V101" s="107"/>
    </row>
    <row r="102" ht="15.75" customHeight="1">
      <c r="A102" s="89"/>
      <c r="B102" s="177"/>
      <c r="C102" s="96"/>
      <c r="D102" s="95"/>
      <c r="E102" s="176"/>
      <c r="F102" s="144"/>
      <c r="G102" s="95"/>
      <c r="H102" s="96"/>
      <c r="I102" s="103"/>
      <c r="J102" s="95"/>
      <c r="K102" s="113"/>
      <c r="L102" s="113"/>
      <c r="M102" s="100"/>
      <c r="N102" s="101"/>
      <c r="O102" s="102"/>
      <c r="P102" s="95"/>
      <c r="Q102" s="114"/>
      <c r="R102" s="115"/>
      <c r="S102" s="103"/>
      <c r="T102" s="103"/>
      <c r="V102" s="107"/>
    </row>
    <row r="103" ht="15.75" customHeight="1">
      <c r="A103" s="89"/>
      <c r="B103" s="182"/>
      <c r="C103" s="149"/>
      <c r="D103" s="95"/>
      <c r="E103" s="149"/>
      <c r="F103" s="180"/>
      <c r="G103" s="95"/>
      <c r="H103" s="96"/>
      <c r="I103" s="103"/>
      <c r="J103" s="95"/>
      <c r="K103" s="99"/>
      <c r="L103" s="99"/>
      <c r="M103" s="100"/>
      <c r="N103" s="101"/>
      <c r="O103" s="128"/>
      <c r="P103" s="95"/>
      <c r="Q103" s="137"/>
      <c r="R103" s="129"/>
      <c r="S103" s="103"/>
      <c r="T103" s="95"/>
      <c r="V103" s="107"/>
    </row>
    <row r="104" ht="15.75" customHeight="1">
      <c r="A104" s="89"/>
      <c r="B104" s="182"/>
      <c r="C104" s="149"/>
      <c r="D104" s="95"/>
      <c r="E104" s="149"/>
      <c r="F104" s="149"/>
      <c r="G104" s="95"/>
      <c r="H104" s="96"/>
      <c r="I104" s="103"/>
      <c r="J104" s="95"/>
      <c r="K104" s="113"/>
      <c r="L104" s="113"/>
      <c r="M104" s="100"/>
      <c r="N104" s="101"/>
      <c r="O104" s="128"/>
      <c r="P104" s="95"/>
      <c r="Q104" s="95"/>
      <c r="R104" s="129"/>
      <c r="S104" s="103"/>
      <c r="T104" s="95"/>
      <c r="V104" s="107"/>
    </row>
    <row r="105" ht="15.75" customHeight="1">
      <c r="A105" s="89"/>
      <c r="B105" s="182"/>
      <c r="C105" s="107"/>
      <c r="D105" s="95"/>
      <c r="E105" s="149"/>
      <c r="F105" s="149"/>
      <c r="G105" s="95"/>
      <c r="H105" s="96"/>
      <c r="I105" s="103"/>
      <c r="J105" s="95"/>
      <c r="K105" s="99"/>
      <c r="L105" s="99"/>
      <c r="M105" s="100"/>
      <c r="N105" s="101"/>
      <c r="O105" s="128"/>
      <c r="P105" s="95"/>
      <c r="Q105" s="137"/>
      <c r="R105" s="129"/>
      <c r="S105" s="103"/>
      <c r="T105" s="95"/>
      <c r="V105" s="107"/>
    </row>
    <row r="106" ht="15.75" customHeight="1">
      <c r="A106" s="89"/>
      <c r="B106" s="182"/>
      <c r="C106" s="107"/>
      <c r="D106" s="95"/>
      <c r="E106" s="149"/>
      <c r="F106" s="149"/>
      <c r="G106" s="95"/>
      <c r="H106" s="96"/>
      <c r="I106" s="103"/>
      <c r="J106" s="95"/>
      <c r="K106" s="113"/>
      <c r="L106" s="113"/>
      <c r="M106" s="100"/>
      <c r="N106" s="101"/>
      <c r="O106" s="128"/>
      <c r="P106" s="95"/>
      <c r="Q106" s="137"/>
      <c r="R106" s="129"/>
      <c r="S106" s="103"/>
      <c r="T106" s="95"/>
      <c r="V106" s="107"/>
    </row>
    <row r="107" ht="15.75" customHeight="1">
      <c r="A107" s="89"/>
      <c r="B107" s="182"/>
      <c r="C107" s="149"/>
      <c r="D107" s="95"/>
      <c r="E107" s="149"/>
      <c r="F107" s="149"/>
      <c r="G107" s="95"/>
      <c r="H107" s="96"/>
      <c r="I107" s="103"/>
      <c r="J107" s="95"/>
      <c r="K107" s="99"/>
      <c r="L107" s="99"/>
      <c r="M107" s="100"/>
      <c r="N107" s="101"/>
      <c r="O107" s="128"/>
      <c r="P107" s="95"/>
      <c r="Q107" s="137"/>
      <c r="R107" s="129"/>
      <c r="S107" s="103"/>
      <c r="T107" s="95"/>
      <c r="V107" s="107"/>
    </row>
    <row r="108" ht="15.75" customHeight="1">
      <c r="A108" s="89"/>
      <c r="B108" s="182"/>
      <c r="C108" s="149"/>
      <c r="D108" s="95"/>
      <c r="E108" s="149"/>
      <c r="F108" s="149"/>
      <c r="G108" s="95"/>
      <c r="H108" s="96"/>
      <c r="I108" s="103"/>
      <c r="J108" s="95"/>
      <c r="K108" s="113"/>
      <c r="L108" s="113"/>
      <c r="M108" s="100"/>
      <c r="N108" s="101"/>
      <c r="O108" s="128"/>
      <c r="P108" s="95"/>
      <c r="Q108" s="95"/>
      <c r="R108" s="129"/>
      <c r="S108" s="103"/>
      <c r="T108" s="95"/>
      <c r="V108" s="107"/>
    </row>
    <row r="109" ht="15.75" customHeight="1">
      <c r="A109" s="89"/>
      <c r="B109" s="182"/>
      <c r="C109" s="149"/>
      <c r="D109" s="95"/>
      <c r="E109" s="149"/>
      <c r="F109" s="149"/>
      <c r="G109" s="95"/>
      <c r="H109" s="96"/>
      <c r="I109" s="103"/>
      <c r="J109" s="95"/>
      <c r="K109" s="99"/>
      <c r="L109" s="99"/>
      <c r="M109" s="100"/>
      <c r="N109" s="101"/>
      <c r="O109" s="128"/>
      <c r="P109" s="95"/>
      <c r="Q109" s="137"/>
      <c r="R109" s="129"/>
      <c r="S109" s="103"/>
      <c r="T109" s="95"/>
      <c r="V109" s="107"/>
    </row>
    <row r="110" ht="15.75" customHeight="1">
      <c r="A110" s="89"/>
      <c r="B110" s="182"/>
      <c r="C110" s="149"/>
      <c r="D110" s="95"/>
      <c r="E110" s="149"/>
      <c r="F110" s="149"/>
      <c r="G110" s="95"/>
      <c r="H110" s="149"/>
      <c r="I110" s="151"/>
      <c r="J110" s="95"/>
      <c r="K110" s="113"/>
      <c r="L110" s="113"/>
      <c r="M110" s="100"/>
      <c r="N110" s="127"/>
      <c r="O110" s="128"/>
      <c r="P110" s="95"/>
      <c r="Q110" s="95"/>
      <c r="R110" s="129"/>
      <c r="S110" s="95"/>
      <c r="T110" s="95"/>
      <c r="V110" s="107"/>
    </row>
    <row r="111" ht="15.75" customHeight="1">
      <c r="A111" s="89"/>
      <c r="B111" s="182"/>
      <c r="C111" s="149"/>
      <c r="D111" s="95"/>
      <c r="E111" s="149"/>
      <c r="F111" s="149"/>
      <c r="G111" s="95"/>
      <c r="H111" s="149"/>
      <c r="I111" s="95"/>
      <c r="J111" s="95"/>
      <c r="K111" s="99"/>
      <c r="L111" s="99"/>
      <c r="M111" s="100"/>
      <c r="N111" s="127"/>
      <c r="O111" s="128"/>
      <c r="P111" s="95"/>
      <c r="Q111" s="137"/>
      <c r="R111" s="129"/>
      <c r="S111" s="95"/>
      <c r="T111" s="95"/>
      <c r="V111" s="107"/>
    </row>
    <row r="112" ht="15.75" customHeight="1">
      <c r="A112" s="89"/>
      <c r="B112" s="182"/>
      <c r="C112" s="107"/>
      <c r="D112" s="95"/>
      <c r="E112" s="149"/>
      <c r="F112" s="149"/>
      <c r="G112" s="95"/>
      <c r="H112" s="149"/>
      <c r="I112" s="95"/>
      <c r="J112" s="95"/>
      <c r="K112" s="113"/>
      <c r="L112" s="113"/>
      <c r="M112" s="100"/>
      <c r="N112" s="127"/>
      <c r="O112" s="128"/>
      <c r="P112" s="95"/>
      <c r="Q112" s="95"/>
      <c r="R112" s="129"/>
      <c r="S112" s="95"/>
      <c r="T112" s="95"/>
      <c r="V112" s="107"/>
    </row>
    <row r="113" ht="15.75" customHeight="1">
      <c r="A113" s="89"/>
      <c r="B113" s="182"/>
      <c r="C113" s="107"/>
      <c r="D113" s="95"/>
      <c r="E113" s="149"/>
      <c r="F113" s="149"/>
      <c r="G113" s="95"/>
      <c r="H113" s="149"/>
      <c r="I113" s="95"/>
      <c r="J113" s="95"/>
      <c r="K113" s="99"/>
      <c r="L113" s="99"/>
      <c r="M113" s="100"/>
      <c r="N113" s="127"/>
      <c r="O113" s="128"/>
      <c r="P113" s="95"/>
      <c r="Q113" s="95"/>
      <c r="R113" s="129"/>
      <c r="S113" s="95"/>
      <c r="T113" s="95"/>
      <c r="V113" s="107"/>
    </row>
    <row r="114" ht="15.75" customHeight="1">
      <c r="A114" s="89"/>
      <c r="B114" s="182"/>
      <c r="C114" s="107"/>
      <c r="D114" s="95"/>
      <c r="E114" s="149"/>
      <c r="F114" s="149"/>
      <c r="G114" s="95"/>
      <c r="H114" s="149"/>
      <c r="I114" s="95"/>
      <c r="J114" s="95"/>
      <c r="K114" s="113"/>
      <c r="L114" s="113"/>
      <c r="M114" s="100"/>
      <c r="N114" s="127"/>
      <c r="O114" s="128"/>
      <c r="P114" s="95"/>
      <c r="Q114" s="95"/>
      <c r="R114" s="129"/>
      <c r="S114" s="95"/>
      <c r="T114" s="95"/>
      <c r="V114" s="107"/>
    </row>
    <row r="115" ht="15.75" customHeight="1">
      <c r="A115" s="89"/>
      <c r="B115" s="182"/>
      <c r="C115" s="149"/>
      <c r="D115" s="95"/>
      <c r="E115" s="149"/>
      <c r="F115" s="149"/>
      <c r="G115" s="95"/>
      <c r="H115" s="149"/>
      <c r="I115" s="95"/>
      <c r="J115" s="95"/>
      <c r="K115" s="99"/>
      <c r="L115" s="99"/>
      <c r="M115" s="100"/>
      <c r="N115" s="127"/>
      <c r="O115" s="128"/>
      <c r="P115" s="95"/>
      <c r="Q115" s="95"/>
      <c r="R115" s="129"/>
      <c r="S115" s="95"/>
      <c r="T115" s="95"/>
      <c r="V115" s="107"/>
    </row>
    <row r="116" ht="15.75" customHeight="1">
      <c r="A116" s="89"/>
      <c r="B116" s="182"/>
      <c r="C116" s="149"/>
      <c r="D116" s="95"/>
      <c r="E116" s="149"/>
      <c r="F116" s="149"/>
      <c r="G116" s="95"/>
      <c r="H116" s="149"/>
      <c r="I116" s="95"/>
      <c r="J116" s="95"/>
      <c r="K116" s="113"/>
      <c r="L116" s="113"/>
      <c r="M116" s="100"/>
      <c r="N116" s="127"/>
      <c r="O116" s="128"/>
      <c r="P116" s="95"/>
      <c r="Q116" s="95"/>
      <c r="R116" s="129"/>
      <c r="S116" s="95"/>
      <c r="T116" s="95"/>
      <c r="V116" s="107"/>
    </row>
    <row r="117" ht="15.75" customHeight="1">
      <c r="A117" s="89"/>
      <c r="B117" s="182"/>
      <c r="C117" s="149"/>
      <c r="D117" s="95"/>
      <c r="E117" s="149"/>
      <c r="F117" s="149"/>
      <c r="G117" s="95"/>
      <c r="H117" s="149"/>
      <c r="I117" s="95"/>
      <c r="J117" s="95"/>
      <c r="K117" s="99"/>
      <c r="L117" s="99"/>
      <c r="M117" s="100"/>
      <c r="N117" s="127"/>
      <c r="O117" s="128"/>
      <c r="P117" s="95"/>
      <c r="Q117" s="95"/>
      <c r="R117" s="129"/>
      <c r="S117" s="95"/>
      <c r="T117" s="95"/>
      <c r="V117" s="107"/>
    </row>
    <row r="118" ht="15.75" customHeight="1">
      <c r="A118" s="89"/>
      <c r="B118" s="182"/>
      <c r="C118" s="149"/>
      <c r="D118" s="95"/>
      <c r="E118" s="149"/>
      <c r="F118" s="149"/>
      <c r="G118" s="95"/>
      <c r="H118" s="149"/>
      <c r="I118" s="95"/>
      <c r="J118" s="95"/>
      <c r="K118" s="113"/>
      <c r="L118" s="113"/>
      <c r="M118" s="100"/>
      <c r="N118" s="127"/>
      <c r="O118" s="128"/>
      <c r="P118" s="95"/>
      <c r="Q118" s="95"/>
      <c r="R118" s="129"/>
      <c r="S118" s="95"/>
      <c r="T118" s="95"/>
      <c r="V118" s="107"/>
    </row>
    <row r="119" ht="15.75" customHeight="1">
      <c r="A119" s="89"/>
      <c r="B119" s="182"/>
      <c r="C119" s="149"/>
      <c r="D119" s="95"/>
      <c r="E119" s="149"/>
      <c r="F119" s="149"/>
      <c r="G119" s="95"/>
      <c r="H119" s="149"/>
      <c r="I119" s="95"/>
      <c r="J119" s="95"/>
      <c r="K119" s="99"/>
      <c r="L119" s="99"/>
      <c r="M119" s="100"/>
      <c r="N119" s="127"/>
      <c r="O119" s="128"/>
      <c r="P119" s="95"/>
      <c r="Q119" s="137"/>
      <c r="R119" s="129"/>
      <c r="S119" s="95"/>
      <c r="T119" s="95"/>
      <c r="V119" s="107"/>
    </row>
    <row r="120" ht="15.75" customHeight="1">
      <c r="A120" s="89"/>
      <c r="B120" s="182"/>
      <c r="C120" s="107"/>
      <c r="D120" s="95"/>
      <c r="E120" s="149"/>
      <c r="F120" s="149"/>
      <c r="G120" s="95"/>
      <c r="H120" s="149"/>
      <c r="I120" s="95"/>
      <c r="J120" s="95"/>
      <c r="K120" s="113"/>
      <c r="L120" s="113"/>
      <c r="M120" s="100"/>
      <c r="N120" s="127"/>
      <c r="O120" s="128"/>
      <c r="P120" s="95"/>
      <c r="Q120" s="95"/>
      <c r="R120" s="129"/>
      <c r="S120" s="95"/>
      <c r="T120" s="95"/>
      <c r="V120" s="107"/>
    </row>
    <row r="121" ht="15.75" customHeight="1">
      <c r="A121" s="89"/>
      <c r="B121" s="182"/>
      <c r="C121" s="107"/>
      <c r="D121" s="95"/>
      <c r="E121" s="149"/>
      <c r="F121" s="149"/>
      <c r="G121" s="95"/>
      <c r="H121" s="149"/>
      <c r="I121" s="95"/>
      <c r="J121" s="95"/>
      <c r="K121" s="99"/>
      <c r="L121" s="99"/>
      <c r="M121" s="100"/>
      <c r="N121" s="127"/>
      <c r="O121" s="128"/>
      <c r="P121" s="95"/>
      <c r="Q121" s="95"/>
      <c r="R121" s="129"/>
      <c r="S121" s="95"/>
      <c r="T121" s="95"/>
      <c r="V121" s="107"/>
    </row>
    <row r="122" ht="15.75" customHeight="1">
      <c r="A122" s="89"/>
      <c r="B122" s="182"/>
      <c r="C122" s="107"/>
      <c r="D122" s="95"/>
      <c r="E122" s="149"/>
      <c r="F122" s="149"/>
      <c r="G122" s="95"/>
      <c r="H122" s="149"/>
      <c r="I122" s="95"/>
      <c r="J122" s="95"/>
      <c r="K122" s="113"/>
      <c r="L122" s="113"/>
      <c r="M122" s="100"/>
      <c r="N122" s="127"/>
      <c r="O122" s="128"/>
      <c r="P122" s="95"/>
      <c r="Q122" s="137"/>
      <c r="R122" s="129"/>
      <c r="S122" s="95"/>
      <c r="T122" s="95"/>
      <c r="V122" s="107"/>
    </row>
    <row r="123" ht="15.75" customHeight="1">
      <c r="A123" s="89"/>
      <c r="B123" s="182"/>
      <c r="C123" s="149"/>
      <c r="D123" s="95"/>
      <c r="E123" s="149"/>
      <c r="F123" s="149"/>
      <c r="G123" s="95"/>
      <c r="H123" s="149"/>
      <c r="I123" s="95"/>
      <c r="J123" s="95"/>
      <c r="K123" s="99"/>
      <c r="L123" s="99"/>
      <c r="M123" s="100"/>
      <c r="N123" s="127"/>
      <c r="O123" s="128"/>
      <c r="P123" s="95"/>
      <c r="Q123" s="137"/>
      <c r="R123" s="129"/>
      <c r="S123" s="95"/>
      <c r="T123" s="95"/>
      <c r="V123" s="107"/>
    </row>
    <row r="124" ht="15.75" customHeight="1">
      <c r="A124" s="89"/>
      <c r="B124" s="182"/>
      <c r="C124" s="149"/>
      <c r="D124" s="95"/>
      <c r="E124" s="149"/>
      <c r="F124" s="149"/>
      <c r="G124" s="95"/>
      <c r="H124" s="149"/>
      <c r="I124" s="95"/>
      <c r="J124" s="95"/>
      <c r="K124" s="113"/>
      <c r="L124" s="113"/>
      <c r="M124" s="100"/>
      <c r="N124" s="127"/>
      <c r="O124" s="128"/>
      <c r="P124" s="95"/>
      <c r="Q124" s="137"/>
      <c r="R124" s="129"/>
      <c r="S124" s="95"/>
      <c r="T124" s="95"/>
      <c r="V124" s="107"/>
    </row>
    <row r="125" ht="15.75" customHeight="1">
      <c r="A125" s="89"/>
      <c r="B125" s="182"/>
      <c r="C125" s="149"/>
      <c r="D125" s="95"/>
      <c r="E125" s="149"/>
      <c r="F125" s="149"/>
      <c r="G125" s="95"/>
      <c r="H125" s="149"/>
      <c r="I125" s="95"/>
      <c r="J125" s="95"/>
      <c r="K125" s="99"/>
      <c r="L125" s="99"/>
      <c r="M125" s="100"/>
      <c r="N125" s="127"/>
      <c r="O125" s="128"/>
      <c r="P125" s="95"/>
      <c r="Q125" s="137"/>
      <c r="R125" s="129"/>
      <c r="S125" s="95"/>
      <c r="T125" s="95"/>
      <c r="V125" s="107"/>
    </row>
    <row r="126" ht="15.75" customHeight="1">
      <c r="A126" s="89"/>
      <c r="B126" s="182"/>
      <c r="C126" s="149"/>
      <c r="D126" s="95"/>
      <c r="E126" s="149"/>
      <c r="F126" s="149"/>
      <c r="G126" s="95"/>
      <c r="H126" s="149"/>
      <c r="I126" s="95"/>
      <c r="J126" s="95"/>
      <c r="K126" s="113"/>
      <c r="L126" s="113"/>
      <c r="M126" s="100"/>
      <c r="N126" s="127"/>
      <c r="O126" s="128"/>
      <c r="P126" s="95"/>
      <c r="Q126" s="137"/>
      <c r="R126" s="129"/>
      <c r="S126" s="95"/>
      <c r="T126" s="95"/>
      <c r="V126" s="107"/>
    </row>
    <row r="127" ht="15.75" customHeight="1">
      <c r="A127" s="89"/>
      <c r="B127" s="182"/>
      <c r="C127" s="149"/>
      <c r="D127" s="95"/>
      <c r="E127" s="149"/>
      <c r="F127" s="149"/>
      <c r="G127" s="95"/>
      <c r="H127" s="149"/>
      <c r="I127" s="95"/>
      <c r="J127" s="95"/>
      <c r="K127" s="99"/>
      <c r="L127" s="99"/>
      <c r="M127" s="100"/>
      <c r="N127" s="127"/>
      <c r="O127" s="128"/>
      <c r="P127" s="95"/>
      <c r="Q127" s="137"/>
      <c r="R127" s="129"/>
      <c r="S127" s="95"/>
      <c r="T127" s="95"/>
      <c r="V127" s="107"/>
    </row>
    <row r="128" ht="15.75" customHeight="1">
      <c r="A128" s="89"/>
      <c r="B128" s="182"/>
      <c r="C128" s="107"/>
      <c r="D128" s="95"/>
      <c r="E128" s="149"/>
      <c r="F128" s="149"/>
      <c r="G128" s="95"/>
      <c r="H128" s="149"/>
      <c r="I128" s="95"/>
      <c r="J128" s="95"/>
      <c r="K128" s="113"/>
      <c r="L128" s="113"/>
      <c r="M128" s="100"/>
      <c r="N128" s="127"/>
      <c r="O128" s="128"/>
      <c r="P128" s="95"/>
      <c r="Q128" s="95"/>
      <c r="R128" s="129"/>
      <c r="S128" s="95"/>
      <c r="T128" s="95"/>
      <c r="V128" s="107"/>
    </row>
    <row r="129" ht="15.75" customHeight="1">
      <c r="A129" s="89"/>
      <c r="B129" s="182"/>
      <c r="C129" s="107"/>
      <c r="D129" s="95"/>
      <c r="E129" s="149"/>
      <c r="F129" s="149"/>
      <c r="G129" s="95"/>
      <c r="H129" s="149"/>
      <c r="I129" s="95"/>
      <c r="J129" s="95"/>
      <c r="K129" s="99"/>
      <c r="L129" s="99"/>
      <c r="M129" s="100"/>
      <c r="N129" s="127"/>
      <c r="O129" s="128"/>
      <c r="P129" s="95"/>
      <c r="Q129" s="137"/>
      <c r="R129" s="129"/>
      <c r="S129" s="95"/>
      <c r="T129" s="95"/>
      <c r="V129" s="107"/>
    </row>
    <row r="130" ht="15.75" customHeight="1">
      <c r="A130" s="89"/>
      <c r="B130" s="182"/>
      <c r="C130" s="107"/>
      <c r="D130" s="95"/>
      <c r="E130" s="149"/>
      <c r="F130" s="149"/>
      <c r="G130" s="95"/>
      <c r="H130" s="149"/>
      <c r="I130" s="95"/>
      <c r="J130" s="95"/>
      <c r="K130" s="113"/>
      <c r="L130" s="113"/>
      <c r="M130" s="100"/>
      <c r="N130" s="127"/>
      <c r="O130" s="128"/>
      <c r="P130" s="95"/>
      <c r="Q130" s="95"/>
      <c r="R130" s="129"/>
      <c r="S130" s="95"/>
      <c r="T130" s="95"/>
      <c r="V130" s="107"/>
    </row>
    <row r="131" ht="15.75" customHeight="1">
      <c r="A131" s="89"/>
      <c r="B131" s="182"/>
      <c r="C131" s="149"/>
      <c r="D131" s="95"/>
      <c r="E131" s="149"/>
      <c r="F131" s="149"/>
      <c r="G131" s="95"/>
      <c r="H131" s="149"/>
      <c r="I131" s="95"/>
      <c r="J131" s="95"/>
      <c r="K131" s="99"/>
      <c r="L131" s="99"/>
      <c r="M131" s="100"/>
      <c r="N131" s="127"/>
      <c r="O131" s="128"/>
      <c r="P131" s="95"/>
      <c r="Q131" s="95"/>
      <c r="R131" s="129"/>
      <c r="S131" s="95"/>
      <c r="T131" s="95"/>
      <c r="V131" s="107"/>
    </row>
    <row r="132" ht="15.75" customHeight="1">
      <c r="A132" s="89"/>
      <c r="B132" s="182"/>
      <c r="C132" s="149"/>
      <c r="D132" s="95"/>
      <c r="E132" s="149"/>
      <c r="F132" s="149"/>
      <c r="G132" s="95"/>
      <c r="H132" s="149"/>
      <c r="I132" s="95"/>
      <c r="J132" s="95"/>
      <c r="K132" s="113"/>
      <c r="L132" s="113"/>
      <c r="M132" s="100"/>
      <c r="N132" s="127"/>
      <c r="O132" s="128"/>
      <c r="P132" s="95"/>
      <c r="Q132" s="137"/>
      <c r="R132" s="129"/>
      <c r="S132" s="95"/>
      <c r="T132" s="95"/>
      <c r="V132" s="107"/>
    </row>
    <row r="133" ht="15.75" customHeight="1">
      <c r="A133" s="89"/>
      <c r="B133" s="182"/>
      <c r="C133" s="149"/>
      <c r="D133" s="95"/>
      <c r="E133" s="149"/>
      <c r="F133" s="149"/>
      <c r="G133" s="95"/>
      <c r="H133" s="149"/>
      <c r="I133" s="95"/>
      <c r="J133" s="95"/>
      <c r="K133" s="99"/>
      <c r="L133" s="99"/>
      <c r="M133" s="100"/>
      <c r="N133" s="127"/>
      <c r="O133" s="128"/>
      <c r="P133" s="95"/>
      <c r="Q133" s="95"/>
      <c r="R133" s="129"/>
      <c r="S133" s="95"/>
      <c r="T133" s="95"/>
      <c r="V133" s="107"/>
    </row>
    <row r="134" ht="15.75" customHeight="1">
      <c r="A134" s="89"/>
      <c r="B134" s="182"/>
      <c r="C134" s="149"/>
      <c r="D134" s="95"/>
      <c r="E134" s="149"/>
      <c r="F134" s="149"/>
      <c r="G134" s="95"/>
      <c r="H134" s="149"/>
      <c r="I134" s="95"/>
      <c r="J134" s="95"/>
      <c r="K134" s="113"/>
      <c r="L134" s="113"/>
      <c r="M134" s="100"/>
      <c r="N134" s="127"/>
      <c r="O134" s="128"/>
      <c r="P134" s="95"/>
      <c r="Q134" s="95"/>
      <c r="R134" s="129"/>
      <c r="S134" s="95"/>
      <c r="T134" s="95"/>
      <c r="V134" s="107"/>
    </row>
    <row r="135" ht="15.75" customHeight="1">
      <c r="A135" s="89"/>
      <c r="B135" s="182"/>
      <c r="C135" s="149"/>
      <c r="D135" s="95"/>
      <c r="E135" s="149"/>
      <c r="F135" s="149"/>
      <c r="G135" s="95"/>
      <c r="H135" s="149"/>
      <c r="I135" s="95"/>
      <c r="J135" s="95"/>
      <c r="K135" s="99"/>
      <c r="L135" s="99"/>
      <c r="M135" s="100"/>
      <c r="N135" s="127"/>
      <c r="O135" s="128"/>
      <c r="P135" s="95"/>
      <c r="Q135" s="137"/>
      <c r="R135" s="129"/>
      <c r="S135" s="95"/>
      <c r="T135" s="95"/>
      <c r="V135" s="107"/>
    </row>
    <row r="136" ht="15.75" customHeight="1">
      <c r="A136" s="89"/>
      <c r="B136" s="182"/>
      <c r="C136" s="107"/>
      <c r="D136" s="95"/>
      <c r="E136" s="149"/>
      <c r="F136" s="149"/>
      <c r="G136" s="95"/>
      <c r="H136" s="149"/>
      <c r="I136" s="95"/>
      <c r="J136" s="95"/>
      <c r="K136" s="113"/>
      <c r="L136" s="113"/>
      <c r="M136" s="100"/>
      <c r="N136" s="127"/>
      <c r="O136" s="128"/>
      <c r="P136" s="95"/>
      <c r="Q136" s="95"/>
      <c r="R136" s="129"/>
      <c r="S136" s="95"/>
      <c r="T136" s="95"/>
      <c r="V136" s="107"/>
    </row>
    <row r="137" ht="15.75" customHeight="1">
      <c r="A137" s="89"/>
      <c r="B137" s="182"/>
      <c r="C137" s="107"/>
      <c r="D137" s="95"/>
      <c r="E137" s="149"/>
      <c r="F137" s="149"/>
      <c r="G137" s="95"/>
      <c r="H137" s="149"/>
      <c r="I137" s="95"/>
      <c r="J137" s="95"/>
      <c r="K137" s="99"/>
      <c r="L137" s="99"/>
      <c r="M137" s="100"/>
      <c r="N137" s="127"/>
      <c r="O137" s="128"/>
      <c r="P137" s="95"/>
      <c r="Q137" s="137"/>
      <c r="R137" s="129"/>
      <c r="S137" s="95"/>
      <c r="T137" s="95"/>
      <c r="V137" s="107"/>
    </row>
    <row r="138" ht="15.75" customHeight="1">
      <c r="A138" s="89"/>
      <c r="B138" s="182"/>
      <c r="C138" s="107"/>
      <c r="D138" s="95"/>
      <c r="E138" s="149"/>
      <c r="F138" s="149"/>
      <c r="G138" s="95"/>
      <c r="H138" s="149"/>
      <c r="I138" s="95"/>
      <c r="J138" s="95"/>
      <c r="K138" s="113"/>
      <c r="L138" s="113"/>
      <c r="M138" s="100"/>
      <c r="N138" s="127"/>
      <c r="O138" s="128"/>
      <c r="P138" s="95"/>
      <c r="Q138" s="137"/>
      <c r="R138" s="129"/>
      <c r="S138" s="95"/>
      <c r="T138" s="95"/>
      <c r="V138" s="107"/>
    </row>
    <row r="139" ht="15.75" customHeight="1">
      <c r="A139" s="89"/>
      <c r="B139" s="182"/>
      <c r="C139" s="149"/>
      <c r="D139" s="95"/>
      <c r="E139" s="149"/>
      <c r="F139" s="149"/>
      <c r="G139" s="95"/>
      <c r="H139" s="149"/>
      <c r="I139" s="95"/>
      <c r="J139" s="95"/>
      <c r="K139" s="99"/>
      <c r="L139" s="99"/>
      <c r="M139" s="100"/>
      <c r="N139" s="127"/>
      <c r="O139" s="128"/>
      <c r="P139" s="95"/>
      <c r="Q139" s="137"/>
      <c r="R139" s="129"/>
      <c r="S139" s="95"/>
      <c r="T139" s="95"/>
      <c r="V139" s="107"/>
    </row>
    <row r="140" ht="15.75" customHeight="1">
      <c r="A140" s="89"/>
      <c r="B140" s="182"/>
      <c r="C140" s="149"/>
      <c r="D140" s="95"/>
      <c r="E140" s="149"/>
      <c r="F140" s="149"/>
      <c r="G140" s="95"/>
      <c r="H140" s="149"/>
      <c r="I140" s="95"/>
      <c r="J140" s="95"/>
      <c r="K140" s="113"/>
      <c r="L140" s="113"/>
      <c r="M140" s="100"/>
      <c r="N140" s="127"/>
      <c r="O140" s="128"/>
      <c r="P140" s="95"/>
      <c r="Q140" s="95"/>
      <c r="R140" s="129"/>
      <c r="S140" s="95"/>
      <c r="T140" s="95"/>
      <c r="V140" s="107"/>
    </row>
    <row r="141" ht="15.75" customHeight="1">
      <c r="A141" s="89"/>
      <c r="B141" s="182"/>
      <c r="C141" s="149"/>
      <c r="D141" s="95"/>
      <c r="E141" s="149"/>
      <c r="F141" s="149"/>
      <c r="G141" s="95"/>
      <c r="H141" s="149"/>
      <c r="I141" s="95"/>
      <c r="J141" s="95"/>
      <c r="K141" s="99"/>
      <c r="L141" s="99"/>
      <c r="M141" s="100"/>
      <c r="N141" s="127"/>
      <c r="O141" s="128"/>
      <c r="P141" s="95"/>
      <c r="Q141" s="137"/>
      <c r="R141" s="129"/>
      <c r="S141" s="95"/>
      <c r="T141" s="95"/>
      <c r="V141" s="107"/>
    </row>
    <row r="142" ht="15.75" customHeight="1">
      <c r="A142" s="89"/>
      <c r="B142" s="182"/>
      <c r="C142" s="149"/>
      <c r="D142" s="95"/>
      <c r="E142" s="149"/>
      <c r="F142" s="149"/>
      <c r="G142" s="95"/>
      <c r="H142" s="149"/>
      <c r="I142" s="95"/>
      <c r="J142" s="95"/>
      <c r="K142" s="113"/>
      <c r="L142" s="113"/>
      <c r="M142" s="100"/>
      <c r="N142" s="127"/>
      <c r="O142" s="128"/>
      <c r="P142" s="95"/>
      <c r="Q142" s="95"/>
      <c r="R142" s="129"/>
      <c r="S142" s="95"/>
      <c r="T142" s="95"/>
      <c r="V142" s="107"/>
    </row>
    <row r="143" ht="15.75" customHeight="1">
      <c r="A143" s="89"/>
      <c r="B143" s="182"/>
      <c r="C143" s="149"/>
      <c r="D143" s="95"/>
      <c r="E143" s="149"/>
      <c r="F143" s="183"/>
      <c r="G143" s="95"/>
      <c r="H143" s="149"/>
      <c r="I143" s="95"/>
      <c r="J143" s="95"/>
      <c r="K143" s="99"/>
      <c r="L143" s="99"/>
      <c r="M143" s="100"/>
      <c r="N143" s="127"/>
      <c r="O143" s="128"/>
      <c r="P143" s="95"/>
      <c r="Q143" s="137"/>
      <c r="R143" s="129"/>
      <c r="S143" s="95"/>
      <c r="T143" s="95"/>
      <c r="V143" s="107"/>
    </row>
    <row r="144" ht="15.75" customHeight="1">
      <c r="A144" s="89"/>
      <c r="B144" s="182"/>
      <c r="C144" s="107"/>
      <c r="D144" s="95"/>
      <c r="E144" s="149"/>
      <c r="F144" s="149"/>
      <c r="G144" s="95"/>
      <c r="H144" s="149"/>
      <c r="I144" s="95"/>
      <c r="J144" s="95"/>
      <c r="K144" s="113"/>
      <c r="L144" s="113"/>
      <c r="M144" s="100"/>
      <c r="N144" s="127"/>
      <c r="O144" s="128"/>
      <c r="P144" s="95"/>
      <c r="Q144" s="95"/>
      <c r="R144" s="129"/>
      <c r="S144" s="95"/>
      <c r="T144" s="95"/>
      <c r="V144" s="107"/>
    </row>
    <row r="145" ht="15.75" customHeight="1">
      <c r="A145" s="89"/>
      <c r="B145" s="182"/>
      <c r="C145" s="107"/>
      <c r="D145" s="95"/>
      <c r="E145" s="149"/>
      <c r="F145" s="149"/>
      <c r="G145" s="95"/>
      <c r="H145" s="149"/>
      <c r="I145" s="95"/>
      <c r="J145" s="95"/>
      <c r="K145" s="99"/>
      <c r="L145" s="99"/>
      <c r="M145" s="100"/>
      <c r="N145" s="127"/>
      <c r="O145" s="128"/>
      <c r="P145" s="95"/>
      <c r="Q145" s="137"/>
      <c r="R145" s="129"/>
      <c r="S145" s="95"/>
      <c r="T145" s="95"/>
      <c r="V145" s="107"/>
    </row>
    <row r="146" ht="15.75" customHeight="1">
      <c r="A146" s="89"/>
      <c r="B146" s="182"/>
      <c r="C146" s="149"/>
      <c r="D146" s="95"/>
      <c r="E146" s="149"/>
      <c r="F146" s="149"/>
      <c r="G146" s="95"/>
      <c r="H146" s="149"/>
      <c r="I146" s="95"/>
      <c r="J146" s="95"/>
      <c r="K146" s="113"/>
      <c r="L146" s="113"/>
      <c r="M146" s="100"/>
      <c r="N146" s="127"/>
      <c r="O146" s="128"/>
      <c r="P146" s="95"/>
      <c r="Q146" s="137"/>
      <c r="R146" s="129"/>
      <c r="S146" s="95"/>
      <c r="T146" s="95"/>
      <c r="V146" s="107"/>
    </row>
    <row r="147" ht="15.75" customHeight="1">
      <c r="A147" s="89"/>
      <c r="B147" s="182"/>
      <c r="C147" s="149"/>
      <c r="D147" s="95"/>
      <c r="E147" s="149"/>
      <c r="F147" s="149"/>
      <c r="G147" s="95"/>
      <c r="H147" s="149"/>
      <c r="I147" s="95"/>
      <c r="J147" s="95"/>
      <c r="K147" s="99"/>
      <c r="L147" s="99"/>
      <c r="M147" s="100"/>
      <c r="N147" s="127"/>
      <c r="O147" s="128"/>
      <c r="P147" s="95"/>
      <c r="Q147" s="137"/>
      <c r="R147" s="129"/>
      <c r="S147" s="95"/>
      <c r="T147" s="95"/>
      <c r="V147" s="107"/>
    </row>
    <row r="148" ht="15.75" customHeight="1">
      <c r="A148" s="89"/>
      <c r="B148" s="182"/>
      <c r="C148" s="149"/>
      <c r="D148" s="95"/>
      <c r="E148" s="149"/>
      <c r="F148" s="149"/>
      <c r="G148" s="95"/>
      <c r="H148" s="149"/>
      <c r="I148" s="95"/>
      <c r="J148" s="95"/>
      <c r="K148" s="113"/>
      <c r="L148" s="113"/>
      <c r="M148" s="100"/>
      <c r="N148" s="127"/>
      <c r="O148" s="128"/>
      <c r="P148" s="95"/>
      <c r="Q148" s="137"/>
      <c r="R148" s="129"/>
      <c r="S148" s="95"/>
      <c r="T148" s="95"/>
      <c r="V148" s="107"/>
    </row>
    <row r="149" ht="15.75" customHeight="1">
      <c r="A149" s="89"/>
      <c r="B149" s="182"/>
      <c r="C149" s="149"/>
      <c r="D149" s="95"/>
      <c r="E149" s="149"/>
      <c r="F149" s="149"/>
      <c r="G149" s="95"/>
      <c r="H149" s="149"/>
      <c r="I149" s="95"/>
      <c r="J149" s="95"/>
      <c r="K149" s="99"/>
      <c r="L149" s="99"/>
      <c r="M149" s="100"/>
      <c r="N149" s="127"/>
      <c r="O149" s="128"/>
      <c r="P149" s="95"/>
      <c r="Q149" s="137"/>
      <c r="R149" s="129"/>
      <c r="S149" s="95"/>
      <c r="T149" s="95"/>
      <c r="V149" s="107"/>
    </row>
    <row r="150" ht="15.75" customHeight="1">
      <c r="A150" s="89"/>
      <c r="B150" s="182"/>
      <c r="C150" s="149"/>
      <c r="D150" s="95"/>
      <c r="E150" s="149"/>
      <c r="F150" s="149"/>
      <c r="G150" s="95"/>
      <c r="H150" s="149"/>
      <c r="I150" s="95"/>
      <c r="J150" s="95"/>
      <c r="K150" s="113"/>
      <c r="L150" s="113"/>
      <c r="M150" s="100"/>
      <c r="N150" s="127"/>
      <c r="O150" s="128"/>
      <c r="P150" s="95"/>
      <c r="Q150" s="137"/>
      <c r="R150" s="129"/>
      <c r="S150" s="95"/>
      <c r="T150" s="95"/>
      <c r="V150" s="107"/>
    </row>
    <row r="151" ht="15.75" customHeight="1">
      <c r="A151" s="89"/>
      <c r="B151" s="182"/>
      <c r="C151" s="107"/>
      <c r="D151" s="95"/>
      <c r="E151" s="149"/>
      <c r="F151" s="149"/>
      <c r="G151" s="95"/>
      <c r="H151" s="149"/>
      <c r="I151" s="95"/>
      <c r="J151" s="95"/>
      <c r="K151" s="99"/>
      <c r="L151" s="99"/>
      <c r="M151" s="100"/>
      <c r="N151" s="127"/>
      <c r="O151" s="128"/>
      <c r="P151" s="95"/>
      <c r="Q151" s="137"/>
      <c r="R151" s="129"/>
      <c r="S151" s="95"/>
      <c r="T151" s="95"/>
      <c r="V151" s="107"/>
    </row>
    <row r="152" ht="15.75" customHeight="1">
      <c r="A152" s="89"/>
      <c r="B152" s="182"/>
      <c r="C152" s="149"/>
      <c r="D152" s="95"/>
      <c r="E152" s="149"/>
      <c r="F152" s="149"/>
      <c r="G152" s="95"/>
      <c r="H152" s="149"/>
      <c r="I152" s="95"/>
      <c r="J152" s="95"/>
      <c r="K152" s="113"/>
      <c r="L152" s="113"/>
      <c r="M152" s="100"/>
      <c r="N152" s="127"/>
      <c r="O152" s="128"/>
      <c r="P152" s="95"/>
      <c r="Q152" s="137"/>
      <c r="R152" s="129"/>
      <c r="S152" s="95"/>
      <c r="T152" s="95"/>
      <c r="V152" s="107"/>
    </row>
    <row r="153" ht="15.75" customHeight="1">
      <c r="A153" s="89"/>
      <c r="B153" s="182"/>
      <c r="C153" s="149"/>
      <c r="D153" s="95"/>
      <c r="E153" s="149"/>
      <c r="F153" s="149"/>
      <c r="G153" s="95"/>
      <c r="H153" s="149"/>
      <c r="I153" s="95"/>
      <c r="J153" s="95"/>
      <c r="K153" s="99"/>
      <c r="L153" s="99"/>
      <c r="M153" s="100"/>
      <c r="N153" s="127"/>
      <c r="O153" s="128"/>
      <c r="P153" s="95"/>
      <c r="Q153" s="137"/>
      <c r="R153" s="129"/>
      <c r="S153" s="95"/>
      <c r="T153" s="95"/>
      <c r="V153" s="107"/>
    </row>
    <row r="154" ht="15.75" customHeight="1">
      <c r="A154" s="89"/>
      <c r="B154" s="182"/>
      <c r="C154" s="149"/>
      <c r="D154" s="95"/>
      <c r="E154" s="149"/>
      <c r="F154" s="149"/>
      <c r="G154" s="95"/>
      <c r="H154" s="149"/>
      <c r="I154" s="95"/>
      <c r="J154" s="95"/>
      <c r="K154" s="113"/>
      <c r="L154" s="113"/>
      <c r="M154" s="100"/>
      <c r="N154" s="127"/>
      <c r="O154" s="128"/>
      <c r="P154" s="95"/>
      <c r="Q154" s="137"/>
      <c r="R154" s="129"/>
      <c r="S154" s="95"/>
      <c r="T154" s="95"/>
      <c r="V154" s="107"/>
    </row>
    <row r="155" ht="15.75" customHeight="1">
      <c r="A155" s="89"/>
      <c r="B155" s="182"/>
      <c r="C155" s="149"/>
      <c r="D155" s="95"/>
      <c r="E155" s="149"/>
      <c r="F155" s="149"/>
      <c r="G155" s="95"/>
      <c r="H155" s="149"/>
      <c r="I155" s="95"/>
      <c r="J155" s="95"/>
      <c r="K155" s="99"/>
      <c r="L155" s="99"/>
      <c r="M155" s="100"/>
      <c r="N155" s="127"/>
      <c r="O155" s="128"/>
      <c r="P155" s="95"/>
      <c r="Q155" s="137"/>
      <c r="R155" s="129"/>
      <c r="S155" s="95"/>
      <c r="T155" s="95"/>
      <c r="V155" s="107"/>
    </row>
    <row r="156" ht="15.75" customHeight="1">
      <c r="A156" s="89"/>
      <c r="B156" s="182"/>
      <c r="C156" s="149"/>
      <c r="D156" s="95"/>
      <c r="E156" s="149"/>
      <c r="F156" s="149"/>
      <c r="G156" s="95"/>
      <c r="H156" s="149"/>
      <c r="I156" s="95"/>
      <c r="J156" s="95"/>
      <c r="K156" s="113"/>
      <c r="L156" s="113"/>
      <c r="M156" s="100"/>
      <c r="N156" s="127"/>
      <c r="O156" s="128"/>
      <c r="P156" s="95"/>
      <c r="Q156" s="137"/>
      <c r="R156" s="129"/>
      <c r="S156" s="95"/>
      <c r="T156" s="95"/>
      <c r="V156" s="107"/>
    </row>
    <row r="157" ht="15.75" customHeight="1">
      <c r="A157" s="89"/>
      <c r="B157" s="182"/>
      <c r="C157" s="107"/>
      <c r="D157" s="95"/>
      <c r="E157" s="149"/>
      <c r="F157" s="149"/>
      <c r="G157" s="95"/>
      <c r="H157" s="149"/>
      <c r="I157" s="95"/>
      <c r="J157" s="95"/>
      <c r="K157" s="99"/>
      <c r="L157" s="99"/>
      <c r="M157" s="100"/>
      <c r="N157" s="127"/>
      <c r="O157" s="128"/>
      <c r="P157" s="95"/>
      <c r="Q157" s="137"/>
      <c r="R157" s="129"/>
      <c r="S157" s="95"/>
      <c r="T157" s="95"/>
      <c r="V157" s="107"/>
    </row>
    <row r="158" ht="15.75" customHeight="1">
      <c r="A158" s="89"/>
      <c r="B158" s="182"/>
      <c r="C158" s="149"/>
      <c r="D158" s="95"/>
      <c r="E158" s="149"/>
      <c r="F158" s="149"/>
      <c r="G158" s="95"/>
      <c r="H158" s="149"/>
      <c r="I158" s="95"/>
      <c r="J158" s="95"/>
      <c r="K158" s="113"/>
      <c r="L158" s="113"/>
      <c r="M158" s="100"/>
      <c r="N158" s="127"/>
      <c r="O158" s="128"/>
      <c r="P158" s="95"/>
      <c r="Q158" s="137"/>
      <c r="R158" s="129"/>
      <c r="S158" s="95"/>
      <c r="T158" s="95"/>
      <c r="V158" s="107"/>
    </row>
    <row r="159" ht="15.75" customHeight="1">
      <c r="A159" s="89"/>
      <c r="B159" s="182"/>
      <c r="C159" s="149"/>
      <c r="D159" s="95"/>
      <c r="E159" s="149"/>
      <c r="F159" s="149"/>
      <c r="G159" s="95"/>
      <c r="H159" s="149"/>
      <c r="I159" s="95"/>
      <c r="J159" s="95"/>
      <c r="K159" s="99"/>
      <c r="L159" s="99"/>
      <c r="M159" s="100"/>
      <c r="N159" s="127"/>
      <c r="O159" s="128"/>
      <c r="P159" s="95"/>
      <c r="Q159" s="137"/>
      <c r="R159" s="129"/>
      <c r="S159" s="95"/>
      <c r="T159" s="95"/>
      <c r="V159" s="107"/>
    </row>
    <row r="160" ht="15.75" customHeight="1">
      <c r="A160" s="89"/>
      <c r="B160" s="182"/>
      <c r="C160" s="149"/>
      <c r="D160" s="95"/>
      <c r="E160" s="149"/>
      <c r="F160" s="149"/>
      <c r="G160" s="95"/>
      <c r="H160" s="149"/>
      <c r="I160" s="95"/>
      <c r="J160" s="95"/>
      <c r="K160" s="113"/>
      <c r="L160" s="113"/>
      <c r="M160" s="100"/>
      <c r="N160" s="127"/>
      <c r="O160" s="128"/>
      <c r="P160" s="95"/>
      <c r="Q160" s="137"/>
      <c r="R160" s="129"/>
      <c r="S160" s="95"/>
      <c r="T160" s="95"/>
      <c r="V160" s="107"/>
    </row>
    <row r="161" ht="15.75" customHeight="1">
      <c r="A161" s="89"/>
      <c r="B161" s="182"/>
      <c r="C161" s="149"/>
      <c r="D161" s="95"/>
      <c r="E161" s="149"/>
      <c r="F161" s="149"/>
      <c r="G161" s="95"/>
      <c r="H161" s="149"/>
      <c r="I161" s="95"/>
      <c r="J161" s="95"/>
      <c r="K161" s="99"/>
      <c r="L161" s="99"/>
      <c r="M161" s="100"/>
      <c r="N161" s="127"/>
      <c r="O161" s="128"/>
      <c r="P161" s="95"/>
      <c r="Q161" s="137"/>
      <c r="R161" s="129"/>
      <c r="S161" s="95"/>
      <c r="T161" s="95"/>
      <c r="V161" s="107"/>
    </row>
    <row r="162" ht="15.75" customHeight="1">
      <c r="A162" s="89"/>
      <c r="B162" s="182"/>
      <c r="C162" s="149"/>
      <c r="D162" s="95"/>
      <c r="E162" s="149"/>
      <c r="F162" s="149"/>
      <c r="G162" s="95"/>
      <c r="H162" s="149"/>
      <c r="I162" s="95"/>
      <c r="J162" s="95"/>
      <c r="K162" s="113"/>
      <c r="L162" s="113"/>
      <c r="M162" s="100"/>
      <c r="N162" s="127"/>
      <c r="O162" s="128"/>
      <c r="P162" s="95"/>
      <c r="Q162" s="137"/>
      <c r="R162" s="129"/>
      <c r="S162" s="95"/>
      <c r="T162" s="95"/>
      <c r="V162" s="107"/>
    </row>
    <row r="163" ht="15.75" customHeight="1">
      <c r="A163" s="89"/>
      <c r="B163" s="182"/>
      <c r="C163" s="107"/>
      <c r="D163" s="95"/>
      <c r="E163" s="149"/>
      <c r="F163" s="149"/>
      <c r="G163" s="95"/>
      <c r="H163" s="149"/>
      <c r="I163" s="95"/>
      <c r="J163" s="95"/>
      <c r="K163" s="99"/>
      <c r="L163" s="99"/>
      <c r="M163" s="100"/>
      <c r="N163" s="127"/>
      <c r="O163" s="128"/>
      <c r="P163" s="95"/>
      <c r="Q163" s="137"/>
      <c r="R163" s="129"/>
      <c r="S163" s="95"/>
      <c r="T163" s="95"/>
      <c r="V163" s="107"/>
    </row>
    <row r="164" ht="15.75" customHeight="1">
      <c r="A164" s="89"/>
      <c r="B164" s="182"/>
      <c r="C164" s="149"/>
      <c r="D164" s="95"/>
      <c r="E164" s="149"/>
      <c r="F164" s="149"/>
      <c r="G164" s="95"/>
      <c r="H164" s="149"/>
      <c r="I164" s="95"/>
      <c r="J164" s="95"/>
      <c r="K164" s="113"/>
      <c r="L164" s="113"/>
      <c r="M164" s="100"/>
      <c r="N164" s="127"/>
      <c r="O164" s="128"/>
      <c r="P164" s="95"/>
      <c r="Q164" s="137"/>
      <c r="R164" s="129"/>
      <c r="S164" s="95"/>
      <c r="T164" s="95"/>
      <c r="V164" s="107"/>
    </row>
    <row r="165" ht="15.75" customHeight="1">
      <c r="A165" s="89"/>
      <c r="B165" s="182"/>
      <c r="C165" s="149"/>
      <c r="D165" s="95"/>
      <c r="E165" s="149"/>
      <c r="F165" s="149"/>
      <c r="G165" s="95"/>
      <c r="H165" s="149"/>
      <c r="I165" s="95"/>
      <c r="J165" s="95"/>
      <c r="K165" s="99"/>
      <c r="L165" s="99"/>
      <c r="M165" s="100"/>
      <c r="N165" s="127"/>
      <c r="O165" s="128"/>
      <c r="P165" s="95"/>
      <c r="Q165" s="137"/>
      <c r="R165" s="129"/>
      <c r="S165" s="95"/>
      <c r="T165" s="95"/>
      <c r="V165" s="107"/>
    </row>
    <row r="166" ht="15.75" customHeight="1">
      <c r="A166" s="89"/>
      <c r="B166" s="182"/>
      <c r="C166" s="149"/>
      <c r="D166" s="95"/>
      <c r="E166" s="149"/>
      <c r="F166" s="149"/>
      <c r="G166" s="95"/>
      <c r="H166" s="149"/>
      <c r="I166" s="95"/>
      <c r="J166" s="95"/>
      <c r="K166" s="113"/>
      <c r="L166" s="113"/>
      <c r="M166" s="100"/>
      <c r="N166" s="127"/>
      <c r="O166" s="128"/>
      <c r="P166" s="95"/>
      <c r="Q166" s="137"/>
      <c r="R166" s="129"/>
      <c r="S166" s="95"/>
      <c r="T166" s="95"/>
      <c r="V166" s="107"/>
    </row>
    <row r="167" ht="15.75" customHeight="1">
      <c r="A167" s="89"/>
      <c r="B167" s="182"/>
      <c r="C167" s="149"/>
      <c r="D167" s="95"/>
      <c r="E167" s="149"/>
      <c r="F167" s="149"/>
      <c r="G167" s="95"/>
      <c r="H167" s="149"/>
      <c r="I167" s="95"/>
      <c r="J167" s="95"/>
      <c r="K167" s="99"/>
      <c r="L167" s="99"/>
      <c r="M167" s="100"/>
      <c r="N167" s="127"/>
      <c r="O167" s="128"/>
      <c r="P167" s="95"/>
      <c r="Q167" s="137"/>
      <c r="R167" s="129"/>
      <c r="S167" s="95"/>
      <c r="T167" s="95"/>
      <c r="V167" s="107"/>
    </row>
    <row r="168" ht="15.75" customHeight="1">
      <c r="A168" s="89"/>
      <c r="B168" s="182"/>
      <c r="C168" s="149"/>
      <c r="D168" s="95"/>
      <c r="E168" s="149"/>
      <c r="F168" s="149"/>
      <c r="G168" s="95"/>
      <c r="H168" s="149"/>
      <c r="I168" s="95"/>
      <c r="J168" s="95"/>
      <c r="K168" s="113"/>
      <c r="L168" s="113"/>
      <c r="M168" s="100"/>
      <c r="N168" s="127"/>
      <c r="O168" s="128"/>
      <c r="P168" s="95"/>
      <c r="Q168" s="137"/>
      <c r="R168" s="129"/>
      <c r="S168" s="95"/>
      <c r="T168" s="95"/>
      <c r="V168" s="107"/>
    </row>
    <row r="169" ht="15.75" customHeight="1">
      <c r="A169" s="89"/>
      <c r="B169" s="182"/>
      <c r="C169" s="107"/>
      <c r="D169" s="95"/>
      <c r="E169" s="149"/>
      <c r="F169" s="149"/>
      <c r="G169" s="95"/>
      <c r="H169" s="149"/>
      <c r="I169" s="95"/>
      <c r="J169" s="95"/>
      <c r="K169" s="99"/>
      <c r="L169" s="99"/>
      <c r="M169" s="100"/>
      <c r="N169" s="127"/>
      <c r="O169" s="128"/>
      <c r="P169" s="95"/>
      <c r="Q169" s="137"/>
      <c r="R169" s="129"/>
      <c r="S169" s="95"/>
      <c r="T169" s="95"/>
      <c r="V169" s="107"/>
    </row>
    <row r="170" ht="15.75" customHeight="1">
      <c r="A170" s="89"/>
      <c r="B170" s="182"/>
      <c r="C170" s="149"/>
      <c r="D170" s="95"/>
      <c r="E170" s="149"/>
      <c r="F170" s="149"/>
      <c r="G170" s="95"/>
      <c r="H170" s="149"/>
      <c r="I170" s="95"/>
      <c r="J170" s="95"/>
      <c r="K170" s="113"/>
      <c r="L170" s="113"/>
      <c r="M170" s="100"/>
      <c r="N170" s="127"/>
      <c r="O170" s="128"/>
      <c r="P170" s="95"/>
      <c r="Q170" s="137"/>
      <c r="R170" s="129"/>
      <c r="S170" s="95"/>
      <c r="T170" s="95"/>
      <c r="V170" s="107"/>
    </row>
    <row r="171" ht="15.75" customHeight="1">
      <c r="A171" s="89"/>
      <c r="B171" s="182"/>
      <c r="C171" s="149"/>
      <c r="D171" s="95"/>
      <c r="E171" s="149"/>
      <c r="F171" s="149"/>
      <c r="G171" s="95"/>
      <c r="H171" s="149"/>
      <c r="I171" s="95"/>
      <c r="J171" s="95"/>
      <c r="K171" s="99"/>
      <c r="L171" s="99"/>
      <c r="M171" s="100"/>
      <c r="N171" s="127"/>
      <c r="O171" s="128"/>
      <c r="P171" s="95"/>
      <c r="Q171" s="137"/>
      <c r="R171" s="129"/>
      <c r="S171" s="95"/>
      <c r="T171" s="95"/>
      <c r="V171" s="107"/>
    </row>
    <row r="172" ht="15.75" customHeight="1">
      <c r="A172" s="89"/>
      <c r="B172" s="182"/>
      <c r="C172" s="149"/>
      <c r="D172" s="95"/>
      <c r="E172" s="149"/>
      <c r="F172" s="149"/>
      <c r="G172" s="95"/>
      <c r="H172" s="149"/>
      <c r="I172" s="95"/>
      <c r="J172" s="95"/>
      <c r="K172" s="113"/>
      <c r="L172" s="113"/>
      <c r="M172" s="100"/>
      <c r="N172" s="127"/>
      <c r="O172" s="128"/>
      <c r="P172" s="95"/>
      <c r="Q172" s="137"/>
      <c r="R172" s="129"/>
      <c r="S172" s="95"/>
      <c r="T172" s="95"/>
      <c r="V172" s="107"/>
    </row>
    <row r="173" ht="15.75" customHeight="1">
      <c r="A173" s="89"/>
      <c r="B173" s="182"/>
      <c r="C173" s="149"/>
      <c r="D173" s="95"/>
      <c r="E173" s="149"/>
      <c r="F173" s="149"/>
      <c r="G173" s="95"/>
      <c r="H173" s="149"/>
      <c r="I173" s="95"/>
      <c r="J173" s="95"/>
      <c r="K173" s="99"/>
      <c r="L173" s="99"/>
      <c r="M173" s="100"/>
      <c r="N173" s="127"/>
      <c r="O173" s="128"/>
      <c r="P173" s="95"/>
      <c r="Q173" s="137"/>
      <c r="R173" s="129"/>
      <c r="S173" s="95"/>
      <c r="T173" s="95"/>
      <c r="V173" s="107"/>
    </row>
    <row r="174" ht="15.75" customHeight="1">
      <c r="A174" s="89"/>
      <c r="B174" s="182"/>
      <c r="C174" s="149"/>
      <c r="D174" s="95"/>
      <c r="E174" s="149"/>
      <c r="F174" s="149"/>
      <c r="G174" s="95"/>
      <c r="H174" s="149"/>
      <c r="I174" s="95"/>
      <c r="J174" s="95"/>
      <c r="K174" s="113"/>
      <c r="L174" s="113"/>
      <c r="M174" s="100"/>
      <c r="N174" s="127"/>
      <c r="O174" s="128"/>
      <c r="P174" s="95"/>
      <c r="Q174" s="137"/>
      <c r="R174" s="129"/>
      <c r="S174" s="95"/>
      <c r="T174" s="95"/>
      <c r="V174" s="107"/>
    </row>
    <row r="175" ht="15.75" customHeight="1">
      <c r="A175" s="89"/>
      <c r="B175" s="182"/>
      <c r="C175" s="107"/>
      <c r="D175" s="95"/>
      <c r="E175" s="149"/>
      <c r="F175" s="149"/>
      <c r="G175" s="95"/>
      <c r="H175" s="149"/>
      <c r="I175" s="95"/>
      <c r="J175" s="95"/>
      <c r="K175" s="99"/>
      <c r="L175" s="99"/>
      <c r="M175" s="100"/>
      <c r="N175" s="127"/>
      <c r="O175" s="128"/>
      <c r="P175" s="95"/>
      <c r="Q175" s="137"/>
      <c r="R175" s="129"/>
      <c r="S175" s="95"/>
      <c r="T175" s="95"/>
      <c r="V175" s="107"/>
    </row>
    <row r="176" ht="15.75" customHeight="1">
      <c r="A176" s="89"/>
      <c r="B176" s="182"/>
      <c r="C176" s="149"/>
      <c r="D176" s="95"/>
      <c r="E176" s="149"/>
      <c r="F176" s="149"/>
      <c r="G176" s="95"/>
      <c r="H176" s="149"/>
      <c r="I176" s="95"/>
      <c r="J176" s="95"/>
      <c r="K176" s="113"/>
      <c r="L176" s="113"/>
      <c r="M176" s="100"/>
      <c r="N176" s="127"/>
      <c r="O176" s="128"/>
      <c r="P176" s="95"/>
      <c r="Q176" s="137"/>
      <c r="R176" s="129"/>
      <c r="S176" s="95"/>
      <c r="T176" s="95"/>
      <c r="V176" s="107"/>
    </row>
    <row r="177" ht="15.75" customHeight="1">
      <c r="A177" s="89"/>
      <c r="B177" s="182"/>
      <c r="C177" s="149"/>
      <c r="D177" s="95"/>
      <c r="E177" s="149"/>
      <c r="F177" s="149"/>
      <c r="G177" s="95"/>
      <c r="H177" s="149"/>
      <c r="I177" s="95"/>
      <c r="J177" s="95"/>
      <c r="K177" s="99"/>
      <c r="L177" s="99"/>
      <c r="M177" s="100"/>
      <c r="N177" s="127"/>
      <c r="O177" s="128"/>
      <c r="P177" s="95"/>
      <c r="Q177" s="137"/>
      <c r="R177" s="129"/>
      <c r="S177" s="95"/>
      <c r="T177" s="95"/>
      <c r="V177" s="107"/>
    </row>
    <row r="178" ht="15.75" customHeight="1">
      <c r="A178" s="89"/>
      <c r="B178" s="182"/>
      <c r="C178" s="149"/>
      <c r="D178" s="95"/>
      <c r="E178" s="149"/>
      <c r="F178" s="149"/>
      <c r="G178" s="95"/>
      <c r="H178" s="149"/>
      <c r="I178" s="95"/>
      <c r="J178" s="95"/>
      <c r="K178" s="113"/>
      <c r="L178" s="113"/>
      <c r="M178" s="100"/>
      <c r="N178" s="127"/>
      <c r="O178" s="128"/>
      <c r="P178" s="95"/>
      <c r="Q178" s="137"/>
      <c r="R178" s="129"/>
      <c r="S178" s="95"/>
      <c r="T178" s="95"/>
      <c r="V178" s="107"/>
    </row>
    <row r="179" ht="15.75" customHeight="1">
      <c r="A179" s="89"/>
      <c r="B179" s="182"/>
      <c r="C179" s="149"/>
      <c r="D179" s="95"/>
      <c r="E179" s="149"/>
      <c r="F179" s="149"/>
      <c r="G179" s="95"/>
      <c r="H179" s="149"/>
      <c r="I179" s="95"/>
      <c r="J179" s="95"/>
      <c r="K179" s="99"/>
      <c r="L179" s="99"/>
      <c r="M179" s="100"/>
      <c r="N179" s="127"/>
      <c r="O179" s="128"/>
      <c r="P179" s="95"/>
      <c r="Q179" s="137"/>
      <c r="R179" s="129"/>
      <c r="S179" s="95"/>
      <c r="T179" s="95"/>
      <c r="V179" s="107"/>
    </row>
    <row r="180" ht="15.75" customHeight="1">
      <c r="A180" s="89"/>
      <c r="B180" s="182"/>
      <c r="C180" s="149"/>
      <c r="D180" s="95"/>
      <c r="E180" s="149"/>
      <c r="F180" s="149"/>
      <c r="G180" s="95"/>
      <c r="H180" s="149"/>
      <c r="I180" s="95"/>
      <c r="J180" s="95"/>
      <c r="K180" s="113"/>
      <c r="L180" s="113"/>
      <c r="M180" s="100"/>
      <c r="N180" s="127"/>
      <c r="O180" s="128"/>
      <c r="P180" s="95"/>
      <c r="Q180" s="137"/>
      <c r="R180" s="129"/>
      <c r="S180" s="95"/>
      <c r="T180" s="95"/>
      <c r="V180" s="107"/>
    </row>
    <row r="181" ht="15.75" customHeight="1">
      <c r="A181" s="89"/>
      <c r="B181" s="182"/>
      <c r="C181" s="107"/>
      <c r="D181" s="95"/>
      <c r="E181" s="149"/>
      <c r="F181" s="149"/>
      <c r="G181" s="95"/>
      <c r="H181" s="149"/>
      <c r="I181" s="95"/>
      <c r="J181" s="95"/>
      <c r="K181" s="99"/>
      <c r="L181" s="99"/>
      <c r="M181" s="100"/>
      <c r="N181" s="127"/>
      <c r="O181" s="128"/>
      <c r="P181" s="95"/>
      <c r="Q181" s="137"/>
      <c r="R181" s="129"/>
      <c r="S181" s="95"/>
      <c r="T181" s="95"/>
      <c r="V181" s="107"/>
    </row>
    <row r="182" ht="15.75" customHeight="1">
      <c r="A182" s="89"/>
      <c r="B182" s="182"/>
      <c r="C182" s="149"/>
      <c r="D182" s="95"/>
      <c r="E182" s="149"/>
      <c r="F182" s="149"/>
      <c r="G182" s="95"/>
      <c r="H182" s="149"/>
      <c r="I182" s="95"/>
      <c r="J182" s="95"/>
      <c r="K182" s="113"/>
      <c r="L182" s="113"/>
      <c r="M182" s="100"/>
      <c r="N182" s="127"/>
      <c r="O182" s="128"/>
      <c r="P182" s="95"/>
      <c r="Q182" s="137"/>
      <c r="R182" s="129"/>
      <c r="S182" s="95"/>
      <c r="T182" s="95"/>
      <c r="V182" s="107"/>
    </row>
    <row r="183" ht="15.75" customHeight="1">
      <c r="A183" s="89"/>
      <c r="B183" s="182"/>
      <c r="C183" s="149"/>
      <c r="D183" s="95"/>
      <c r="E183" s="149"/>
      <c r="F183" s="149"/>
      <c r="G183" s="95"/>
      <c r="H183" s="149"/>
      <c r="I183" s="95"/>
      <c r="J183" s="95"/>
      <c r="K183" s="99"/>
      <c r="L183" s="99"/>
      <c r="M183" s="100"/>
      <c r="N183" s="127"/>
      <c r="O183" s="128"/>
      <c r="P183" s="95"/>
      <c r="Q183" s="137"/>
      <c r="R183" s="129"/>
      <c r="S183" s="95"/>
      <c r="T183" s="95"/>
      <c r="V183" s="107"/>
    </row>
    <row r="184" ht="15.75" customHeight="1">
      <c r="A184" s="89"/>
      <c r="B184" s="182"/>
      <c r="C184" s="149"/>
      <c r="D184" s="95"/>
      <c r="E184" s="149"/>
      <c r="F184" s="149"/>
      <c r="G184" s="95"/>
      <c r="H184" s="149"/>
      <c r="I184" s="95"/>
      <c r="J184" s="95"/>
      <c r="K184" s="113"/>
      <c r="L184" s="113"/>
      <c r="M184" s="100"/>
      <c r="N184" s="127"/>
      <c r="O184" s="128"/>
      <c r="P184" s="95"/>
      <c r="Q184" s="137"/>
      <c r="R184" s="129"/>
      <c r="S184" s="95"/>
      <c r="T184" s="95"/>
      <c r="V184" s="107"/>
    </row>
    <row r="185" ht="15.75" customHeight="1">
      <c r="A185" s="89"/>
      <c r="B185" s="182"/>
      <c r="C185" s="149"/>
      <c r="D185" s="95"/>
      <c r="E185" s="149"/>
      <c r="F185" s="149"/>
      <c r="G185" s="95"/>
      <c r="H185" s="149"/>
      <c r="I185" s="95"/>
      <c r="J185" s="95"/>
      <c r="K185" s="99"/>
      <c r="L185" s="99"/>
      <c r="M185" s="100"/>
      <c r="N185" s="127"/>
      <c r="O185" s="128"/>
      <c r="P185" s="95"/>
      <c r="Q185" s="137"/>
      <c r="R185" s="129"/>
      <c r="S185" s="95"/>
      <c r="T185" s="95"/>
      <c r="V185" s="107"/>
    </row>
    <row r="186" ht="15.75" customHeight="1">
      <c r="A186" s="89"/>
      <c r="B186" s="182"/>
      <c r="C186" s="149"/>
      <c r="D186" s="95"/>
      <c r="E186" s="149"/>
      <c r="F186" s="149"/>
      <c r="G186" s="95"/>
      <c r="H186" s="149"/>
      <c r="I186" s="95"/>
      <c r="J186" s="95"/>
      <c r="K186" s="113"/>
      <c r="L186" s="113"/>
      <c r="M186" s="100"/>
      <c r="N186" s="127"/>
      <c r="O186" s="128"/>
      <c r="P186" s="95"/>
      <c r="Q186" s="137"/>
      <c r="R186" s="129"/>
      <c r="S186" s="95"/>
      <c r="T186" s="95"/>
      <c r="V186" s="107"/>
    </row>
    <row r="187" ht="15.75" customHeight="1">
      <c r="A187" s="89"/>
      <c r="B187" s="182"/>
      <c r="C187" s="107"/>
      <c r="D187" s="95"/>
      <c r="E187" s="149"/>
      <c r="F187" s="149"/>
      <c r="G187" s="95"/>
      <c r="H187" s="149"/>
      <c r="I187" s="95"/>
      <c r="J187" s="95"/>
      <c r="K187" s="99"/>
      <c r="L187" s="99"/>
      <c r="M187" s="100"/>
      <c r="N187" s="127"/>
      <c r="O187" s="128"/>
      <c r="P187" s="95"/>
      <c r="Q187" s="137"/>
      <c r="R187" s="129"/>
      <c r="S187" s="95"/>
      <c r="T187" s="95"/>
      <c r="V187" s="107"/>
    </row>
    <row r="188" ht="15.75" customHeight="1">
      <c r="A188" s="89"/>
      <c r="B188" s="182"/>
      <c r="C188" s="149"/>
      <c r="D188" s="95"/>
      <c r="E188" s="149"/>
      <c r="F188" s="149"/>
      <c r="G188" s="95"/>
      <c r="H188" s="149"/>
      <c r="I188" s="95"/>
      <c r="J188" s="95"/>
      <c r="K188" s="113"/>
      <c r="L188" s="113"/>
      <c r="M188" s="100"/>
      <c r="N188" s="127"/>
      <c r="O188" s="128"/>
      <c r="P188" s="95"/>
      <c r="Q188" s="137"/>
      <c r="R188" s="129"/>
      <c r="S188" s="95"/>
      <c r="T188" s="95"/>
      <c r="V188" s="107"/>
    </row>
    <row r="189" ht="15.75" customHeight="1">
      <c r="A189" s="89"/>
      <c r="B189" s="182"/>
      <c r="C189" s="149"/>
      <c r="D189" s="95"/>
      <c r="E189" s="149"/>
      <c r="F189" s="149"/>
      <c r="G189" s="95"/>
      <c r="H189" s="149"/>
      <c r="I189" s="95"/>
      <c r="J189" s="95"/>
      <c r="K189" s="99"/>
      <c r="L189" s="99"/>
      <c r="M189" s="100"/>
      <c r="N189" s="127"/>
      <c r="O189" s="128"/>
      <c r="P189" s="95"/>
      <c r="Q189" s="137"/>
      <c r="R189" s="129"/>
      <c r="S189" s="95"/>
      <c r="T189" s="95"/>
      <c r="V189" s="107"/>
    </row>
    <row r="190" ht="15.75" customHeight="1">
      <c r="A190" s="89"/>
      <c r="B190" s="182"/>
      <c r="C190" s="149"/>
      <c r="D190" s="95"/>
      <c r="E190" s="149"/>
      <c r="F190" s="149"/>
      <c r="G190" s="95"/>
      <c r="H190" s="149"/>
      <c r="I190" s="95"/>
      <c r="J190" s="95"/>
      <c r="K190" s="113"/>
      <c r="L190" s="113"/>
      <c r="M190" s="100"/>
      <c r="N190" s="127"/>
      <c r="O190" s="128"/>
      <c r="P190" s="95"/>
      <c r="Q190" s="137"/>
      <c r="R190" s="129"/>
      <c r="S190" s="95"/>
      <c r="T190" s="95"/>
      <c r="V190" s="107"/>
    </row>
    <row r="191" ht="15.75" customHeight="1">
      <c r="A191" s="89"/>
      <c r="B191" s="182"/>
      <c r="C191" s="149"/>
      <c r="D191" s="95"/>
      <c r="E191" s="149"/>
      <c r="F191" s="149"/>
      <c r="G191" s="95"/>
      <c r="H191" s="149"/>
      <c r="I191" s="95"/>
      <c r="J191" s="95"/>
      <c r="K191" s="99"/>
      <c r="L191" s="99"/>
      <c r="M191" s="100"/>
      <c r="N191" s="127"/>
      <c r="O191" s="128"/>
      <c r="P191" s="95"/>
      <c r="Q191" s="137"/>
      <c r="R191" s="129"/>
      <c r="S191" s="95"/>
      <c r="T191" s="95"/>
      <c r="V191" s="107"/>
    </row>
    <row r="192" ht="15.75" customHeight="1">
      <c r="A192" s="89"/>
      <c r="B192" s="182"/>
      <c r="C192" s="149"/>
      <c r="D192" s="95"/>
      <c r="E192" s="149"/>
      <c r="F192" s="149"/>
      <c r="G192" s="95"/>
      <c r="H192" s="149"/>
      <c r="I192" s="95"/>
      <c r="J192" s="95"/>
      <c r="K192" s="113"/>
      <c r="L192" s="113"/>
      <c r="M192" s="100"/>
      <c r="N192" s="127"/>
      <c r="O192" s="128"/>
      <c r="P192" s="95"/>
      <c r="Q192" s="137"/>
      <c r="R192" s="129"/>
      <c r="S192" s="95"/>
      <c r="T192" s="95"/>
      <c r="V192" s="107"/>
    </row>
    <row r="193" ht="15.75" customHeight="1">
      <c r="A193" s="89"/>
      <c r="B193" s="182"/>
      <c r="C193" s="107"/>
      <c r="D193" s="95"/>
      <c r="E193" s="149"/>
      <c r="F193" s="149"/>
      <c r="G193" s="95"/>
      <c r="H193" s="149"/>
      <c r="I193" s="95"/>
      <c r="J193" s="95"/>
      <c r="K193" s="99"/>
      <c r="L193" s="99"/>
      <c r="M193" s="100"/>
      <c r="N193" s="127"/>
      <c r="O193" s="128"/>
      <c r="P193" s="95"/>
      <c r="Q193" s="137"/>
      <c r="R193" s="129"/>
      <c r="S193" s="95"/>
      <c r="T193" s="95"/>
      <c r="V193" s="107"/>
    </row>
    <row r="194" ht="15.75" customHeight="1">
      <c r="A194" s="89"/>
      <c r="B194" s="182"/>
      <c r="C194" s="149"/>
      <c r="D194" s="95"/>
      <c r="E194" s="149"/>
      <c r="F194" s="149"/>
      <c r="G194" s="95"/>
      <c r="H194" s="149"/>
      <c r="I194" s="95"/>
      <c r="J194" s="95"/>
      <c r="K194" s="113"/>
      <c r="L194" s="113"/>
      <c r="M194" s="100"/>
      <c r="N194" s="127"/>
      <c r="O194" s="128"/>
      <c r="P194" s="95"/>
      <c r="Q194" s="137"/>
      <c r="R194" s="129"/>
      <c r="S194" s="95"/>
      <c r="T194" s="95"/>
      <c r="V194" s="107"/>
    </row>
    <row r="195" ht="15.75" customHeight="1">
      <c r="A195" s="89"/>
      <c r="B195" s="182"/>
      <c r="C195" s="149"/>
      <c r="D195" s="95"/>
      <c r="E195" s="149"/>
      <c r="F195" s="149"/>
      <c r="G195" s="95"/>
      <c r="H195" s="149"/>
      <c r="I195" s="95"/>
      <c r="J195" s="95"/>
      <c r="K195" s="99"/>
      <c r="L195" s="99"/>
      <c r="M195" s="100"/>
      <c r="N195" s="127"/>
      <c r="O195" s="128"/>
      <c r="P195" s="95"/>
      <c r="Q195" s="137"/>
      <c r="R195" s="129"/>
      <c r="S195" s="95"/>
      <c r="T195" s="95"/>
      <c r="V195" s="107"/>
    </row>
    <row r="196" ht="15.75" customHeight="1">
      <c r="A196" s="89"/>
      <c r="B196" s="182"/>
      <c r="C196" s="149"/>
      <c r="D196" s="95"/>
      <c r="E196" s="149"/>
      <c r="F196" s="149"/>
      <c r="G196" s="95"/>
      <c r="H196" s="149"/>
      <c r="I196" s="95"/>
      <c r="J196" s="95"/>
      <c r="K196" s="113"/>
      <c r="L196" s="113"/>
      <c r="M196" s="100"/>
      <c r="N196" s="127"/>
      <c r="O196" s="128"/>
      <c r="P196" s="95"/>
      <c r="Q196" s="137"/>
      <c r="R196" s="129"/>
      <c r="S196" s="95"/>
      <c r="T196" s="95"/>
      <c r="V196" s="107"/>
    </row>
    <row r="197" ht="15.75" customHeight="1">
      <c r="A197" s="89"/>
      <c r="B197" s="182"/>
      <c r="C197" s="149"/>
      <c r="D197" s="95"/>
      <c r="E197" s="149"/>
      <c r="F197" s="149"/>
      <c r="G197" s="95"/>
      <c r="H197" s="149"/>
      <c r="I197" s="95"/>
      <c r="J197" s="95"/>
      <c r="K197" s="99"/>
      <c r="L197" s="99"/>
      <c r="M197" s="100"/>
      <c r="N197" s="127"/>
      <c r="O197" s="128"/>
      <c r="P197" s="95"/>
      <c r="Q197" s="137"/>
      <c r="R197" s="129"/>
      <c r="S197" s="95"/>
      <c r="T197" s="95"/>
      <c r="V197" s="107"/>
    </row>
    <row r="198" ht="15.75" customHeight="1">
      <c r="A198" s="89"/>
      <c r="B198" s="182"/>
      <c r="C198" s="149"/>
      <c r="D198" s="95"/>
      <c r="E198" s="149"/>
      <c r="F198" s="149"/>
      <c r="G198" s="95"/>
      <c r="H198" s="149"/>
      <c r="I198" s="95"/>
      <c r="J198" s="95"/>
      <c r="K198" s="113"/>
      <c r="L198" s="113"/>
      <c r="M198" s="100"/>
      <c r="N198" s="127"/>
      <c r="O198" s="128"/>
      <c r="P198" s="95"/>
      <c r="Q198" s="137"/>
      <c r="R198" s="129"/>
      <c r="S198" s="95"/>
      <c r="T198" s="95"/>
      <c r="V198" s="107"/>
    </row>
    <row r="199" ht="15.75" customHeight="1">
      <c r="A199" s="89"/>
      <c r="B199" s="182"/>
      <c r="C199" s="107"/>
      <c r="D199" s="95"/>
      <c r="E199" s="149"/>
      <c r="F199" s="149"/>
      <c r="G199" s="95"/>
      <c r="H199" s="149"/>
      <c r="I199" s="95"/>
      <c r="J199" s="95"/>
      <c r="K199" s="99"/>
      <c r="L199" s="99"/>
      <c r="M199" s="100"/>
      <c r="N199" s="127"/>
      <c r="O199" s="128"/>
      <c r="P199" s="95"/>
      <c r="Q199" s="137"/>
      <c r="R199" s="129"/>
      <c r="S199" s="95"/>
      <c r="T199" s="95"/>
      <c r="V199" s="107"/>
    </row>
    <row r="200" ht="15.75" customHeight="1">
      <c r="A200" s="89"/>
      <c r="B200" s="182"/>
      <c r="C200" s="149"/>
      <c r="D200" s="95"/>
      <c r="E200" s="149"/>
      <c r="F200" s="149"/>
      <c r="G200" s="95"/>
      <c r="H200" s="149"/>
      <c r="I200" s="95"/>
      <c r="J200" s="95"/>
      <c r="K200" s="113"/>
      <c r="L200" s="113"/>
      <c r="M200" s="100"/>
      <c r="N200" s="127"/>
      <c r="O200" s="128"/>
      <c r="P200" s="95"/>
      <c r="Q200" s="137"/>
      <c r="R200" s="129"/>
      <c r="S200" s="95"/>
      <c r="T200" s="95"/>
      <c r="V200" s="107"/>
    </row>
    <row r="201" ht="15.75" customHeight="1">
      <c r="A201" s="89"/>
      <c r="B201" s="182"/>
      <c r="C201" s="149"/>
      <c r="D201" s="95"/>
      <c r="E201" s="149"/>
      <c r="F201" s="149"/>
      <c r="G201" s="95"/>
      <c r="H201" s="149"/>
      <c r="I201" s="95"/>
      <c r="J201" s="95"/>
      <c r="K201" s="99"/>
      <c r="L201" s="99"/>
      <c r="M201" s="100"/>
      <c r="N201" s="127"/>
      <c r="O201" s="128"/>
      <c r="P201" s="95"/>
      <c r="Q201" s="137"/>
      <c r="R201" s="129"/>
      <c r="S201" s="95"/>
      <c r="T201" s="95"/>
      <c r="V201" s="107"/>
    </row>
    <row r="202" ht="15.75" customHeight="1">
      <c r="A202" s="89"/>
      <c r="B202" s="182"/>
      <c r="C202" s="149"/>
      <c r="D202" s="95"/>
      <c r="E202" s="149"/>
      <c r="F202" s="149"/>
      <c r="G202" s="95"/>
      <c r="H202" s="149"/>
      <c r="I202" s="95"/>
      <c r="J202" s="95"/>
      <c r="K202" s="113"/>
      <c r="L202" s="113"/>
      <c r="M202" s="100"/>
      <c r="N202" s="127"/>
      <c r="O202" s="128"/>
      <c r="P202" s="95"/>
      <c r="Q202" s="137"/>
      <c r="R202" s="129"/>
      <c r="S202" s="95"/>
      <c r="T202" s="95"/>
      <c r="V202" s="107"/>
    </row>
    <row r="203" ht="15.75" customHeight="1">
      <c r="A203" s="89"/>
      <c r="B203" s="182"/>
      <c r="C203" s="149"/>
      <c r="D203" s="95"/>
      <c r="E203" s="149"/>
      <c r="F203" s="149"/>
      <c r="G203" s="95"/>
      <c r="H203" s="149"/>
      <c r="I203" s="95"/>
      <c r="J203" s="95"/>
      <c r="K203" s="99"/>
      <c r="L203" s="99"/>
      <c r="M203" s="100"/>
      <c r="N203" s="127"/>
      <c r="O203" s="128"/>
      <c r="P203" s="95"/>
      <c r="Q203" s="137"/>
      <c r="R203" s="129"/>
      <c r="S203" s="95"/>
      <c r="T203" s="95"/>
      <c r="V203" s="107"/>
    </row>
    <row r="204" ht="15.75" customHeight="1">
      <c r="A204" s="89"/>
      <c r="B204" s="182"/>
      <c r="C204" s="149"/>
      <c r="D204" s="95"/>
      <c r="E204" s="149"/>
      <c r="F204" s="149"/>
      <c r="G204" s="95"/>
      <c r="H204" s="149"/>
      <c r="I204" s="95"/>
      <c r="J204" s="95"/>
      <c r="K204" s="113"/>
      <c r="L204" s="113"/>
      <c r="M204" s="100"/>
      <c r="N204" s="127"/>
      <c r="O204" s="128"/>
      <c r="P204" s="95"/>
      <c r="Q204" s="137"/>
      <c r="R204" s="129"/>
      <c r="S204" s="95"/>
      <c r="T204" s="95"/>
      <c r="V204" s="107"/>
    </row>
    <row r="205" ht="15.75" customHeight="1">
      <c r="A205" s="89"/>
      <c r="B205" s="182"/>
      <c r="C205" s="107"/>
      <c r="D205" s="95"/>
      <c r="E205" s="149"/>
      <c r="F205" s="149"/>
      <c r="G205" s="95"/>
      <c r="H205" s="149"/>
      <c r="I205" s="95"/>
      <c r="J205" s="95"/>
      <c r="K205" s="99"/>
      <c r="L205" s="99"/>
      <c r="M205" s="100"/>
      <c r="N205" s="127"/>
      <c r="O205" s="128"/>
      <c r="P205" s="95"/>
      <c r="Q205" s="137"/>
      <c r="R205" s="129"/>
      <c r="S205" s="95"/>
      <c r="T205" s="95"/>
      <c r="V205" s="107"/>
    </row>
    <row r="206" ht="15.75" customHeight="1">
      <c r="A206" s="89"/>
      <c r="B206" s="182"/>
      <c r="C206" s="149"/>
      <c r="D206" s="95"/>
      <c r="E206" s="149"/>
      <c r="F206" s="149"/>
      <c r="G206" s="95"/>
      <c r="H206" s="149"/>
      <c r="I206" s="95"/>
      <c r="J206" s="95"/>
      <c r="K206" s="113"/>
      <c r="L206" s="113"/>
      <c r="M206" s="100"/>
      <c r="N206" s="127"/>
      <c r="O206" s="128"/>
      <c r="P206" s="95"/>
      <c r="Q206" s="137"/>
      <c r="R206" s="129"/>
      <c r="S206" s="95"/>
      <c r="T206" s="95"/>
      <c r="V206" s="107"/>
    </row>
    <row r="207" ht="15.75" customHeight="1">
      <c r="A207" s="89"/>
      <c r="B207" s="182"/>
      <c r="C207" s="149"/>
      <c r="D207" s="95"/>
      <c r="E207" s="149"/>
      <c r="F207" s="149"/>
      <c r="G207" s="95"/>
      <c r="H207" s="149"/>
      <c r="I207" s="95"/>
      <c r="J207" s="95"/>
      <c r="K207" s="99"/>
      <c r="L207" s="99"/>
      <c r="M207" s="100"/>
      <c r="N207" s="127"/>
      <c r="O207" s="128"/>
      <c r="P207" s="95"/>
      <c r="Q207" s="137"/>
      <c r="R207" s="129"/>
      <c r="S207" s="95"/>
      <c r="T207" s="95"/>
      <c r="V207" s="107"/>
    </row>
    <row r="208" ht="15.75" customHeight="1">
      <c r="A208" s="89"/>
      <c r="B208" s="182"/>
      <c r="C208" s="149"/>
      <c r="D208" s="95"/>
      <c r="E208" s="149"/>
      <c r="F208" s="149"/>
      <c r="G208" s="95"/>
      <c r="H208" s="149"/>
      <c r="I208" s="95"/>
      <c r="J208" s="95"/>
      <c r="K208" s="113"/>
      <c r="L208" s="113"/>
      <c r="M208" s="100"/>
      <c r="N208" s="127"/>
      <c r="O208" s="128"/>
      <c r="P208" s="95"/>
      <c r="Q208" s="137"/>
      <c r="R208" s="129"/>
      <c r="S208" s="95"/>
      <c r="T208" s="95"/>
      <c r="V208" s="107"/>
    </row>
    <row r="209" ht="15.75" customHeight="1">
      <c r="A209" s="89"/>
      <c r="B209" s="182"/>
      <c r="C209" s="149"/>
      <c r="D209" s="95"/>
      <c r="E209" s="149"/>
      <c r="F209" s="149"/>
      <c r="G209" s="95"/>
      <c r="H209" s="149"/>
      <c r="I209" s="95"/>
      <c r="J209" s="95"/>
      <c r="K209" s="99"/>
      <c r="L209" s="99"/>
      <c r="M209" s="100"/>
      <c r="N209" s="127"/>
      <c r="O209" s="128"/>
      <c r="P209" s="95"/>
      <c r="Q209" s="137"/>
      <c r="R209" s="129"/>
      <c r="S209" s="95"/>
      <c r="T209" s="95"/>
      <c r="V209" s="107"/>
    </row>
    <row r="210" ht="15.75" customHeight="1">
      <c r="A210" s="89"/>
      <c r="B210" s="182"/>
      <c r="C210" s="149"/>
      <c r="D210" s="95"/>
      <c r="E210" s="149"/>
      <c r="F210" s="149"/>
      <c r="G210" s="95"/>
      <c r="H210" s="149"/>
      <c r="I210" s="95"/>
      <c r="J210" s="95"/>
      <c r="K210" s="113"/>
      <c r="L210" s="113"/>
      <c r="M210" s="100"/>
      <c r="N210" s="127"/>
      <c r="O210" s="128"/>
      <c r="P210" s="95"/>
      <c r="Q210" s="137"/>
      <c r="R210" s="129"/>
      <c r="S210" s="95"/>
      <c r="T210" s="95"/>
      <c r="V210" s="107"/>
    </row>
    <row r="211" ht="15.75" customHeight="1">
      <c r="A211" s="89"/>
      <c r="B211" s="182"/>
      <c r="C211" s="107"/>
      <c r="D211" s="95"/>
      <c r="E211" s="149"/>
      <c r="F211" s="149"/>
      <c r="G211" s="95"/>
      <c r="H211" s="149"/>
      <c r="I211" s="95"/>
      <c r="J211" s="95"/>
      <c r="K211" s="99"/>
      <c r="L211" s="99"/>
      <c r="M211" s="100"/>
      <c r="N211" s="127"/>
      <c r="O211" s="128"/>
      <c r="P211" s="95"/>
      <c r="Q211" s="137"/>
      <c r="R211" s="129"/>
      <c r="S211" s="95"/>
      <c r="T211" s="95"/>
      <c r="V211" s="107"/>
    </row>
    <row r="212" ht="15.75" customHeight="1">
      <c r="A212" s="89"/>
      <c r="B212" s="182"/>
      <c r="C212" s="149"/>
      <c r="D212" s="95"/>
      <c r="E212" s="149"/>
      <c r="F212" s="149"/>
      <c r="G212" s="95"/>
      <c r="H212" s="149"/>
      <c r="I212" s="95"/>
      <c r="J212" s="95"/>
      <c r="K212" s="113"/>
      <c r="L212" s="113"/>
      <c r="M212" s="100"/>
      <c r="N212" s="127"/>
      <c r="O212" s="128"/>
      <c r="P212" s="95"/>
      <c r="Q212" s="137"/>
      <c r="R212" s="129"/>
      <c r="S212" s="95"/>
      <c r="T212" s="95"/>
      <c r="V212" s="107"/>
    </row>
    <row r="213" ht="15.75" customHeight="1">
      <c r="A213" s="89"/>
      <c r="B213" s="182"/>
      <c r="C213" s="149"/>
      <c r="D213" s="95"/>
      <c r="E213" s="149"/>
      <c r="F213" s="149"/>
      <c r="G213" s="95"/>
      <c r="H213" s="149"/>
      <c r="I213" s="95"/>
      <c r="J213" s="95"/>
      <c r="K213" s="99"/>
      <c r="L213" s="99"/>
      <c r="M213" s="100"/>
      <c r="N213" s="127"/>
      <c r="O213" s="128"/>
      <c r="P213" s="95"/>
      <c r="Q213" s="137"/>
      <c r="R213" s="129"/>
      <c r="S213" s="95"/>
      <c r="T213" s="95"/>
      <c r="V213" s="107"/>
    </row>
    <row r="214" ht="15.75" customHeight="1">
      <c r="A214" s="89"/>
      <c r="B214" s="182"/>
      <c r="C214" s="149"/>
      <c r="D214" s="95"/>
      <c r="E214" s="149"/>
      <c r="F214" s="149"/>
      <c r="G214" s="95"/>
      <c r="H214" s="149"/>
      <c r="I214" s="95"/>
      <c r="J214" s="95"/>
      <c r="K214" s="113"/>
      <c r="L214" s="113"/>
      <c r="M214" s="100"/>
      <c r="N214" s="127"/>
      <c r="O214" s="128"/>
      <c r="P214" s="95"/>
      <c r="Q214" s="137"/>
      <c r="R214" s="129"/>
      <c r="S214" s="95"/>
      <c r="T214" s="95"/>
      <c r="V214" s="107"/>
    </row>
    <row r="215" ht="15.75" customHeight="1">
      <c r="A215" s="89"/>
      <c r="B215" s="182"/>
      <c r="C215" s="149"/>
      <c r="D215" s="95"/>
      <c r="E215" s="149"/>
      <c r="F215" s="149"/>
      <c r="G215" s="95"/>
      <c r="H215" s="149"/>
      <c r="I215" s="95"/>
      <c r="J215" s="95"/>
      <c r="K215" s="99"/>
      <c r="L215" s="99"/>
      <c r="M215" s="100"/>
      <c r="N215" s="127"/>
      <c r="O215" s="128"/>
      <c r="P215" s="95"/>
      <c r="Q215" s="137"/>
      <c r="R215" s="129"/>
      <c r="S215" s="95"/>
      <c r="T215" s="95"/>
      <c r="V215" s="107"/>
    </row>
    <row r="216" ht="15.75" customHeight="1">
      <c r="A216" s="89"/>
      <c r="B216" s="182"/>
      <c r="C216" s="149"/>
      <c r="D216" s="95"/>
      <c r="E216" s="149"/>
      <c r="F216" s="149"/>
      <c r="G216" s="95"/>
      <c r="H216" s="149"/>
      <c r="I216" s="95"/>
      <c r="J216" s="95"/>
      <c r="K216" s="113"/>
      <c r="L216" s="113"/>
      <c r="M216" s="100"/>
      <c r="N216" s="127"/>
      <c r="O216" s="128"/>
      <c r="P216" s="95"/>
      <c r="Q216" s="137"/>
      <c r="R216" s="129"/>
      <c r="S216" s="95"/>
      <c r="T216" s="95"/>
      <c r="V216" s="107"/>
    </row>
    <row r="217" ht="15.75" customHeight="1">
      <c r="A217" s="89"/>
      <c r="B217" s="182"/>
      <c r="C217" s="107"/>
      <c r="D217" s="95"/>
      <c r="E217" s="149"/>
      <c r="F217" s="149"/>
      <c r="G217" s="95"/>
      <c r="H217" s="149"/>
      <c r="I217" s="95"/>
      <c r="J217" s="95"/>
      <c r="K217" s="99"/>
      <c r="L217" s="99"/>
      <c r="M217" s="100"/>
      <c r="N217" s="127"/>
      <c r="O217" s="128"/>
      <c r="P217" s="95"/>
      <c r="Q217" s="137"/>
      <c r="R217" s="129"/>
      <c r="S217" s="95"/>
      <c r="T217" s="95"/>
      <c r="V217" s="107"/>
    </row>
    <row r="218" ht="15.75" customHeight="1">
      <c r="A218" s="89"/>
      <c r="B218" s="182"/>
      <c r="C218" s="149"/>
      <c r="D218" s="95"/>
      <c r="E218" s="149"/>
      <c r="F218" s="149"/>
      <c r="G218" s="95"/>
      <c r="H218" s="149"/>
      <c r="I218" s="95"/>
      <c r="J218" s="95"/>
      <c r="K218" s="113"/>
      <c r="L218" s="113"/>
      <c r="M218" s="100"/>
      <c r="N218" s="127"/>
      <c r="O218" s="128"/>
      <c r="P218" s="95"/>
      <c r="Q218" s="137"/>
      <c r="R218" s="129"/>
      <c r="S218" s="95"/>
      <c r="T218" s="95"/>
      <c r="V218" s="107"/>
    </row>
    <row r="219" ht="15.75" customHeight="1">
      <c r="A219" s="89"/>
      <c r="B219" s="182"/>
      <c r="C219" s="149"/>
      <c r="D219" s="95"/>
      <c r="E219" s="149"/>
      <c r="F219" s="149"/>
      <c r="G219" s="95"/>
      <c r="H219" s="149"/>
      <c r="I219" s="95"/>
      <c r="J219" s="95"/>
      <c r="K219" s="99"/>
      <c r="L219" s="99"/>
      <c r="M219" s="100"/>
      <c r="N219" s="127"/>
      <c r="O219" s="128"/>
      <c r="P219" s="95"/>
      <c r="Q219" s="137"/>
      <c r="R219" s="129"/>
      <c r="S219" s="95"/>
      <c r="T219" s="95"/>
      <c r="V219" s="107"/>
    </row>
    <row r="220" ht="15.75" customHeight="1">
      <c r="A220" s="89"/>
      <c r="B220" s="182"/>
      <c r="C220" s="149"/>
      <c r="D220" s="95"/>
      <c r="E220" s="149"/>
      <c r="F220" s="149"/>
      <c r="G220" s="95"/>
      <c r="H220" s="149"/>
      <c r="I220" s="95"/>
      <c r="J220" s="95"/>
      <c r="K220" s="113"/>
      <c r="L220" s="113"/>
      <c r="M220" s="100"/>
      <c r="N220" s="127"/>
      <c r="O220" s="128"/>
      <c r="P220" s="95"/>
      <c r="Q220" s="137"/>
      <c r="R220" s="129"/>
      <c r="S220" s="95"/>
      <c r="T220" s="95"/>
      <c r="V220" s="107"/>
    </row>
    <row r="221" ht="15.75" customHeight="1">
      <c r="A221" s="89"/>
      <c r="B221" s="182"/>
      <c r="C221" s="149"/>
      <c r="D221" s="95"/>
      <c r="E221" s="149"/>
      <c r="F221" s="149"/>
      <c r="G221" s="95"/>
      <c r="H221" s="149"/>
      <c r="I221" s="95"/>
      <c r="J221" s="95"/>
      <c r="K221" s="99"/>
      <c r="L221" s="99"/>
      <c r="M221" s="100"/>
      <c r="N221" s="127"/>
      <c r="O221" s="128"/>
      <c r="P221" s="95"/>
      <c r="Q221" s="137"/>
      <c r="R221" s="129"/>
      <c r="S221" s="95"/>
      <c r="T221" s="95"/>
      <c r="V221" s="107"/>
    </row>
    <row r="222" ht="15.75" customHeight="1">
      <c r="A222" s="89"/>
      <c r="B222" s="182"/>
      <c r="C222" s="149"/>
      <c r="D222" s="95"/>
      <c r="E222" s="149"/>
      <c r="F222" s="149"/>
      <c r="G222" s="95"/>
      <c r="H222" s="149"/>
      <c r="I222" s="95"/>
      <c r="J222" s="95"/>
      <c r="K222" s="113"/>
      <c r="L222" s="113"/>
      <c r="M222" s="100"/>
      <c r="N222" s="127"/>
      <c r="O222" s="128"/>
      <c r="P222" s="95"/>
      <c r="Q222" s="137"/>
      <c r="R222" s="129"/>
      <c r="S222" s="95"/>
      <c r="T222" s="95"/>
      <c r="V222" s="107"/>
    </row>
    <row r="223" ht="15.75" customHeight="1">
      <c r="A223" s="89"/>
      <c r="B223" s="182"/>
      <c r="C223" s="107"/>
      <c r="D223" s="95"/>
      <c r="E223" s="149"/>
      <c r="F223" s="149"/>
      <c r="G223" s="95"/>
      <c r="H223" s="149"/>
      <c r="I223" s="95"/>
      <c r="J223" s="95"/>
      <c r="K223" s="99"/>
      <c r="L223" s="99"/>
      <c r="M223" s="100"/>
      <c r="N223" s="127"/>
      <c r="O223" s="128"/>
      <c r="P223" s="95"/>
      <c r="Q223" s="137"/>
      <c r="R223" s="129"/>
      <c r="S223" s="95"/>
      <c r="T223" s="95"/>
      <c r="V223" s="107"/>
    </row>
    <row r="224" ht="15.75" customHeight="1">
      <c r="A224" s="89"/>
      <c r="B224" s="182"/>
      <c r="C224" s="149"/>
      <c r="D224" s="95"/>
      <c r="E224" s="149"/>
      <c r="F224" s="149"/>
      <c r="G224" s="95"/>
      <c r="H224" s="149"/>
      <c r="I224" s="95"/>
      <c r="J224" s="95"/>
      <c r="K224" s="113"/>
      <c r="L224" s="113"/>
      <c r="M224" s="100"/>
      <c r="N224" s="127"/>
      <c r="O224" s="128"/>
      <c r="P224" s="95"/>
      <c r="Q224" s="137"/>
      <c r="R224" s="129"/>
      <c r="S224" s="95"/>
      <c r="T224" s="95"/>
      <c r="V224" s="107"/>
    </row>
    <row r="225" ht="15.75" customHeight="1">
      <c r="A225" s="89"/>
      <c r="B225" s="182"/>
      <c r="C225" s="149"/>
      <c r="D225" s="95"/>
      <c r="E225" s="149"/>
      <c r="F225" s="149"/>
      <c r="G225" s="95"/>
      <c r="H225" s="149"/>
      <c r="I225" s="95"/>
      <c r="J225" s="95"/>
      <c r="K225" s="99"/>
      <c r="L225" s="99"/>
      <c r="M225" s="100"/>
      <c r="N225" s="127"/>
      <c r="O225" s="128"/>
      <c r="P225" s="95"/>
      <c r="Q225" s="137"/>
      <c r="R225" s="129"/>
      <c r="S225" s="95"/>
      <c r="T225" s="95"/>
      <c r="V225" s="107"/>
    </row>
    <row r="226" ht="15.75" customHeight="1">
      <c r="A226" s="89"/>
      <c r="B226" s="182"/>
      <c r="C226" s="149"/>
      <c r="D226" s="95"/>
      <c r="E226" s="149"/>
      <c r="F226" s="149"/>
      <c r="G226" s="95"/>
      <c r="H226" s="149"/>
      <c r="I226" s="95"/>
      <c r="J226" s="95"/>
      <c r="K226" s="113"/>
      <c r="L226" s="113"/>
      <c r="M226" s="100"/>
      <c r="N226" s="127"/>
      <c r="O226" s="128"/>
      <c r="P226" s="95"/>
      <c r="Q226" s="137"/>
      <c r="R226" s="129"/>
      <c r="S226" s="95"/>
      <c r="T226" s="95"/>
      <c r="V226" s="107"/>
    </row>
    <row r="227" ht="15.75" customHeight="1">
      <c r="A227" s="89"/>
      <c r="B227" s="182"/>
      <c r="C227" s="149"/>
      <c r="D227" s="95"/>
      <c r="E227" s="149"/>
      <c r="F227" s="149"/>
      <c r="G227" s="95"/>
      <c r="H227" s="149"/>
      <c r="I227" s="95"/>
      <c r="J227" s="95"/>
      <c r="K227" s="99"/>
      <c r="L227" s="99"/>
      <c r="M227" s="100"/>
      <c r="N227" s="127"/>
      <c r="O227" s="128"/>
      <c r="P227" s="95"/>
      <c r="Q227" s="137"/>
      <c r="R227" s="129"/>
      <c r="S227" s="95"/>
      <c r="T227" s="95"/>
      <c r="V227" s="107"/>
    </row>
    <row r="228" ht="15.75" customHeight="1">
      <c r="A228" s="89"/>
      <c r="B228" s="182"/>
      <c r="C228" s="149"/>
      <c r="D228" s="95"/>
      <c r="E228" s="149"/>
      <c r="F228" s="149"/>
      <c r="G228" s="95"/>
      <c r="H228" s="149"/>
      <c r="I228" s="95"/>
      <c r="J228" s="95"/>
      <c r="K228" s="113"/>
      <c r="L228" s="113"/>
      <c r="M228" s="100"/>
      <c r="N228" s="127"/>
      <c r="O228" s="128"/>
      <c r="P228" s="95"/>
      <c r="Q228" s="137"/>
      <c r="R228" s="129"/>
      <c r="S228" s="95"/>
      <c r="T228" s="95"/>
      <c r="V228" s="107"/>
    </row>
    <row r="229" ht="15.75" customHeight="1">
      <c r="A229" s="89"/>
      <c r="B229" s="182"/>
      <c r="C229" s="107"/>
      <c r="D229" s="95"/>
      <c r="E229" s="149"/>
      <c r="F229" s="149"/>
      <c r="G229" s="95"/>
      <c r="H229" s="149"/>
      <c r="I229" s="95"/>
      <c r="J229" s="95"/>
      <c r="K229" s="99"/>
      <c r="L229" s="99"/>
      <c r="M229" s="100"/>
      <c r="N229" s="127"/>
      <c r="O229" s="128"/>
      <c r="P229" s="95"/>
      <c r="Q229" s="137"/>
      <c r="R229" s="129"/>
      <c r="S229" s="95"/>
      <c r="T229" s="95"/>
      <c r="V229" s="107"/>
    </row>
    <row r="230" ht="15.75" customHeight="1">
      <c r="A230" s="89"/>
      <c r="B230" s="182"/>
      <c r="C230" s="149"/>
      <c r="D230" s="95"/>
      <c r="E230" s="149"/>
      <c r="F230" s="149"/>
      <c r="G230" s="95"/>
      <c r="H230" s="149"/>
      <c r="I230" s="95"/>
      <c r="J230" s="95"/>
      <c r="K230" s="113"/>
      <c r="L230" s="113"/>
      <c r="M230" s="100"/>
      <c r="N230" s="127"/>
      <c r="O230" s="128"/>
      <c r="P230" s="95"/>
      <c r="Q230" s="137"/>
      <c r="R230" s="129"/>
      <c r="S230" s="95"/>
      <c r="T230" s="95"/>
      <c r="V230" s="107"/>
    </row>
    <row r="231" ht="15.75" customHeight="1">
      <c r="A231" s="89"/>
      <c r="B231" s="182"/>
      <c r="C231" s="149"/>
      <c r="D231" s="95"/>
      <c r="E231" s="149"/>
      <c r="F231" s="149"/>
      <c r="G231" s="95"/>
      <c r="H231" s="149"/>
      <c r="I231" s="95"/>
      <c r="J231" s="95"/>
      <c r="K231" s="99"/>
      <c r="L231" s="99"/>
      <c r="M231" s="100"/>
      <c r="N231" s="127"/>
      <c r="O231" s="128"/>
      <c r="P231" s="95"/>
      <c r="Q231" s="137"/>
      <c r="R231" s="129"/>
      <c r="S231" s="95"/>
      <c r="T231" s="95"/>
      <c r="V231" s="107"/>
    </row>
    <row r="232" ht="15.75" customHeight="1">
      <c r="A232" s="89"/>
      <c r="B232" s="182"/>
      <c r="C232" s="149"/>
      <c r="D232" s="95"/>
      <c r="E232" s="149"/>
      <c r="F232" s="149"/>
      <c r="G232" s="95"/>
      <c r="H232" s="149"/>
      <c r="I232" s="95"/>
      <c r="J232" s="95"/>
      <c r="K232" s="113"/>
      <c r="L232" s="113"/>
      <c r="M232" s="100"/>
      <c r="N232" s="127"/>
      <c r="O232" s="128"/>
      <c r="P232" s="95"/>
      <c r="Q232" s="137"/>
      <c r="R232" s="129"/>
      <c r="S232" s="95"/>
      <c r="T232" s="95"/>
      <c r="V232" s="107"/>
    </row>
    <row r="233" ht="15.75" customHeight="1">
      <c r="A233" s="89"/>
      <c r="B233" s="182"/>
      <c r="C233" s="149"/>
      <c r="D233" s="95"/>
      <c r="E233" s="149"/>
      <c r="F233" s="149"/>
      <c r="G233" s="95"/>
      <c r="H233" s="149"/>
      <c r="I233" s="95"/>
      <c r="J233" s="95"/>
      <c r="K233" s="99"/>
      <c r="L233" s="99"/>
      <c r="M233" s="100"/>
      <c r="N233" s="127"/>
      <c r="O233" s="128"/>
      <c r="P233" s="95"/>
      <c r="Q233" s="137"/>
      <c r="R233" s="129"/>
      <c r="S233" s="95"/>
      <c r="T233" s="95"/>
      <c r="V233" s="107"/>
    </row>
    <row r="234" ht="15.75" customHeight="1">
      <c r="A234" s="89"/>
      <c r="B234" s="182"/>
      <c r="C234" s="149"/>
      <c r="D234" s="95"/>
      <c r="E234" s="149"/>
      <c r="F234" s="149"/>
      <c r="G234" s="95"/>
      <c r="H234" s="149"/>
      <c r="I234" s="95"/>
      <c r="J234" s="95"/>
      <c r="K234" s="113"/>
      <c r="L234" s="113"/>
      <c r="M234" s="100"/>
      <c r="N234" s="127"/>
      <c r="O234" s="128"/>
      <c r="P234" s="95"/>
      <c r="Q234" s="137"/>
      <c r="R234" s="129"/>
      <c r="S234" s="95"/>
      <c r="T234" s="95"/>
      <c r="V234" s="107"/>
    </row>
    <row r="235" ht="15.75" customHeight="1">
      <c r="A235" s="89"/>
      <c r="B235" s="182"/>
      <c r="C235" s="107"/>
      <c r="D235" s="95"/>
      <c r="E235" s="149"/>
      <c r="F235" s="149"/>
      <c r="G235" s="95"/>
      <c r="H235" s="149"/>
      <c r="I235" s="95"/>
      <c r="J235" s="95"/>
      <c r="K235" s="99"/>
      <c r="L235" s="99"/>
      <c r="M235" s="100"/>
      <c r="N235" s="127"/>
      <c r="O235" s="128"/>
      <c r="P235" s="95"/>
      <c r="Q235" s="137"/>
      <c r="R235" s="129"/>
      <c r="S235" s="95"/>
      <c r="T235" s="95"/>
      <c r="V235" s="107"/>
    </row>
    <row r="236" ht="15.75" customHeight="1">
      <c r="A236" s="89"/>
      <c r="B236" s="182"/>
      <c r="C236" s="149"/>
      <c r="D236" s="95"/>
      <c r="E236" s="149"/>
      <c r="F236" s="149"/>
      <c r="G236" s="95"/>
      <c r="H236" s="149"/>
      <c r="I236" s="95"/>
      <c r="J236" s="95"/>
      <c r="K236" s="113"/>
      <c r="L236" s="113"/>
      <c r="M236" s="100"/>
      <c r="N236" s="127"/>
      <c r="O236" s="128"/>
      <c r="P236" s="95"/>
      <c r="Q236" s="137"/>
      <c r="R236" s="129"/>
      <c r="S236" s="95"/>
      <c r="T236" s="95"/>
      <c r="V236" s="107"/>
    </row>
    <row r="237" ht="15.75" customHeight="1">
      <c r="A237" s="89"/>
      <c r="B237" s="182"/>
      <c r="C237" s="149"/>
      <c r="D237" s="95"/>
      <c r="E237" s="149"/>
      <c r="F237" s="149"/>
      <c r="G237" s="95"/>
      <c r="H237" s="149"/>
      <c r="I237" s="95"/>
      <c r="J237" s="95"/>
      <c r="K237" s="99"/>
      <c r="L237" s="99"/>
      <c r="M237" s="100"/>
      <c r="N237" s="127"/>
      <c r="O237" s="128"/>
      <c r="P237" s="95"/>
      <c r="Q237" s="137"/>
      <c r="R237" s="129"/>
      <c r="S237" s="95"/>
      <c r="T237" s="95"/>
      <c r="V237" s="107"/>
    </row>
    <row r="238" ht="15.75" customHeight="1">
      <c r="A238" s="89"/>
      <c r="B238" s="182"/>
      <c r="C238" s="149"/>
      <c r="D238" s="95"/>
      <c r="E238" s="149"/>
      <c r="F238" s="149"/>
      <c r="G238" s="95"/>
      <c r="H238" s="149"/>
      <c r="I238" s="95"/>
      <c r="J238" s="95"/>
      <c r="K238" s="113"/>
      <c r="L238" s="113"/>
      <c r="M238" s="100"/>
      <c r="N238" s="127"/>
      <c r="O238" s="128"/>
      <c r="P238" s="95"/>
      <c r="Q238" s="137"/>
      <c r="R238" s="129"/>
      <c r="S238" s="95"/>
      <c r="T238" s="95"/>
      <c r="V238" s="107"/>
    </row>
    <row r="239" ht="15.75" customHeight="1">
      <c r="A239" s="89"/>
      <c r="B239" s="182"/>
      <c r="C239" s="149"/>
      <c r="D239" s="95"/>
      <c r="E239" s="149"/>
      <c r="F239" s="149"/>
      <c r="G239" s="95"/>
      <c r="H239" s="149"/>
      <c r="I239" s="95"/>
      <c r="J239" s="95"/>
      <c r="K239" s="99"/>
      <c r="L239" s="99"/>
      <c r="M239" s="100"/>
      <c r="N239" s="127"/>
      <c r="O239" s="128"/>
      <c r="P239" s="95"/>
      <c r="Q239" s="137"/>
      <c r="R239" s="129"/>
      <c r="S239" s="95"/>
      <c r="T239" s="95"/>
      <c r="V239" s="107"/>
    </row>
    <row r="240" ht="15.75" customHeight="1">
      <c r="A240" s="89"/>
      <c r="B240" s="182"/>
      <c r="C240" s="149"/>
      <c r="D240" s="95"/>
      <c r="E240" s="149"/>
      <c r="F240" s="149"/>
      <c r="G240" s="95"/>
      <c r="H240" s="149"/>
      <c r="I240" s="95"/>
      <c r="J240" s="95"/>
      <c r="K240" s="113"/>
      <c r="L240" s="113"/>
      <c r="M240" s="100"/>
      <c r="N240" s="127"/>
      <c r="O240" s="128"/>
      <c r="P240" s="95"/>
      <c r="Q240" s="137"/>
      <c r="R240" s="129"/>
      <c r="S240" s="95"/>
      <c r="T240" s="95"/>
      <c r="V240" s="107"/>
    </row>
    <row r="241" ht="15.75" customHeight="1">
      <c r="A241" s="89"/>
      <c r="B241" s="182"/>
      <c r="C241" s="107"/>
      <c r="D241" s="95"/>
      <c r="E241" s="149"/>
      <c r="F241" s="149"/>
      <c r="G241" s="95"/>
      <c r="H241" s="149"/>
      <c r="I241" s="95"/>
      <c r="J241" s="95"/>
      <c r="K241" s="99"/>
      <c r="L241" s="99"/>
      <c r="M241" s="100"/>
      <c r="N241" s="127"/>
      <c r="O241" s="128"/>
      <c r="P241" s="95"/>
      <c r="Q241" s="137"/>
      <c r="R241" s="129"/>
      <c r="S241" s="95"/>
      <c r="T241" s="95"/>
      <c r="V241" s="107"/>
    </row>
    <row r="242" ht="15.75" customHeight="1">
      <c r="A242" s="89"/>
      <c r="B242" s="182"/>
      <c r="C242" s="149"/>
      <c r="D242" s="95"/>
      <c r="E242" s="149"/>
      <c r="F242" s="149"/>
      <c r="G242" s="95"/>
      <c r="H242" s="149"/>
      <c r="I242" s="95"/>
      <c r="J242" s="95"/>
      <c r="K242" s="113"/>
      <c r="L242" s="113"/>
      <c r="M242" s="100"/>
      <c r="N242" s="127"/>
      <c r="O242" s="128"/>
      <c r="P242" s="95"/>
      <c r="Q242" s="137"/>
      <c r="R242" s="129"/>
      <c r="S242" s="95"/>
      <c r="T242" s="95"/>
      <c r="V242" s="107"/>
    </row>
    <row r="243" ht="15.75" customHeight="1">
      <c r="A243" s="89"/>
      <c r="B243" s="182"/>
      <c r="C243" s="149"/>
      <c r="D243" s="95"/>
      <c r="E243" s="149"/>
      <c r="F243" s="149"/>
      <c r="G243" s="95"/>
      <c r="H243" s="149"/>
      <c r="I243" s="95"/>
      <c r="J243" s="95"/>
      <c r="K243" s="99"/>
      <c r="L243" s="99"/>
      <c r="M243" s="100"/>
      <c r="N243" s="127"/>
      <c r="O243" s="128"/>
      <c r="P243" s="95"/>
      <c r="Q243" s="137"/>
      <c r="R243" s="129"/>
      <c r="S243" s="95"/>
      <c r="T243" s="95"/>
      <c r="V243" s="107"/>
    </row>
    <row r="244" ht="15.75" customHeight="1">
      <c r="A244" s="89"/>
      <c r="B244" s="182"/>
      <c r="C244" s="149"/>
      <c r="D244" s="95"/>
      <c r="E244" s="149"/>
      <c r="F244" s="149"/>
      <c r="G244" s="95"/>
      <c r="H244" s="149"/>
      <c r="I244" s="95"/>
      <c r="J244" s="95"/>
      <c r="K244" s="154"/>
      <c r="L244" s="154"/>
      <c r="M244" s="100"/>
      <c r="N244" s="127"/>
      <c r="O244" s="128"/>
      <c r="P244" s="95"/>
      <c r="Q244" s="137"/>
      <c r="R244" s="129"/>
      <c r="S244" s="95"/>
      <c r="T244" s="95"/>
      <c r="V244" s="107"/>
    </row>
    <row r="245" ht="15.75" customHeight="1">
      <c r="A245" s="89"/>
      <c r="B245" s="182"/>
      <c r="C245" s="149"/>
      <c r="D245" s="95"/>
      <c r="E245" s="149"/>
      <c r="F245" s="149"/>
      <c r="G245" s="95"/>
      <c r="H245" s="149"/>
      <c r="I245" s="95"/>
      <c r="J245" s="95"/>
      <c r="K245" s="156"/>
      <c r="L245" s="156"/>
      <c r="M245" s="100"/>
      <c r="N245" s="127"/>
      <c r="O245" s="128"/>
      <c r="P245" s="95"/>
      <c r="Q245" s="137"/>
      <c r="R245" s="129"/>
      <c r="S245" s="95"/>
      <c r="T245" s="95"/>
      <c r="V245" s="107"/>
    </row>
    <row r="246" ht="15.75" customHeight="1">
      <c r="A246" s="89"/>
      <c r="B246" s="182"/>
      <c r="C246" s="149"/>
      <c r="D246" s="95"/>
      <c r="E246" s="149"/>
      <c r="F246" s="149"/>
      <c r="G246" s="95"/>
      <c r="H246" s="149"/>
      <c r="I246" s="95"/>
      <c r="J246" s="95"/>
      <c r="K246" s="154"/>
      <c r="L246" s="154"/>
      <c r="M246" s="100"/>
      <c r="N246" s="127"/>
      <c r="O246" s="128"/>
      <c r="P246" s="95"/>
      <c r="Q246" s="137"/>
      <c r="R246" s="129"/>
      <c r="S246" s="95"/>
      <c r="T246" s="95"/>
      <c r="V246" s="107"/>
    </row>
    <row r="247" ht="15.75" customHeight="1">
      <c r="A247" s="89"/>
      <c r="B247" s="182"/>
      <c r="C247" s="107"/>
      <c r="D247" s="95"/>
      <c r="E247" s="149"/>
      <c r="F247" s="149"/>
      <c r="G247" s="95"/>
      <c r="H247" s="149"/>
      <c r="I247" s="95"/>
      <c r="J247" s="95"/>
      <c r="K247" s="156"/>
      <c r="L247" s="156"/>
      <c r="M247" s="100"/>
      <c r="N247" s="127"/>
      <c r="O247" s="128"/>
      <c r="P247" s="95"/>
      <c r="Q247" s="137"/>
      <c r="R247" s="129"/>
      <c r="S247" s="95"/>
      <c r="T247" s="95"/>
      <c r="V247" s="107"/>
    </row>
    <row r="248" ht="15.75" customHeight="1">
      <c r="A248" s="89"/>
      <c r="B248" s="182"/>
      <c r="C248" s="149"/>
      <c r="D248" s="95"/>
      <c r="E248" s="149"/>
      <c r="F248" s="149"/>
      <c r="G248" s="95"/>
      <c r="H248" s="149"/>
      <c r="I248" s="95"/>
      <c r="J248" s="95"/>
      <c r="K248" s="154"/>
      <c r="L248" s="154"/>
      <c r="M248" s="100"/>
      <c r="N248" s="127"/>
      <c r="O248" s="128"/>
      <c r="P248" s="95"/>
      <c r="Q248" s="137"/>
      <c r="R248" s="129"/>
      <c r="S248" s="95"/>
      <c r="T248" s="95"/>
      <c r="V248" s="107"/>
    </row>
    <row r="249" ht="15.75" customHeight="1">
      <c r="A249" s="89"/>
      <c r="B249" s="182"/>
      <c r="C249" s="149"/>
      <c r="D249" s="95"/>
      <c r="E249" s="149"/>
      <c r="F249" s="149"/>
      <c r="G249" s="95"/>
      <c r="H249" s="149"/>
      <c r="I249" s="95"/>
      <c r="J249" s="95"/>
      <c r="K249" s="156"/>
      <c r="L249" s="156"/>
      <c r="M249" s="100"/>
      <c r="N249" s="127"/>
      <c r="O249" s="128"/>
      <c r="P249" s="95"/>
      <c r="Q249" s="137"/>
      <c r="R249" s="129"/>
      <c r="S249" s="95"/>
      <c r="T249" s="95"/>
      <c r="V249" s="107"/>
    </row>
    <row r="250" ht="15.75" customHeight="1">
      <c r="A250" s="89"/>
      <c r="B250" s="182"/>
      <c r="C250" s="149"/>
      <c r="D250" s="95"/>
      <c r="E250" s="149"/>
      <c r="F250" s="149"/>
      <c r="G250" s="95"/>
      <c r="H250" s="149"/>
      <c r="I250" s="95"/>
      <c r="J250" s="95"/>
      <c r="K250" s="154"/>
      <c r="L250" s="154"/>
      <c r="M250" s="100"/>
      <c r="N250" s="127"/>
      <c r="O250" s="128"/>
      <c r="P250" s="95"/>
      <c r="Q250" s="137"/>
      <c r="R250" s="129"/>
      <c r="S250" s="95"/>
      <c r="T250" s="95"/>
      <c r="V250" s="107"/>
    </row>
    <row r="251" ht="15.75" customHeight="1">
      <c r="A251" s="89"/>
      <c r="B251" s="182"/>
      <c r="C251" s="149"/>
      <c r="D251" s="95"/>
      <c r="E251" s="149"/>
      <c r="F251" s="149"/>
      <c r="G251" s="95"/>
      <c r="H251" s="149"/>
      <c r="I251" s="95"/>
      <c r="J251" s="95"/>
      <c r="K251" s="156"/>
      <c r="L251" s="156"/>
      <c r="M251" s="100"/>
      <c r="N251" s="127"/>
      <c r="O251" s="128"/>
      <c r="P251" s="95"/>
      <c r="Q251" s="137"/>
      <c r="R251" s="129"/>
      <c r="S251" s="95"/>
      <c r="T251" s="95"/>
      <c r="V251" s="107"/>
    </row>
    <row r="252" ht="15.75" customHeight="1">
      <c r="A252" s="89"/>
      <c r="B252" s="182"/>
      <c r="C252" s="149"/>
      <c r="D252" s="95"/>
      <c r="E252" s="149"/>
      <c r="F252" s="149"/>
      <c r="G252" s="95"/>
      <c r="H252" s="149"/>
      <c r="I252" s="95"/>
      <c r="J252" s="95"/>
      <c r="K252" s="154"/>
      <c r="L252" s="154"/>
      <c r="M252" s="100"/>
      <c r="N252" s="127"/>
      <c r="O252" s="128"/>
      <c r="P252" s="95"/>
      <c r="Q252" s="137"/>
      <c r="R252" s="129"/>
      <c r="S252" s="95"/>
      <c r="T252" s="95"/>
      <c r="V252" s="107"/>
    </row>
    <row r="253" ht="15.75" customHeight="1">
      <c r="A253" s="89"/>
      <c r="B253" s="182"/>
      <c r="C253" s="107"/>
      <c r="D253" s="95"/>
      <c r="E253" s="149"/>
      <c r="F253" s="149"/>
      <c r="G253" s="95"/>
      <c r="H253" s="149"/>
      <c r="I253" s="95"/>
      <c r="J253" s="95"/>
      <c r="K253" s="156"/>
      <c r="L253" s="156"/>
      <c r="M253" s="100"/>
      <c r="N253" s="127"/>
      <c r="O253" s="128"/>
      <c r="P253" s="95"/>
      <c r="Q253" s="137"/>
      <c r="R253" s="129"/>
      <c r="S253" s="95"/>
      <c r="T253" s="95"/>
      <c r="V253" s="107"/>
    </row>
    <row r="254" ht="15.75" customHeight="1">
      <c r="A254" s="89"/>
      <c r="B254" s="182"/>
      <c r="C254" s="149"/>
      <c r="D254" s="95"/>
      <c r="E254" s="149"/>
      <c r="F254" s="149"/>
      <c r="G254" s="95"/>
      <c r="H254" s="149"/>
      <c r="I254" s="95"/>
      <c r="J254" s="95"/>
      <c r="K254" s="154"/>
      <c r="L254" s="154"/>
      <c r="M254" s="100"/>
      <c r="N254" s="127"/>
      <c r="O254" s="128"/>
      <c r="P254" s="95"/>
      <c r="Q254" s="137"/>
      <c r="R254" s="129"/>
      <c r="S254" s="95"/>
      <c r="T254" s="95"/>
      <c r="V254" s="107"/>
    </row>
    <row r="255" ht="15.75" customHeight="1">
      <c r="A255" s="89"/>
      <c r="B255" s="182"/>
      <c r="C255" s="149"/>
      <c r="D255" s="95"/>
      <c r="E255" s="149"/>
      <c r="F255" s="149"/>
      <c r="G255" s="95"/>
      <c r="H255" s="149"/>
      <c r="I255" s="95"/>
      <c r="J255" s="95"/>
      <c r="K255" s="156"/>
      <c r="L255" s="156"/>
      <c r="M255" s="100"/>
      <c r="N255" s="127"/>
      <c r="O255" s="128"/>
      <c r="P255" s="95"/>
      <c r="Q255" s="137"/>
      <c r="R255" s="129"/>
      <c r="S255" s="95"/>
      <c r="T255" s="95"/>
      <c r="V255" s="107"/>
    </row>
    <row r="256" ht="15.75" customHeight="1">
      <c r="A256" s="89"/>
      <c r="B256" s="182"/>
      <c r="C256" s="149"/>
      <c r="D256" s="95"/>
      <c r="E256" s="149"/>
      <c r="F256" s="149"/>
      <c r="G256" s="95"/>
      <c r="H256" s="149"/>
      <c r="I256" s="95"/>
      <c r="J256" s="95"/>
      <c r="K256" s="154"/>
      <c r="L256" s="154"/>
      <c r="M256" s="100"/>
      <c r="N256" s="127"/>
      <c r="O256" s="128"/>
      <c r="P256" s="95"/>
      <c r="Q256" s="137"/>
      <c r="R256" s="129"/>
      <c r="S256" s="95"/>
      <c r="T256" s="95"/>
      <c r="V256" s="107"/>
    </row>
    <row r="257" ht="15.75" customHeight="1">
      <c r="A257" s="89"/>
      <c r="B257" s="182"/>
      <c r="C257" s="149"/>
      <c r="D257" s="95"/>
      <c r="E257" s="149"/>
      <c r="F257" s="149"/>
      <c r="G257" s="95"/>
      <c r="H257" s="149"/>
      <c r="I257" s="95"/>
      <c r="J257" s="95"/>
      <c r="K257" s="156"/>
      <c r="L257" s="156"/>
      <c r="M257" s="100"/>
      <c r="N257" s="127"/>
      <c r="O257" s="128"/>
      <c r="P257" s="95"/>
      <c r="Q257" s="137"/>
      <c r="R257" s="129"/>
      <c r="S257" s="95"/>
      <c r="T257" s="95"/>
      <c r="V257" s="107"/>
    </row>
    <row r="258" ht="15.75" customHeight="1">
      <c r="A258" s="89"/>
      <c r="B258" s="182"/>
      <c r="C258" s="149"/>
      <c r="D258" s="95"/>
      <c r="E258" s="149"/>
      <c r="F258" s="149"/>
      <c r="G258" s="95"/>
      <c r="H258" s="149"/>
      <c r="I258" s="95"/>
      <c r="J258" s="95"/>
      <c r="K258" s="154"/>
      <c r="L258" s="154"/>
      <c r="M258" s="100"/>
      <c r="N258" s="127"/>
      <c r="O258" s="128"/>
      <c r="P258" s="95"/>
      <c r="Q258" s="137"/>
      <c r="R258" s="129"/>
      <c r="S258" s="95"/>
      <c r="T258" s="95"/>
      <c r="V258" s="107"/>
    </row>
    <row r="259" ht="15.75" customHeight="1">
      <c r="A259" s="89"/>
      <c r="B259" s="182"/>
      <c r="C259" s="107"/>
      <c r="D259" s="95"/>
      <c r="E259" s="149"/>
      <c r="F259" s="149"/>
      <c r="G259" s="95"/>
      <c r="H259" s="149"/>
      <c r="I259" s="95"/>
      <c r="J259" s="95"/>
      <c r="K259" s="156"/>
      <c r="L259" s="156"/>
      <c r="M259" s="100"/>
      <c r="N259" s="127"/>
      <c r="O259" s="128"/>
      <c r="P259" s="95"/>
      <c r="Q259" s="137"/>
      <c r="R259" s="129"/>
      <c r="S259" s="95"/>
      <c r="T259" s="95"/>
      <c r="V259" s="107"/>
    </row>
    <row r="260" ht="15.75" customHeight="1">
      <c r="A260" s="89"/>
      <c r="B260" s="182"/>
      <c r="C260" s="149"/>
      <c r="D260" s="95"/>
      <c r="E260" s="149"/>
      <c r="F260" s="149"/>
      <c r="G260" s="95"/>
      <c r="H260" s="149"/>
      <c r="I260" s="95"/>
      <c r="J260" s="95"/>
      <c r="K260" s="154"/>
      <c r="L260" s="154"/>
      <c r="M260" s="100"/>
      <c r="N260" s="127"/>
      <c r="O260" s="128"/>
      <c r="P260" s="95"/>
      <c r="Q260" s="137"/>
      <c r="R260" s="129"/>
      <c r="S260" s="95"/>
      <c r="T260" s="95"/>
      <c r="V260" s="107"/>
    </row>
    <row r="261" ht="15.75" customHeight="1">
      <c r="A261" s="89"/>
      <c r="B261" s="182"/>
      <c r="C261" s="149"/>
      <c r="D261" s="95"/>
      <c r="E261" s="149"/>
      <c r="F261" s="149"/>
      <c r="G261" s="95"/>
      <c r="H261" s="149"/>
      <c r="I261" s="95"/>
      <c r="J261" s="95"/>
      <c r="K261" s="156"/>
      <c r="L261" s="156"/>
      <c r="M261" s="100"/>
      <c r="N261" s="127"/>
      <c r="O261" s="128"/>
      <c r="P261" s="95"/>
      <c r="Q261" s="137"/>
      <c r="R261" s="129"/>
      <c r="S261" s="95"/>
      <c r="T261" s="95"/>
      <c r="V261" s="107"/>
    </row>
    <row r="262" ht="15.75" customHeight="1">
      <c r="A262" s="89"/>
      <c r="B262" s="182"/>
      <c r="C262" s="149"/>
      <c r="D262" s="95"/>
      <c r="E262" s="149"/>
      <c r="F262" s="149"/>
      <c r="G262" s="95"/>
      <c r="H262" s="149"/>
      <c r="I262" s="95"/>
      <c r="J262" s="95"/>
      <c r="K262" s="154"/>
      <c r="L262" s="154"/>
      <c r="M262" s="100"/>
      <c r="N262" s="127"/>
      <c r="O262" s="128"/>
      <c r="P262" s="95"/>
      <c r="Q262" s="137"/>
      <c r="R262" s="129"/>
      <c r="S262" s="95"/>
      <c r="T262" s="95"/>
      <c r="V262" s="107"/>
    </row>
    <row r="263" ht="15.75" customHeight="1">
      <c r="A263" s="89"/>
      <c r="B263" s="182"/>
      <c r="C263" s="149"/>
      <c r="D263" s="95"/>
      <c r="E263" s="149"/>
      <c r="F263" s="149"/>
      <c r="G263" s="95"/>
      <c r="H263" s="149"/>
      <c r="I263" s="95"/>
      <c r="J263" s="95"/>
      <c r="K263" s="156"/>
      <c r="L263" s="156"/>
      <c r="M263" s="100"/>
      <c r="N263" s="127"/>
      <c r="O263" s="128"/>
      <c r="P263" s="95"/>
      <c r="Q263" s="137"/>
      <c r="R263" s="129"/>
      <c r="S263" s="95"/>
      <c r="T263" s="95"/>
      <c r="V263" s="107"/>
    </row>
    <row r="264" ht="15.75" customHeight="1">
      <c r="A264" s="89"/>
      <c r="B264" s="182"/>
      <c r="C264" s="149"/>
      <c r="D264" s="95"/>
      <c r="E264" s="149"/>
      <c r="F264" s="149"/>
      <c r="G264" s="95"/>
      <c r="H264" s="149"/>
      <c r="I264" s="95"/>
      <c r="J264" s="95"/>
      <c r="K264" s="154"/>
      <c r="L264" s="154"/>
      <c r="M264" s="100"/>
      <c r="N264" s="127"/>
      <c r="O264" s="128"/>
      <c r="P264" s="95"/>
      <c r="Q264" s="137"/>
      <c r="R264" s="129"/>
      <c r="S264" s="95"/>
      <c r="T264" s="95"/>
      <c r="V264" s="107"/>
    </row>
    <row r="265" ht="15.75" customHeight="1">
      <c r="A265" s="89"/>
      <c r="B265" s="182"/>
      <c r="C265" s="107"/>
      <c r="D265" s="95"/>
      <c r="E265" s="149"/>
      <c r="F265" s="149"/>
      <c r="G265" s="95"/>
      <c r="H265" s="149"/>
      <c r="I265" s="95"/>
      <c r="J265" s="95"/>
      <c r="K265" s="156"/>
      <c r="L265" s="156"/>
      <c r="M265" s="100"/>
      <c r="N265" s="127"/>
      <c r="O265" s="128"/>
      <c r="P265" s="95"/>
      <c r="Q265" s="137"/>
      <c r="R265" s="129"/>
      <c r="S265" s="95"/>
      <c r="T265" s="95"/>
      <c r="V265" s="107"/>
    </row>
    <row r="266" ht="15.75" customHeight="1">
      <c r="A266" s="89"/>
      <c r="B266" s="182"/>
      <c r="C266" s="149"/>
      <c r="D266" s="95"/>
      <c r="E266" s="149"/>
      <c r="F266" s="149"/>
      <c r="G266" s="95"/>
      <c r="H266" s="149"/>
      <c r="I266" s="95"/>
      <c r="J266" s="95"/>
      <c r="K266" s="154"/>
      <c r="L266" s="154"/>
      <c r="M266" s="100"/>
      <c r="N266" s="127"/>
      <c r="O266" s="128"/>
      <c r="P266" s="95"/>
      <c r="Q266" s="137"/>
      <c r="R266" s="129"/>
      <c r="S266" s="95"/>
      <c r="T266" s="95"/>
      <c r="V266" s="107"/>
    </row>
    <row r="267" ht="15.75" customHeight="1">
      <c r="A267" s="89"/>
      <c r="B267" s="182"/>
      <c r="C267" s="149"/>
      <c r="D267" s="95"/>
      <c r="E267" s="149"/>
      <c r="F267" s="149"/>
      <c r="G267" s="95"/>
      <c r="H267" s="149"/>
      <c r="I267" s="95"/>
      <c r="J267" s="95"/>
      <c r="K267" s="156"/>
      <c r="L267" s="156"/>
      <c r="M267" s="100"/>
      <c r="N267" s="127"/>
      <c r="O267" s="128"/>
      <c r="P267" s="95"/>
      <c r="Q267" s="137"/>
      <c r="R267" s="129"/>
      <c r="S267" s="95"/>
      <c r="T267" s="95"/>
      <c r="V267" s="107"/>
    </row>
    <row r="268" ht="15.75" customHeight="1">
      <c r="A268" s="89"/>
      <c r="B268" s="182"/>
      <c r="C268" s="149"/>
      <c r="D268" s="95"/>
      <c r="E268" s="149"/>
      <c r="F268" s="149"/>
      <c r="G268" s="95"/>
      <c r="H268" s="149"/>
      <c r="I268" s="95"/>
      <c r="J268" s="95"/>
      <c r="K268" s="154"/>
      <c r="L268" s="154"/>
      <c r="M268" s="100"/>
      <c r="N268" s="127"/>
      <c r="O268" s="128"/>
      <c r="P268" s="95"/>
      <c r="Q268" s="137"/>
      <c r="R268" s="129"/>
      <c r="S268" s="95"/>
      <c r="T268" s="95"/>
      <c r="V268" s="107"/>
    </row>
    <row r="269" ht="15.75" customHeight="1">
      <c r="A269" s="89"/>
      <c r="B269" s="182"/>
      <c r="C269" s="149"/>
      <c r="D269" s="95"/>
      <c r="E269" s="149"/>
      <c r="F269" s="149"/>
      <c r="G269" s="95"/>
      <c r="H269" s="149"/>
      <c r="I269" s="95"/>
      <c r="J269" s="95"/>
      <c r="K269" s="156"/>
      <c r="L269" s="156"/>
      <c r="M269" s="100"/>
      <c r="N269" s="127"/>
      <c r="O269" s="128"/>
      <c r="P269" s="95"/>
      <c r="Q269" s="137"/>
      <c r="R269" s="129"/>
      <c r="S269" s="95"/>
      <c r="T269" s="95"/>
      <c r="V269" s="107"/>
    </row>
    <row r="270" ht="15.75" customHeight="1">
      <c r="A270" s="89"/>
      <c r="B270" s="182"/>
      <c r="C270" s="149"/>
      <c r="D270" s="95"/>
      <c r="E270" s="149"/>
      <c r="F270" s="149"/>
      <c r="G270" s="95"/>
      <c r="H270" s="149"/>
      <c r="I270" s="95"/>
      <c r="J270" s="95"/>
      <c r="K270" s="154"/>
      <c r="L270" s="154"/>
      <c r="M270" s="100"/>
      <c r="N270" s="127"/>
      <c r="O270" s="128"/>
      <c r="P270" s="95"/>
      <c r="Q270" s="137"/>
      <c r="R270" s="129"/>
      <c r="S270" s="95"/>
      <c r="T270" s="95"/>
      <c r="V270" s="107"/>
    </row>
    <row r="271" ht="15.75" customHeight="1">
      <c r="A271" s="89"/>
      <c r="B271" s="182"/>
      <c r="C271" s="107"/>
      <c r="D271" s="95"/>
      <c r="E271" s="149"/>
      <c r="F271" s="149"/>
      <c r="G271" s="95"/>
      <c r="H271" s="149"/>
      <c r="I271" s="95"/>
      <c r="J271" s="95"/>
      <c r="K271" s="156"/>
      <c r="L271" s="156"/>
      <c r="M271" s="100"/>
      <c r="N271" s="127"/>
      <c r="O271" s="128"/>
      <c r="P271" s="95"/>
      <c r="Q271" s="137"/>
      <c r="R271" s="129"/>
      <c r="S271" s="95"/>
      <c r="T271" s="95"/>
      <c r="V271" s="107"/>
    </row>
    <row r="272" ht="15.75" customHeight="1">
      <c r="A272" s="89"/>
      <c r="B272" s="182"/>
      <c r="C272" s="149"/>
      <c r="D272" s="95"/>
      <c r="E272" s="149"/>
      <c r="F272" s="149"/>
      <c r="G272" s="95"/>
      <c r="H272" s="149"/>
      <c r="I272" s="95"/>
      <c r="J272" s="95"/>
      <c r="K272" s="154"/>
      <c r="L272" s="154"/>
      <c r="M272" s="100"/>
      <c r="N272" s="127"/>
      <c r="O272" s="128"/>
      <c r="P272" s="95"/>
      <c r="Q272" s="137"/>
      <c r="R272" s="129"/>
      <c r="S272" s="95"/>
      <c r="T272" s="95"/>
      <c r="V272" s="107"/>
    </row>
    <row r="273" ht="15.75" customHeight="1">
      <c r="A273" s="89"/>
      <c r="B273" s="182"/>
      <c r="C273" s="149"/>
      <c r="D273" s="95"/>
      <c r="E273" s="149"/>
      <c r="F273" s="149"/>
      <c r="G273" s="95"/>
      <c r="H273" s="149"/>
      <c r="I273" s="95"/>
      <c r="J273" s="95"/>
      <c r="K273" s="156"/>
      <c r="L273" s="156"/>
      <c r="M273" s="100"/>
      <c r="N273" s="127"/>
      <c r="O273" s="128"/>
      <c r="P273" s="95"/>
      <c r="Q273" s="137"/>
      <c r="R273" s="129"/>
      <c r="S273" s="95"/>
      <c r="T273" s="95"/>
      <c r="V273" s="107"/>
    </row>
    <row r="274" ht="15.75" customHeight="1">
      <c r="A274" s="89"/>
      <c r="B274" s="182"/>
      <c r="C274" s="149"/>
      <c r="D274" s="95"/>
      <c r="E274" s="149"/>
      <c r="F274" s="149"/>
      <c r="G274" s="95"/>
      <c r="H274" s="149"/>
      <c r="I274" s="95"/>
      <c r="J274" s="95"/>
      <c r="K274" s="154"/>
      <c r="L274" s="154"/>
      <c r="M274" s="100"/>
      <c r="N274" s="127"/>
      <c r="O274" s="128"/>
      <c r="P274" s="95"/>
      <c r="Q274" s="137"/>
      <c r="R274" s="129"/>
      <c r="S274" s="95"/>
      <c r="T274" s="95"/>
      <c r="V274" s="107"/>
    </row>
    <row r="275" ht="15.75" customHeight="1">
      <c r="A275" s="89"/>
      <c r="B275" s="182"/>
      <c r="C275" s="149"/>
      <c r="D275" s="95"/>
      <c r="E275" s="149"/>
      <c r="F275" s="149"/>
      <c r="G275" s="95"/>
      <c r="H275" s="149"/>
      <c r="I275" s="95"/>
      <c r="J275" s="95"/>
      <c r="K275" s="156"/>
      <c r="L275" s="156"/>
      <c r="M275" s="100"/>
      <c r="N275" s="127"/>
      <c r="O275" s="128"/>
      <c r="P275" s="95"/>
      <c r="Q275" s="137"/>
      <c r="R275" s="129"/>
      <c r="S275" s="95"/>
      <c r="T275" s="95"/>
      <c r="V275" s="107"/>
    </row>
    <row r="276" ht="15.75" customHeight="1">
      <c r="A276" s="89"/>
      <c r="B276" s="182"/>
      <c r="C276" s="149"/>
      <c r="D276" s="95"/>
      <c r="E276" s="149"/>
      <c r="F276" s="149"/>
      <c r="G276" s="95"/>
      <c r="H276" s="149"/>
      <c r="I276" s="95"/>
      <c r="J276" s="95"/>
      <c r="K276" s="154"/>
      <c r="L276" s="154"/>
      <c r="M276" s="100"/>
      <c r="N276" s="127"/>
      <c r="O276" s="128"/>
      <c r="P276" s="95"/>
      <c r="Q276" s="137"/>
      <c r="R276" s="129"/>
      <c r="S276" s="95"/>
      <c r="T276" s="95"/>
      <c r="V276" s="107"/>
    </row>
    <row r="277" ht="15.75" customHeight="1">
      <c r="A277" s="89"/>
      <c r="B277" s="182"/>
      <c r="C277" s="107"/>
      <c r="D277" s="95"/>
      <c r="E277" s="149"/>
      <c r="F277" s="149"/>
      <c r="G277" s="95"/>
      <c r="H277" s="149"/>
      <c r="I277" s="95"/>
      <c r="J277" s="95"/>
      <c r="K277" s="156"/>
      <c r="L277" s="156"/>
      <c r="M277" s="100"/>
      <c r="N277" s="127"/>
      <c r="O277" s="128"/>
      <c r="P277" s="95"/>
      <c r="Q277" s="137"/>
      <c r="R277" s="129"/>
      <c r="S277" s="95"/>
      <c r="T277" s="95"/>
      <c r="V277" s="107"/>
    </row>
    <row r="278" ht="15.75" customHeight="1">
      <c r="A278" s="89"/>
      <c r="B278" s="182"/>
      <c r="C278" s="149"/>
      <c r="D278" s="95"/>
      <c r="E278" s="149"/>
      <c r="F278" s="149"/>
      <c r="G278" s="95"/>
      <c r="H278" s="149"/>
      <c r="I278" s="95"/>
      <c r="J278" s="95"/>
      <c r="K278" s="154"/>
      <c r="L278" s="154"/>
      <c r="M278" s="100"/>
      <c r="N278" s="127"/>
      <c r="O278" s="128"/>
      <c r="P278" s="95"/>
      <c r="Q278" s="137"/>
      <c r="R278" s="129"/>
      <c r="S278" s="95"/>
      <c r="T278" s="95"/>
      <c r="V278" s="107"/>
    </row>
    <row r="279" ht="15.75" customHeight="1">
      <c r="A279" s="89"/>
      <c r="B279" s="182"/>
      <c r="C279" s="149"/>
      <c r="D279" s="95"/>
      <c r="E279" s="149"/>
      <c r="F279" s="149"/>
      <c r="G279" s="95"/>
      <c r="H279" s="149"/>
      <c r="I279" s="95"/>
      <c r="J279" s="95"/>
      <c r="K279" s="156"/>
      <c r="L279" s="156"/>
      <c r="M279" s="100"/>
      <c r="N279" s="127"/>
      <c r="O279" s="128"/>
      <c r="P279" s="95"/>
      <c r="Q279" s="137"/>
      <c r="R279" s="129"/>
      <c r="S279" s="95"/>
      <c r="T279" s="95"/>
      <c r="V279" s="107"/>
    </row>
    <row r="280" ht="15.75" customHeight="1">
      <c r="A280" s="89"/>
      <c r="B280" s="182"/>
      <c r="C280" s="149"/>
      <c r="D280" s="95"/>
      <c r="E280" s="149"/>
      <c r="F280" s="149"/>
      <c r="G280" s="95"/>
      <c r="H280" s="149"/>
      <c r="I280" s="95"/>
      <c r="J280" s="95"/>
      <c r="K280" s="154"/>
      <c r="L280" s="154"/>
      <c r="M280" s="100"/>
      <c r="N280" s="127"/>
      <c r="O280" s="128"/>
      <c r="P280" s="95"/>
      <c r="Q280" s="137"/>
      <c r="R280" s="129"/>
      <c r="S280" s="95"/>
      <c r="T280" s="95"/>
      <c r="V280" s="107"/>
    </row>
    <row r="281" ht="15.75" customHeight="1">
      <c r="A281" s="89"/>
      <c r="B281" s="182"/>
      <c r="C281" s="149"/>
      <c r="D281" s="95"/>
      <c r="E281" s="149"/>
      <c r="F281" s="149"/>
      <c r="G281" s="95"/>
      <c r="H281" s="149"/>
      <c r="I281" s="95"/>
      <c r="J281" s="95"/>
      <c r="K281" s="156"/>
      <c r="L281" s="156"/>
      <c r="M281" s="100"/>
      <c r="N281" s="127"/>
      <c r="O281" s="128"/>
      <c r="P281" s="95"/>
      <c r="Q281" s="137"/>
      <c r="R281" s="129"/>
      <c r="S281" s="95"/>
      <c r="T281" s="95"/>
      <c r="V281" s="107"/>
    </row>
    <row r="282" ht="15.75" customHeight="1">
      <c r="A282" s="89"/>
      <c r="B282" s="182"/>
      <c r="C282" s="149"/>
      <c r="D282" s="95"/>
      <c r="E282" s="149"/>
      <c r="F282" s="149"/>
      <c r="G282" s="95"/>
      <c r="H282" s="149"/>
      <c r="I282" s="95"/>
      <c r="J282" s="95"/>
      <c r="K282" s="154"/>
      <c r="L282" s="154"/>
      <c r="M282" s="100"/>
      <c r="N282" s="127"/>
      <c r="O282" s="128"/>
      <c r="P282" s="95"/>
      <c r="Q282" s="137"/>
      <c r="R282" s="129"/>
      <c r="S282" s="95"/>
      <c r="T282" s="95"/>
      <c r="V282" s="107"/>
    </row>
    <row r="283" ht="15.75" customHeight="1">
      <c r="A283" s="89"/>
      <c r="B283" s="182"/>
      <c r="C283" s="107"/>
      <c r="D283" s="95"/>
      <c r="E283" s="149"/>
      <c r="F283" s="149"/>
      <c r="G283" s="95"/>
      <c r="H283" s="149"/>
      <c r="I283" s="95"/>
      <c r="J283" s="95"/>
      <c r="K283" s="156"/>
      <c r="L283" s="156"/>
      <c r="M283" s="100"/>
      <c r="N283" s="127"/>
      <c r="O283" s="128"/>
      <c r="P283" s="95"/>
      <c r="Q283" s="137"/>
      <c r="R283" s="129"/>
      <c r="S283" s="95"/>
      <c r="T283" s="95"/>
      <c r="V283" s="107"/>
    </row>
    <row r="284" ht="15.75" customHeight="1">
      <c r="A284" s="89"/>
      <c r="B284" s="182"/>
      <c r="C284" s="149"/>
      <c r="D284" s="95"/>
      <c r="E284" s="149"/>
      <c r="F284" s="149"/>
      <c r="G284" s="95"/>
      <c r="H284" s="149"/>
      <c r="I284" s="95"/>
      <c r="J284" s="95"/>
      <c r="K284" s="154"/>
      <c r="L284" s="154"/>
      <c r="M284" s="100"/>
      <c r="N284" s="127"/>
      <c r="O284" s="128"/>
      <c r="P284" s="95"/>
      <c r="Q284" s="137"/>
      <c r="R284" s="129"/>
      <c r="S284" s="95"/>
      <c r="T284" s="95"/>
      <c r="V284" s="107"/>
    </row>
    <row r="285" ht="15.75" customHeight="1">
      <c r="A285" s="89"/>
      <c r="B285" s="182"/>
      <c r="C285" s="149"/>
      <c r="D285" s="95"/>
      <c r="E285" s="149"/>
      <c r="F285" s="149"/>
      <c r="G285" s="95"/>
      <c r="H285" s="149"/>
      <c r="I285" s="95"/>
      <c r="J285" s="95"/>
      <c r="K285" s="156"/>
      <c r="L285" s="156"/>
      <c r="M285" s="100"/>
      <c r="N285" s="127"/>
      <c r="O285" s="128"/>
      <c r="P285" s="95"/>
      <c r="Q285" s="137"/>
      <c r="R285" s="129"/>
      <c r="S285" s="95"/>
      <c r="T285" s="95"/>
      <c r="V285" s="107"/>
    </row>
    <row r="286" ht="15.75" customHeight="1">
      <c r="A286" s="89"/>
      <c r="B286" s="182"/>
      <c r="C286" s="149"/>
      <c r="D286" s="95"/>
      <c r="E286" s="149"/>
      <c r="F286" s="149"/>
      <c r="G286" s="95"/>
      <c r="H286" s="149"/>
      <c r="I286" s="95"/>
      <c r="J286" s="95"/>
      <c r="K286" s="154"/>
      <c r="L286" s="154"/>
      <c r="M286" s="100"/>
      <c r="N286" s="127"/>
      <c r="O286" s="128"/>
      <c r="P286" s="95"/>
      <c r="Q286" s="137"/>
      <c r="R286" s="129"/>
      <c r="S286" s="95"/>
      <c r="T286" s="95"/>
      <c r="V286" s="107"/>
    </row>
    <row r="287" ht="15.75" customHeight="1">
      <c r="A287" s="89"/>
      <c r="B287" s="182"/>
      <c r="C287" s="149"/>
      <c r="D287" s="95"/>
      <c r="E287" s="149"/>
      <c r="F287" s="149"/>
      <c r="G287" s="95"/>
      <c r="H287" s="149"/>
      <c r="I287" s="95"/>
      <c r="J287" s="95"/>
      <c r="K287" s="156"/>
      <c r="L287" s="156"/>
      <c r="M287" s="100"/>
      <c r="N287" s="127"/>
      <c r="O287" s="128"/>
      <c r="P287" s="95"/>
      <c r="Q287" s="137"/>
      <c r="R287" s="129"/>
      <c r="S287" s="95"/>
      <c r="T287" s="95"/>
      <c r="V287" s="107"/>
    </row>
    <row r="288" ht="15.75" customHeight="1">
      <c r="A288" s="89"/>
      <c r="B288" s="182"/>
      <c r="C288" s="149"/>
      <c r="D288" s="95"/>
      <c r="E288" s="149"/>
      <c r="F288" s="149"/>
      <c r="G288" s="95"/>
      <c r="H288" s="149"/>
      <c r="I288" s="95"/>
      <c r="J288" s="95"/>
      <c r="K288" s="154"/>
      <c r="L288" s="154"/>
      <c r="M288" s="100"/>
      <c r="N288" s="127"/>
      <c r="O288" s="128"/>
      <c r="P288" s="95"/>
      <c r="Q288" s="137"/>
      <c r="R288" s="129"/>
      <c r="S288" s="95"/>
      <c r="T288" s="95"/>
      <c r="V288" s="107"/>
    </row>
    <row r="289" ht="15.75" customHeight="1">
      <c r="A289" s="89"/>
      <c r="B289" s="182"/>
      <c r="C289" s="107"/>
      <c r="D289" s="95"/>
      <c r="E289" s="149"/>
      <c r="F289" s="149"/>
      <c r="G289" s="95"/>
      <c r="H289" s="149"/>
      <c r="I289" s="95"/>
      <c r="J289" s="95"/>
      <c r="K289" s="156"/>
      <c r="L289" s="156"/>
      <c r="M289" s="100"/>
      <c r="N289" s="127"/>
      <c r="O289" s="128"/>
      <c r="P289" s="95"/>
      <c r="Q289" s="137"/>
      <c r="R289" s="129"/>
      <c r="S289" s="95"/>
      <c r="T289" s="95"/>
      <c r="V289" s="107"/>
    </row>
    <row r="290" ht="15.75" customHeight="1">
      <c r="A290" s="89"/>
      <c r="B290" s="182"/>
      <c r="C290" s="149"/>
      <c r="D290" s="95"/>
      <c r="E290" s="149"/>
      <c r="F290" s="149"/>
      <c r="G290" s="95"/>
      <c r="H290" s="149"/>
      <c r="I290" s="95"/>
      <c r="J290" s="95"/>
      <c r="K290" s="154"/>
      <c r="L290" s="154"/>
      <c r="M290" s="100"/>
      <c r="N290" s="127"/>
      <c r="O290" s="128"/>
      <c r="P290" s="95"/>
      <c r="Q290" s="137"/>
      <c r="R290" s="129"/>
      <c r="S290" s="95"/>
      <c r="T290" s="95"/>
      <c r="V290" s="107"/>
    </row>
    <row r="291" ht="15.75" customHeight="1">
      <c r="A291" s="89"/>
      <c r="B291" s="182"/>
      <c r="C291" s="149"/>
      <c r="D291" s="95"/>
      <c r="E291" s="149"/>
      <c r="F291" s="149"/>
      <c r="G291" s="95"/>
      <c r="H291" s="149"/>
      <c r="I291" s="95"/>
      <c r="J291" s="95"/>
      <c r="K291" s="156"/>
      <c r="L291" s="156"/>
      <c r="M291" s="100"/>
      <c r="N291" s="127"/>
      <c r="O291" s="128"/>
      <c r="P291" s="95"/>
      <c r="Q291" s="137"/>
      <c r="R291" s="129"/>
      <c r="S291" s="95"/>
      <c r="T291" s="95"/>
      <c r="V291" s="107"/>
    </row>
    <row r="292" ht="15.75" customHeight="1">
      <c r="A292" s="89"/>
      <c r="B292" s="182"/>
      <c r="C292" s="149"/>
      <c r="D292" s="95"/>
      <c r="E292" s="149"/>
      <c r="F292" s="149"/>
      <c r="G292" s="95"/>
      <c r="H292" s="149"/>
      <c r="I292" s="95"/>
      <c r="J292" s="95"/>
      <c r="K292" s="154"/>
      <c r="L292" s="154"/>
      <c r="M292" s="100"/>
      <c r="N292" s="127"/>
      <c r="O292" s="128"/>
      <c r="P292" s="95"/>
      <c r="Q292" s="137"/>
      <c r="R292" s="129"/>
      <c r="S292" s="95"/>
      <c r="T292" s="95"/>
      <c r="V292" s="107"/>
    </row>
    <row r="293" ht="15.75" customHeight="1">
      <c r="A293" s="89"/>
      <c r="B293" s="182"/>
      <c r="C293" s="149"/>
      <c r="D293" s="95"/>
      <c r="E293" s="149"/>
      <c r="F293" s="149"/>
      <c r="G293" s="95"/>
      <c r="H293" s="149"/>
      <c r="I293" s="95"/>
      <c r="J293" s="95"/>
      <c r="K293" s="156"/>
      <c r="L293" s="156"/>
      <c r="M293" s="100"/>
      <c r="N293" s="127"/>
      <c r="O293" s="128"/>
      <c r="P293" s="95"/>
      <c r="Q293" s="137"/>
      <c r="R293" s="129"/>
      <c r="S293" s="95"/>
      <c r="T293" s="95"/>
      <c r="V293" s="107"/>
    </row>
    <row r="294" ht="15.75" customHeight="1">
      <c r="A294" s="89"/>
      <c r="B294" s="182"/>
      <c r="C294" s="149"/>
      <c r="D294" s="95"/>
      <c r="E294" s="149"/>
      <c r="F294" s="149"/>
      <c r="G294" s="95"/>
      <c r="H294" s="149"/>
      <c r="I294" s="95"/>
      <c r="J294" s="95"/>
      <c r="K294" s="154"/>
      <c r="L294" s="154"/>
      <c r="M294" s="100"/>
      <c r="N294" s="127"/>
      <c r="O294" s="128"/>
      <c r="P294" s="95"/>
      <c r="Q294" s="137"/>
      <c r="R294" s="129"/>
      <c r="S294" s="95"/>
      <c r="T294" s="95"/>
      <c r="V294" s="107"/>
    </row>
    <row r="295" ht="15.75" customHeight="1">
      <c r="A295" s="89"/>
      <c r="B295" s="182"/>
      <c r="C295" s="107"/>
      <c r="D295" s="95"/>
      <c r="E295" s="149"/>
      <c r="F295" s="149"/>
      <c r="G295" s="95"/>
      <c r="H295" s="149"/>
      <c r="I295" s="95"/>
      <c r="J295" s="95"/>
      <c r="K295" s="156"/>
      <c r="L295" s="156"/>
      <c r="M295" s="100"/>
      <c r="N295" s="127"/>
      <c r="O295" s="128"/>
      <c r="P295" s="95"/>
      <c r="Q295" s="137"/>
      <c r="R295" s="129"/>
      <c r="S295" s="95"/>
      <c r="T295" s="95"/>
      <c r="V295" s="107"/>
    </row>
    <row r="296" ht="15.75" customHeight="1">
      <c r="A296" s="89"/>
      <c r="B296" s="182"/>
      <c r="C296" s="149"/>
      <c r="D296" s="95"/>
      <c r="E296" s="149"/>
      <c r="F296" s="149"/>
      <c r="G296" s="95"/>
      <c r="H296" s="149"/>
      <c r="I296" s="95"/>
      <c r="J296" s="95"/>
      <c r="K296" s="154"/>
      <c r="L296" s="154"/>
      <c r="M296" s="100"/>
      <c r="N296" s="127"/>
      <c r="O296" s="128"/>
      <c r="P296" s="95"/>
      <c r="Q296" s="137"/>
      <c r="R296" s="129"/>
      <c r="S296" s="95"/>
      <c r="T296" s="95"/>
      <c r="V296" s="107"/>
    </row>
    <row r="297" ht="15.75" customHeight="1">
      <c r="A297" s="89"/>
      <c r="B297" s="182"/>
      <c r="C297" s="149"/>
      <c r="D297" s="95"/>
      <c r="E297" s="149"/>
      <c r="F297" s="149"/>
      <c r="G297" s="95"/>
      <c r="H297" s="149"/>
      <c r="I297" s="95"/>
      <c r="J297" s="95"/>
      <c r="K297" s="156"/>
      <c r="L297" s="156"/>
      <c r="M297" s="100"/>
      <c r="N297" s="127"/>
      <c r="O297" s="128"/>
      <c r="P297" s="95"/>
      <c r="Q297" s="137"/>
      <c r="R297" s="129"/>
      <c r="S297" s="95"/>
      <c r="T297" s="95"/>
      <c r="V297" s="107"/>
    </row>
    <row r="298" ht="15.75" customHeight="1">
      <c r="A298" s="89"/>
      <c r="B298" s="182"/>
      <c r="C298" s="149"/>
      <c r="D298" s="95"/>
      <c r="E298" s="149"/>
      <c r="F298" s="149"/>
      <c r="G298" s="95"/>
      <c r="H298" s="149"/>
      <c r="I298" s="95"/>
      <c r="J298" s="95"/>
      <c r="K298" s="154"/>
      <c r="L298" s="154"/>
      <c r="M298" s="100"/>
      <c r="N298" s="127"/>
      <c r="O298" s="128"/>
      <c r="P298" s="95"/>
      <c r="Q298" s="137"/>
      <c r="R298" s="129"/>
      <c r="S298" s="95"/>
      <c r="T298" s="95"/>
      <c r="V298" s="107"/>
    </row>
    <row r="299" ht="15.75" customHeight="1">
      <c r="A299" s="89"/>
      <c r="B299" s="182"/>
      <c r="C299" s="149"/>
      <c r="D299" s="95"/>
      <c r="E299" s="149"/>
      <c r="F299" s="149"/>
      <c r="G299" s="95"/>
      <c r="H299" s="149"/>
      <c r="I299" s="95"/>
      <c r="J299" s="95"/>
      <c r="K299" s="156"/>
      <c r="L299" s="156"/>
      <c r="M299" s="100"/>
      <c r="N299" s="127"/>
      <c r="O299" s="128"/>
      <c r="P299" s="95"/>
      <c r="Q299" s="137"/>
      <c r="R299" s="129"/>
      <c r="S299" s="95"/>
      <c r="T299" s="95"/>
      <c r="V299" s="107"/>
    </row>
    <row r="300" ht="15.75" customHeight="1">
      <c r="A300" s="89"/>
      <c r="B300" s="182"/>
      <c r="C300" s="149"/>
      <c r="D300" s="95"/>
      <c r="E300" s="149"/>
      <c r="F300" s="149"/>
      <c r="G300" s="95"/>
      <c r="H300" s="149"/>
      <c r="I300" s="95"/>
      <c r="J300" s="95"/>
      <c r="K300" s="154"/>
      <c r="L300" s="154"/>
      <c r="M300" s="100"/>
      <c r="N300" s="127"/>
      <c r="O300" s="128"/>
      <c r="P300" s="95"/>
      <c r="Q300" s="137"/>
      <c r="R300" s="129"/>
      <c r="S300" s="95"/>
      <c r="T300" s="95"/>
      <c r="V300" s="107"/>
    </row>
    <row r="301" ht="15.75" customHeight="1">
      <c r="A301" s="89"/>
      <c r="B301" s="182"/>
      <c r="C301" s="107"/>
      <c r="D301" s="95"/>
      <c r="E301" s="149"/>
      <c r="F301" s="149"/>
      <c r="G301" s="95"/>
      <c r="H301" s="149"/>
      <c r="I301" s="95"/>
      <c r="J301" s="95"/>
      <c r="K301" s="156"/>
      <c r="L301" s="156"/>
      <c r="M301" s="100"/>
      <c r="N301" s="127"/>
      <c r="O301" s="128"/>
      <c r="P301" s="95"/>
      <c r="Q301" s="137"/>
      <c r="R301" s="129"/>
      <c r="S301" s="95"/>
      <c r="T301" s="95"/>
      <c r="V301" s="107"/>
    </row>
    <row r="302" ht="15.75" customHeight="1">
      <c r="A302" s="89"/>
      <c r="B302" s="182"/>
      <c r="C302" s="149"/>
      <c r="D302" s="95"/>
      <c r="E302" s="149"/>
      <c r="F302" s="149"/>
      <c r="G302" s="95"/>
      <c r="H302" s="149"/>
      <c r="I302" s="95"/>
      <c r="J302" s="95"/>
      <c r="K302" s="154"/>
      <c r="L302" s="154"/>
      <c r="M302" s="100"/>
      <c r="N302" s="127"/>
      <c r="O302" s="128"/>
      <c r="P302" s="95"/>
      <c r="Q302" s="137"/>
      <c r="R302" s="129"/>
      <c r="S302" s="95"/>
      <c r="T302" s="95"/>
      <c r="V302" s="107"/>
    </row>
    <row r="303" ht="15.75" customHeight="1">
      <c r="A303" s="89"/>
      <c r="B303" s="182"/>
      <c r="C303" s="149"/>
      <c r="D303" s="95"/>
      <c r="E303" s="149"/>
      <c r="F303" s="149"/>
      <c r="G303" s="95"/>
      <c r="H303" s="149"/>
      <c r="I303" s="95"/>
      <c r="J303" s="95"/>
      <c r="K303" s="156"/>
      <c r="L303" s="156"/>
      <c r="M303" s="100"/>
      <c r="N303" s="127"/>
      <c r="O303" s="128"/>
      <c r="P303" s="95"/>
      <c r="Q303" s="137"/>
      <c r="R303" s="129"/>
      <c r="S303" s="95"/>
      <c r="T303" s="95"/>
      <c r="V303" s="107"/>
    </row>
    <row r="304" ht="15.75" customHeight="1">
      <c r="A304" s="89"/>
      <c r="B304" s="182"/>
      <c r="C304" s="149"/>
      <c r="D304" s="95"/>
      <c r="E304" s="149"/>
      <c r="F304" s="149"/>
      <c r="G304" s="95"/>
      <c r="H304" s="149"/>
      <c r="I304" s="95"/>
      <c r="J304" s="95"/>
      <c r="K304" s="154"/>
      <c r="L304" s="154"/>
      <c r="M304" s="100"/>
      <c r="N304" s="127"/>
      <c r="O304" s="128"/>
      <c r="P304" s="95"/>
      <c r="Q304" s="137"/>
      <c r="R304" s="129"/>
      <c r="S304" s="95"/>
      <c r="T304" s="95"/>
      <c r="V304" s="107"/>
    </row>
    <row r="305" ht="15.75" customHeight="1">
      <c r="A305" s="89"/>
      <c r="B305" s="182"/>
      <c r="C305" s="149"/>
      <c r="D305" s="95"/>
      <c r="E305" s="149"/>
      <c r="F305" s="149"/>
      <c r="G305" s="95"/>
      <c r="H305" s="149"/>
      <c r="I305" s="95"/>
      <c r="J305" s="95"/>
      <c r="K305" s="156"/>
      <c r="L305" s="156"/>
      <c r="M305" s="100"/>
      <c r="N305" s="127"/>
      <c r="O305" s="128"/>
      <c r="P305" s="95"/>
      <c r="Q305" s="137"/>
      <c r="R305" s="129"/>
      <c r="S305" s="95"/>
      <c r="T305" s="95"/>
      <c r="V305" s="107"/>
    </row>
    <row r="306" ht="15.75" customHeight="1">
      <c r="A306" s="89"/>
      <c r="B306" s="182"/>
      <c r="C306" s="149"/>
      <c r="D306" s="95"/>
      <c r="E306" s="149"/>
      <c r="F306" s="149"/>
      <c r="G306" s="95"/>
      <c r="H306" s="149"/>
      <c r="I306" s="95"/>
      <c r="J306" s="95"/>
      <c r="K306" s="154"/>
      <c r="L306" s="154"/>
      <c r="M306" s="100"/>
      <c r="N306" s="127"/>
      <c r="O306" s="128"/>
      <c r="P306" s="95"/>
      <c r="Q306" s="137"/>
      <c r="R306" s="129"/>
      <c r="S306" s="95"/>
      <c r="T306" s="95"/>
      <c r="V306" s="107"/>
    </row>
    <row r="307" ht="15.75" customHeight="1">
      <c r="A307" s="89"/>
      <c r="B307" s="182"/>
      <c r="C307" s="107"/>
      <c r="D307" s="95"/>
      <c r="E307" s="149"/>
      <c r="F307" s="149"/>
      <c r="G307" s="95"/>
      <c r="H307" s="149"/>
      <c r="I307" s="95"/>
      <c r="J307" s="95"/>
      <c r="K307" s="156"/>
      <c r="L307" s="156"/>
      <c r="M307" s="100"/>
      <c r="N307" s="127"/>
      <c r="O307" s="128"/>
      <c r="P307" s="95"/>
      <c r="Q307" s="137"/>
      <c r="R307" s="129"/>
      <c r="S307" s="95"/>
      <c r="T307" s="95"/>
      <c r="V307" s="107"/>
    </row>
    <row r="308" ht="15.75" customHeight="1">
      <c r="A308" s="89"/>
      <c r="B308" s="182"/>
      <c r="C308" s="149"/>
      <c r="D308" s="95"/>
      <c r="E308" s="149"/>
      <c r="F308" s="149"/>
      <c r="G308" s="95"/>
      <c r="H308" s="149"/>
      <c r="I308" s="95"/>
      <c r="J308" s="95"/>
      <c r="K308" s="154"/>
      <c r="L308" s="154"/>
      <c r="M308" s="100"/>
      <c r="N308" s="127"/>
      <c r="O308" s="128"/>
      <c r="P308" s="95"/>
      <c r="Q308" s="137"/>
      <c r="R308" s="129"/>
      <c r="S308" s="95"/>
      <c r="T308" s="95"/>
      <c r="V308" s="107"/>
    </row>
    <row r="309" ht="15.75" customHeight="1">
      <c r="A309" s="89"/>
      <c r="B309" s="182"/>
      <c r="C309" s="149"/>
      <c r="D309" s="95"/>
      <c r="E309" s="149"/>
      <c r="F309" s="149"/>
      <c r="G309" s="95"/>
      <c r="H309" s="149"/>
      <c r="I309" s="95"/>
      <c r="J309" s="95"/>
      <c r="K309" s="156"/>
      <c r="L309" s="156"/>
      <c r="M309" s="100"/>
      <c r="N309" s="127"/>
      <c r="O309" s="128"/>
      <c r="P309" s="95"/>
      <c r="Q309" s="137"/>
      <c r="R309" s="129"/>
      <c r="S309" s="95"/>
      <c r="T309" s="95"/>
      <c r="V309" s="107"/>
    </row>
    <row r="310" ht="15.75" customHeight="1">
      <c r="A310" s="89"/>
      <c r="B310" s="182"/>
      <c r="C310" s="149"/>
      <c r="D310" s="95"/>
      <c r="E310" s="149"/>
      <c r="F310" s="149"/>
      <c r="G310" s="95"/>
      <c r="H310" s="149"/>
      <c r="I310" s="95"/>
      <c r="J310" s="95"/>
      <c r="K310" s="154"/>
      <c r="L310" s="154"/>
      <c r="M310" s="100"/>
      <c r="N310" s="127"/>
      <c r="O310" s="128"/>
      <c r="P310" s="95"/>
      <c r="Q310" s="137"/>
      <c r="R310" s="129"/>
      <c r="S310" s="95"/>
      <c r="T310" s="95"/>
      <c r="V310" s="107"/>
    </row>
    <row r="311" ht="15.75" customHeight="1">
      <c r="A311" s="89"/>
      <c r="B311" s="182"/>
      <c r="C311" s="149"/>
      <c r="D311" s="95"/>
      <c r="E311" s="149"/>
      <c r="F311" s="149"/>
      <c r="G311" s="95"/>
      <c r="H311" s="149"/>
      <c r="I311" s="95"/>
      <c r="J311" s="95"/>
      <c r="K311" s="156"/>
      <c r="L311" s="156"/>
      <c r="M311" s="100"/>
      <c r="N311" s="127"/>
      <c r="O311" s="128"/>
      <c r="P311" s="95"/>
      <c r="Q311" s="137"/>
      <c r="R311" s="129"/>
      <c r="S311" s="95"/>
      <c r="T311" s="95"/>
      <c r="V311" s="107"/>
    </row>
    <row r="312" ht="15.75" customHeight="1">
      <c r="A312" s="89"/>
      <c r="B312" s="182"/>
      <c r="C312" s="149"/>
      <c r="D312" s="95"/>
      <c r="E312" s="149"/>
      <c r="F312" s="149"/>
      <c r="G312" s="95"/>
      <c r="H312" s="149"/>
      <c r="I312" s="95"/>
      <c r="J312" s="95"/>
      <c r="K312" s="154"/>
      <c r="L312" s="154"/>
      <c r="M312" s="100"/>
      <c r="N312" s="127"/>
      <c r="O312" s="128"/>
      <c r="P312" s="95"/>
      <c r="Q312" s="137"/>
      <c r="R312" s="129"/>
      <c r="S312" s="95"/>
      <c r="T312" s="95"/>
      <c r="V312" s="107"/>
    </row>
    <row r="313" ht="15.75" customHeight="1">
      <c r="A313" s="89"/>
      <c r="B313" s="182"/>
      <c r="C313" s="107"/>
      <c r="D313" s="95"/>
      <c r="E313" s="149"/>
      <c r="F313" s="149"/>
      <c r="G313" s="95"/>
      <c r="H313" s="149"/>
      <c r="I313" s="95"/>
      <c r="J313" s="95"/>
      <c r="K313" s="156"/>
      <c r="L313" s="156"/>
      <c r="M313" s="100"/>
      <c r="N313" s="127"/>
      <c r="O313" s="128"/>
      <c r="P313" s="95"/>
      <c r="Q313" s="137"/>
      <c r="R313" s="129"/>
      <c r="S313" s="95"/>
      <c r="T313" s="95"/>
      <c r="V313" s="107"/>
    </row>
    <row r="314" ht="15.75" customHeight="1">
      <c r="A314" s="89"/>
      <c r="B314" s="182"/>
      <c r="C314" s="149"/>
      <c r="D314" s="95"/>
      <c r="E314" s="149"/>
      <c r="F314" s="149"/>
      <c r="G314" s="95"/>
      <c r="H314" s="149"/>
      <c r="I314" s="95"/>
      <c r="J314" s="95"/>
      <c r="K314" s="154"/>
      <c r="L314" s="154"/>
      <c r="M314" s="100"/>
      <c r="N314" s="127"/>
      <c r="O314" s="128"/>
      <c r="P314" s="95"/>
      <c r="Q314" s="137"/>
      <c r="R314" s="129"/>
      <c r="S314" s="95"/>
      <c r="T314" s="95"/>
      <c r="V314" s="107"/>
    </row>
    <row r="315" ht="15.75" customHeight="1">
      <c r="A315" s="89"/>
      <c r="B315" s="182"/>
      <c r="C315" s="149"/>
      <c r="D315" s="95"/>
      <c r="E315" s="149"/>
      <c r="F315" s="149"/>
      <c r="G315" s="95"/>
      <c r="H315" s="149"/>
      <c r="I315" s="95"/>
      <c r="J315" s="95"/>
      <c r="K315" s="156"/>
      <c r="L315" s="156"/>
      <c r="M315" s="100"/>
      <c r="N315" s="127"/>
      <c r="O315" s="128"/>
      <c r="P315" s="95"/>
      <c r="Q315" s="137"/>
      <c r="R315" s="129"/>
      <c r="S315" s="95"/>
      <c r="T315" s="95"/>
      <c r="V315" s="107"/>
    </row>
    <row r="316" ht="15.75" customHeight="1">
      <c r="A316" s="89"/>
      <c r="B316" s="182"/>
      <c r="C316" s="149"/>
      <c r="D316" s="95"/>
      <c r="E316" s="149"/>
      <c r="F316" s="149"/>
      <c r="G316" s="95"/>
      <c r="H316" s="149"/>
      <c r="I316" s="95"/>
      <c r="J316" s="95"/>
      <c r="K316" s="154"/>
      <c r="L316" s="154"/>
      <c r="M316" s="100"/>
      <c r="N316" s="127"/>
      <c r="O316" s="128"/>
      <c r="P316" s="95"/>
      <c r="Q316" s="137"/>
      <c r="R316" s="129"/>
      <c r="S316" s="95"/>
      <c r="T316" s="95"/>
      <c r="V316" s="107"/>
    </row>
    <row r="317" ht="15.75" customHeight="1">
      <c r="A317" s="89"/>
      <c r="B317" s="182"/>
      <c r="C317" s="149"/>
      <c r="D317" s="95"/>
      <c r="E317" s="149"/>
      <c r="F317" s="149"/>
      <c r="G317" s="95"/>
      <c r="H317" s="149"/>
      <c r="I317" s="95"/>
      <c r="J317" s="95"/>
      <c r="K317" s="156"/>
      <c r="L317" s="156"/>
      <c r="M317" s="100"/>
      <c r="N317" s="127"/>
      <c r="O317" s="128"/>
      <c r="P317" s="95"/>
      <c r="Q317" s="137"/>
      <c r="R317" s="129"/>
      <c r="S317" s="95"/>
      <c r="T317" s="95"/>
      <c r="V317" s="107"/>
    </row>
    <row r="318" ht="15.75" customHeight="1">
      <c r="A318" s="89"/>
      <c r="B318" s="182"/>
      <c r="C318" s="149"/>
      <c r="D318" s="95"/>
      <c r="E318" s="149"/>
      <c r="F318" s="149"/>
      <c r="G318" s="95"/>
      <c r="H318" s="149"/>
      <c r="I318" s="95"/>
      <c r="J318" s="95"/>
      <c r="K318" s="154"/>
      <c r="L318" s="154"/>
      <c r="M318" s="100"/>
      <c r="N318" s="127"/>
      <c r="O318" s="128"/>
      <c r="P318" s="95"/>
      <c r="Q318" s="137"/>
      <c r="R318" s="129"/>
      <c r="S318" s="95"/>
      <c r="T318" s="95"/>
      <c r="V318" s="107"/>
    </row>
    <row r="319" ht="15.75" customHeight="1">
      <c r="A319" s="89"/>
      <c r="B319" s="182"/>
      <c r="C319" s="107"/>
      <c r="D319" s="95"/>
      <c r="E319" s="149"/>
      <c r="F319" s="149"/>
      <c r="G319" s="95"/>
      <c r="H319" s="149"/>
      <c r="I319" s="95"/>
      <c r="J319" s="95"/>
      <c r="K319" s="156"/>
      <c r="L319" s="156"/>
      <c r="M319" s="100"/>
      <c r="N319" s="127"/>
      <c r="O319" s="128"/>
      <c r="P319" s="95"/>
      <c r="Q319" s="137"/>
      <c r="R319" s="129"/>
      <c r="S319" s="95"/>
      <c r="T319" s="95"/>
      <c r="V319" s="107"/>
    </row>
    <row r="320" ht="15.75" customHeight="1">
      <c r="A320" s="89"/>
      <c r="B320" s="182"/>
      <c r="C320" s="149"/>
      <c r="D320" s="95"/>
      <c r="E320" s="149"/>
      <c r="F320" s="149"/>
      <c r="G320" s="95"/>
      <c r="H320" s="149"/>
      <c r="I320" s="95"/>
      <c r="J320" s="95"/>
      <c r="K320" s="154"/>
      <c r="L320" s="154"/>
      <c r="M320" s="100"/>
      <c r="N320" s="127"/>
      <c r="O320" s="128"/>
      <c r="P320" s="95"/>
      <c r="Q320" s="137"/>
      <c r="R320" s="129"/>
      <c r="S320" s="95"/>
      <c r="T320" s="95"/>
      <c r="V320" s="107"/>
    </row>
    <row r="321" ht="15.75" customHeight="1">
      <c r="A321" s="89"/>
      <c r="B321" s="182"/>
      <c r="C321" s="149"/>
      <c r="D321" s="95"/>
      <c r="E321" s="149"/>
      <c r="F321" s="149"/>
      <c r="G321" s="95"/>
      <c r="H321" s="149"/>
      <c r="I321" s="95"/>
      <c r="J321" s="95"/>
      <c r="K321" s="156"/>
      <c r="L321" s="156"/>
      <c r="M321" s="100"/>
      <c r="N321" s="127"/>
      <c r="O321" s="128"/>
      <c r="P321" s="95"/>
      <c r="Q321" s="137"/>
      <c r="R321" s="129"/>
      <c r="S321" s="95"/>
      <c r="T321" s="95"/>
      <c r="V321" s="107"/>
    </row>
    <row r="322" ht="15.75" customHeight="1">
      <c r="A322" s="89"/>
      <c r="B322" s="182"/>
      <c r="C322" s="149"/>
      <c r="D322" s="95"/>
      <c r="E322" s="149"/>
      <c r="F322" s="149"/>
      <c r="G322" s="95"/>
      <c r="H322" s="149"/>
      <c r="I322" s="95"/>
      <c r="J322" s="95"/>
      <c r="K322" s="154"/>
      <c r="L322" s="154"/>
      <c r="M322" s="100"/>
      <c r="N322" s="127"/>
      <c r="O322" s="128"/>
      <c r="P322" s="95"/>
      <c r="Q322" s="137"/>
      <c r="R322" s="129"/>
      <c r="S322" s="95"/>
      <c r="T322" s="95"/>
      <c r="V322" s="107"/>
    </row>
    <row r="323" ht="15.75" customHeight="1">
      <c r="A323" s="89"/>
      <c r="B323" s="182"/>
      <c r="C323" s="149"/>
      <c r="D323" s="95"/>
      <c r="E323" s="149"/>
      <c r="F323" s="149"/>
      <c r="G323" s="95"/>
      <c r="H323" s="149"/>
      <c r="I323" s="95"/>
      <c r="J323" s="95"/>
      <c r="K323" s="156"/>
      <c r="L323" s="156"/>
      <c r="M323" s="100"/>
      <c r="N323" s="127"/>
      <c r="O323" s="128"/>
      <c r="P323" s="95"/>
      <c r="Q323" s="137"/>
      <c r="R323" s="129"/>
      <c r="S323" s="95"/>
      <c r="T323" s="95"/>
      <c r="V323" s="107"/>
    </row>
    <row r="324" ht="15.75" customHeight="1">
      <c r="A324" s="89"/>
      <c r="B324" s="182"/>
      <c r="C324" s="149"/>
      <c r="D324" s="95"/>
      <c r="E324" s="149"/>
      <c r="F324" s="149"/>
      <c r="G324" s="95"/>
      <c r="H324" s="149"/>
      <c r="I324" s="95"/>
      <c r="J324" s="95"/>
      <c r="K324" s="154"/>
      <c r="L324" s="154"/>
      <c r="M324" s="100"/>
      <c r="N324" s="127"/>
      <c r="O324" s="128"/>
      <c r="P324" s="95"/>
      <c r="Q324" s="137"/>
      <c r="R324" s="129"/>
      <c r="S324" s="95"/>
      <c r="T324" s="95"/>
      <c r="V324" s="107"/>
    </row>
    <row r="325" ht="15.75" customHeight="1">
      <c r="A325" s="89"/>
      <c r="B325" s="182"/>
      <c r="C325" s="107"/>
      <c r="D325" s="95"/>
      <c r="E325" s="149"/>
      <c r="F325" s="149"/>
      <c r="G325" s="95"/>
      <c r="H325" s="149"/>
      <c r="I325" s="95"/>
      <c r="J325" s="95"/>
      <c r="K325" s="156"/>
      <c r="L325" s="156"/>
      <c r="M325" s="100"/>
      <c r="N325" s="127"/>
      <c r="O325" s="128"/>
      <c r="P325" s="95"/>
      <c r="Q325" s="137"/>
      <c r="R325" s="129"/>
      <c r="S325" s="95"/>
      <c r="T325" s="95"/>
      <c r="V325" s="107"/>
    </row>
    <row r="326" ht="15.75" customHeight="1">
      <c r="A326" s="89"/>
      <c r="B326" s="182"/>
      <c r="C326" s="149"/>
      <c r="D326" s="95"/>
      <c r="E326" s="149"/>
      <c r="F326" s="149"/>
      <c r="G326" s="95"/>
      <c r="H326" s="149"/>
      <c r="I326" s="95"/>
      <c r="J326" s="95"/>
      <c r="K326" s="154"/>
      <c r="L326" s="154"/>
      <c r="M326" s="100"/>
      <c r="N326" s="127"/>
      <c r="O326" s="128"/>
      <c r="P326" s="95"/>
      <c r="Q326" s="137"/>
      <c r="R326" s="129"/>
      <c r="S326" s="95"/>
      <c r="T326" s="95"/>
      <c r="V326" s="107"/>
    </row>
    <row r="327" ht="15.75" customHeight="1">
      <c r="A327" s="89"/>
      <c r="B327" s="182"/>
      <c r="C327" s="149"/>
      <c r="D327" s="95"/>
      <c r="E327" s="149"/>
      <c r="F327" s="149"/>
      <c r="G327" s="95"/>
      <c r="H327" s="149"/>
      <c r="I327" s="95"/>
      <c r="J327" s="95"/>
      <c r="K327" s="156"/>
      <c r="L327" s="156"/>
      <c r="M327" s="100"/>
      <c r="N327" s="127"/>
      <c r="O327" s="128"/>
      <c r="P327" s="95"/>
      <c r="Q327" s="137"/>
      <c r="R327" s="129"/>
      <c r="S327" s="95"/>
      <c r="T327" s="95"/>
      <c r="V327" s="107"/>
    </row>
    <row r="328" ht="15.75" customHeight="1">
      <c r="A328" s="89"/>
      <c r="B328" s="182"/>
      <c r="C328" s="149"/>
      <c r="D328" s="95"/>
      <c r="E328" s="149"/>
      <c r="F328" s="149"/>
      <c r="G328" s="95"/>
      <c r="H328" s="149"/>
      <c r="I328" s="95"/>
      <c r="J328" s="95"/>
      <c r="K328" s="158"/>
      <c r="L328" s="158"/>
      <c r="M328" s="100"/>
      <c r="N328" s="127"/>
      <c r="O328" s="128"/>
      <c r="P328" s="95"/>
      <c r="Q328" s="137"/>
      <c r="R328" s="129"/>
      <c r="S328" s="95"/>
      <c r="T328" s="95"/>
      <c r="V328" s="107"/>
    </row>
    <row r="329" ht="15.75" customHeight="1">
      <c r="A329" s="89"/>
      <c r="B329" s="182"/>
      <c r="C329" s="149"/>
      <c r="D329" s="95"/>
      <c r="E329" s="149"/>
      <c r="F329" s="149"/>
      <c r="G329" s="95"/>
      <c r="H329" s="149"/>
      <c r="I329" s="95"/>
      <c r="J329" s="95"/>
      <c r="K329" s="158"/>
      <c r="L329" s="158"/>
      <c r="M329" s="100"/>
      <c r="N329" s="127"/>
      <c r="O329" s="128"/>
      <c r="P329" s="95"/>
      <c r="Q329" s="137"/>
      <c r="R329" s="129"/>
      <c r="S329" s="95"/>
      <c r="T329" s="95"/>
      <c r="V329" s="107"/>
    </row>
    <row r="330" ht="15.75" customHeight="1">
      <c r="A330" s="89"/>
      <c r="B330" s="182"/>
      <c r="C330" s="149"/>
      <c r="D330" s="95"/>
      <c r="E330" s="149"/>
      <c r="F330" s="149"/>
      <c r="G330" s="95"/>
      <c r="H330" s="149"/>
      <c r="I330" s="95"/>
      <c r="J330" s="95"/>
      <c r="K330" s="158"/>
      <c r="L330" s="158"/>
      <c r="M330" s="100"/>
      <c r="N330" s="127"/>
      <c r="O330" s="128"/>
      <c r="P330" s="95"/>
      <c r="Q330" s="137"/>
      <c r="R330" s="129"/>
      <c r="S330" s="95"/>
      <c r="T330" s="95"/>
      <c r="V330" s="107"/>
    </row>
    <row r="331" ht="15.75" customHeight="1">
      <c r="A331" s="89"/>
      <c r="B331" s="182"/>
      <c r="C331" s="107"/>
      <c r="D331" s="95"/>
      <c r="E331" s="149"/>
      <c r="F331" s="149"/>
      <c r="G331" s="95"/>
      <c r="H331" s="149"/>
      <c r="I331" s="95"/>
      <c r="J331" s="95"/>
      <c r="K331" s="158"/>
      <c r="L331" s="158"/>
      <c r="M331" s="100"/>
      <c r="N331" s="127"/>
      <c r="O331" s="128"/>
      <c r="P331" s="95"/>
      <c r="Q331" s="137"/>
      <c r="R331" s="129"/>
      <c r="S331" s="95"/>
      <c r="T331" s="95"/>
      <c r="V331" s="107"/>
    </row>
    <row r="332" ht="15.75" customHeight="1">
      <c r="A332" s="89"/>
      <c r="B332" s="182"/>
      <c r="C332" s="149"/>
      <c r="D332" s="95"/>
      <c r="E332" s="149"/>
      <c r="F332" s="149"/>
      <c r="G332" s="95"/>
      <c r="H332" s="149"/>
      <c r="I332" s="95"/>
      <c r="J332" s="95"/>
      <c r="K332" s="158"/>
      <c r="L332" s="158"/>
      <c r="M332" s="100"/>
      <c r="N332" s="127"/>
      <c r="O332" s="128"/>
      <c r="P332" s="95"/>
      <c r="Q332" s="137"/>
      <c r="R332" s="129"/>
      <c r="S332" s="95"/>
      <c r="T332" s="95"/>
      <c r="V332" s="107"/>
    </row>
    <row r="333" ht="15.75" customHeight="1">
      <c r="A333" s="89"/>
      <c r="B333" s="182"/>
      <c r="C333" s="149"/>
      <c r="D333" s="95"/>
      <c r="E333" s="149"/>
      <c r="F333" s="149"/>
      <c r="G333" s="95"/>
      <c r="H333" s="149"/>
      <c r="I333" s="95"/>
      <c r="J333" s="95"/>
      <c r="K333" s="158"/>
      <c r="L333" s="158"/>
      <c r="M333" s="100"/>
      <c r="N333" s="127"/>
      <c r="O333" s="128"/>
      <c r="P333" s="95"/>
      <c r="Q333" s="137"/>
      <c r="R333" s="129"/>
      <c r="S333" s="95"/>
      <c r="T333" s="95"/>
      <c r="V333" s="107"/>
    </row>
    <row r="334" ht="15.75" customHeight="1">
      <c r="A334" s="89"/>
      <c r="B334" s="182"/>
      <c r="C334" s="149"/>
      <c r="D334" s="95"/>
      <c r="E334" s="149"/>
      <c r="F334" s="149"/>
      <c r="G334" s="95"/>
      <c r="H334" s="149"/>
      <c r="I334" s="95"/>
      <c r="J334" s="95"/>
      <c r="K334" s="158"/>
      <c r="L334" s="158"/>
      <c r="M334" s="100"/>
      <c r="N334" s="127"/>
      <c r="O334" s="128"/>
      <c r="P334" s="95"/>
      <c r="Q334" s="137"/>
      <c r="R334" s="129"/>
      <c r="S334" s="95"/>
      <c r="T334" s="95"/>
      <c r="V334" s="107"/>
    </row>
    <row r="335" ht="15.75" customHeight="1">
      <c r="A335" s="89"/>
      <c r="B335" s="182"/>
      <c r="C335" s="149"/>
      <c r="D335" s="95"/>
      <c r="E335" s="149"/>
      <c r="F335" s="149"/>
      <c r="G335" s="95"/>
      <c r="H335" s="149"/>
      <c r="I335" s="95"/>
      <c r="J335" s="95"/>
      <c r="K335" s="158"/>
      <c r="L335" s="158"/>
      <c r="M335" s="100"/>
      <c r="N335" s="127"/>
      <c r="O335" s="128"/>
      <c r="P335" s="95"/>
      <c r="Q335" s="137"/>
      <c r="R335" s="129"/>
      <c r="S335" s="95"/>
      <c r="T335" s="95"/>
      <c r="V335" s="107"/>
    </row>
    <row r="336" ht="15.75" customHeight="1">
      <c r="A336" s="89"/>
      <c r="B336" s="182"/>
      <c r="C336" s="149"/>
      <c r="D336" s="95"/>
      <c r="E336" s="149"/>
      <c r="F336" s="149"/>
      <c r="G336" s="95"/>
      <c r="H336" s="149"/>
      <c r="I336" s="95"/>
      <c r="J336" s="95"/>
      <c r="K336" s="158"/>
      <c r="L336" s="158"/>
      <c r="M336" s="100"/>
      <c r="N336" s="127"/>
      <c r="O336" s="128"/>
      <c r="P336" s="95"/>
      <c r="Q336" s="137"/>
      <c r="R336" s="129"/>
      <c r="S336" s="95"/>
      <c r="T336" s="95"/>
      <c r="V336" s="107"/>
    </row>
    <row r="337" ht="15.75" customHeight="1">
      <c r="A337" s="89"/>
      <c r="B337" s="182"/>
      <c r="C337" s="107"/>
      <c r="D337" s="95"/>
      <c r="E337" s="149"/>
      <c r="F337" s="149"/>
      <c r="G337" s="95"/>
      <c r="H337" s="149"/>
      <c r="I337" s="95"/>
      <c r="J337" s="95"/>
      <c r="K337" s="158"/>
      <c r="L337" s="158"/>
      <c r="M337" s="100"/>
      <c r="N337" s="127"/>
      <c r="O337" s="128"/>
      <c r="P337" s="95"/>
      <c r="Q337" s="137"/>
      <c r="R337" s="129"/>
      <c r="S337" s="95"/>
      <c r="T337" s="95"/>
      <c r="V337" s="107"/>
    </row>
    <row r="338" ht="15.75" customHeight="1">
      <c r="A338" s="89"/>
      <c r="B338" s="182"/>
      <c r="C338" s="149"/>
      <c r="D338" s="95"/>
      <c r="E338" s="149"/>
      <c r="F338" s="149"/>
      <c r="G338" s="95"/>
      <c r="H338" s="149"/>
      <c r="I338" s="95"/>
      <c r="J338" s="95"/>
      <c r="K338" s="158"/>
      <c r="L338" s="158"/>
      <c r="M338" s="100"/>
      <c r="N338" s="127"/>
      <c r="O338" s="128"/>
      <c r="P338" s="95"/>
      <c r="Q338" s="137"/>
      <c r="R338" s="129"/>
      <c r="S338" s="95"/>
      <c r="T338" s="95"/>
      <c r="V338" s="107"/>
    </row>
    <row r="339" ht="15.75" customHeight="1">
      <c r="A339" s="89"/>
      <c r="B339" s="182"/>
      <c r="C339" s="149"/>
      <c r="D339" s="95"/>
      <c r="E339" s="149"/>
      <c r="F339" s="149"/>
      <c r="G339" s="95"/>
      <c r="H339" s="149"/>
      <c r="I339" s="95"/>
      <c r="J339" s="95"/>
      <c r="K339" s="158"/>
      <c r="L339" s="158"/>
      <c r="M339" s="100"/>
      <c r="N339" s="127"/>
      <c r="O339" s="128"/>
      <c r="P339" s="95"/>
      <c r="Q339" s="137"/>
      <c r="R339" s="129"/>
      <c r="S339" s="95"/>
      <c r="T339" s="95"/>
      <c r="V339" s="107"/>
    </row>
    <row r="340" ht="15.75" customHeight="1">
      <c r="A340" s="89"/>
      <c r="B340" s="182"/>
      <c r="C340" s="149"/>
      <c r="D340" s="95"/>
      <c r="E340" s="149"/>
      <c r="F340" s="149"/>
      <c r="G340" s="95"/>
      <c r="H340" s="149"/>
      <c r="I340" s="95"/>
      <c r="J340" s="95"/>
      <c r="K340" s="158"/>
      <c r="L340" s="158"/>
      <c r="M340" s="100"/>
      <c r="N340" s="127"/>
      <c r="O340" s="128"/>
      <c r="P340" s="95"/>
      <c r="Q340" s="137"/>
      <c r="R340" s="129"/>
      <c r="S340" s="95"/>
      <c r="T340" s="95"/>
      <c r="V340" s="107"/>
    </row>
    <row r="341" ht="15.75" customHeight="1">
      <c r="A341" s="89"/>
      <c r="B341" s="182"/>
      <c r="C341" s="149"/>
      <c r="D341" s="95"/>
      <c r="E341" s="149"/>
      <c r="F341" s="149"/>
      <c r="G341" s="95"/>
      <c r="H341" s="149"/>
      <c r="I341" s="95"/>
      <c r="J341" s="95"/>
      <c r="K341" s="158"/>
      <c r="L341" s="158"/>
      <c r="M341" s="100"/>
      <c r="N341" s="127"/>
      <c r="O341" s="128"/>
      <c r="P341" s="95"/>
      <c r="Q341" s="137"/>
      <c r="R341" s="129"/>
      <c r="S341" s="95"/>
      <c r="T341" s="95"/>
      <c r="V341" s="107"/>
    </row>
    <row r="342" ht="15.75" customHeight="1">
      <c r="A342" s="89"/>
      <c r="B342" s="182"/>
      <c r="C342" s="149"/>
      <c r="D342" s="95"/>
      <c r="E342" s="149"/>
      <c r="F342" s="149"/>
      <c r="G342" s="95"/>
      <c r="H342" s="149"/>
      <c r="I342" s="95"/>
      <c r="J342" s="95"/>
      <c r="K342" s="158"/>
      <c r="L342" s="158"/>
      <c r="M342" s="100"/>
      <c r="N342" s="127"/>
      <c r="O342" s="128"/>
      <c r="P342" s="95"/>
      <c r="Q342" s="137"/>
      <c r="R342" s="129"/>
      <c r="S342" s="95"/>
      <c r="T342" s="95"/>
      <c r="V342" s="107"/>
    </row>
    <row r="343" ht="15.75" customHeight="1">
      <c r="A343" s="89"/>
      <c r="B343" s="182"/>
      <c r="C343" s="107"/>
      <c r="D343" s="95"/>
      <c r="E343" s="149"/>
      <c r="F343" s="149"/>
      <c r="G343" s="95"/>
      <c r="H343" s="149"/>
      <c r="I343" s="95"/>
      <c r="J343" s="95"/>
      <c r="K343" s="158"/>
      <c r="L343" s="158"/>
      <c r="M343" s="100"/>
      <c r="N343" s="127"/>
      <c r="O343" s="128"/>
      <c r="P343" s="95"/>
      <c r="Q343" s="137"/>
      <c r="R343" s="129"/>
      <c r="S343" s="95"/>
      <c r="T343" s="95"/>
      <c r="V343" s="107"/>
    </row>
    <row r="344" ht="15.75" customHeight="1">
      <c r="A344" s="89"/>
      <c r="B344" s="182"/>
      <c r="C344" s="149"/>
      <c r="D344" s="95"/>
      <c r="E344" s="149"/>
      <c r="F344" s="149"/>
      <c r="G344" s="95"/>
      <c r="H344" s="149"/>
      <c r="I344" s="95"/>
      <c r="J344" s="95"/>
      <c r="K344" s="158"/>
      <c r="L344" s="158"/>
      <c r="M344" s="100"/>
      <c r="N344" s="127"/>
      <c r="O344" s="128"/>
      <c r="P344" s="95"/>
      <c r="Q344" s="137"/>
      <c r="R344" s="129"/>
      <c r="S344" s="95"/>
      <c r="T344" s="95"/>
      <c r="V344" s="107"/>
    </row>
    <row r="345" ht="15.75" customHeight="1">
      <c r="A345" s="89"/>
      <c r="B345" s="182"/>
      <c r="C345" s="149"/>
      <c r="D345" s="95"/>
      <c r="E345" s="149"/>
      <c r="F345" s="149"/>
      <c r="G345" s="95"/>
      <c r="H345" s="149"/>
      <c r="I345" s="95"/>
      <c r="J345" s="95"/>
      <c r="K345" s="158"/>
      <c r="L345" s="158"/>
      <c r="M345" s="100"/>
      <c r="N345" s="127"/>
      <c r="O345" s="128"/>
      <c r="P345" s="95"/>
      <c r="Q345" s="137"/>
      <c r="R345" s="129"/>
      <c r="S345" s="95"/>
      <c r="T345" s="95"/>
      <c r="V345" s="107"/>
    </row>
    <row r="346" ht="15.75" customHeight="1">
      <c r="A346" s="89"/>
      <c r="B346" s="182"/>
      <c r="C346" s="149"/>
      <c r="D346" s="95"/>
      <c r="E346" s="149"/>
      <c r="F346" s="149"/>
      <c r="G346" s="95"/>
      <c r="H346" s="149"/>
      <c r="I346" s="95"/>
      <c r="J346" s="95"/>
      <c r="K346" s="158"/>
      <c r="L346" s="158"/>
      <c r="M346" s="100"/>
      <c r="N346" s="127"/>
      <c r="O346" s="128"/>
      <c r="P346" s="95"/>
      <c r="Q346" s="137"/>
      <c r="R346" s="129"/>
      <c r="S346" s="95"/>
      <c r="T346" s="95"/>
      <c r="V346" s="107"/>
    </row>
    <row r="347" ht="15.75" customHeight="1">
      <c r="A347" s="89"/>
      <c r="B347" s="182"/>
      <c r="C347" s="149"/>
      <c r="D347" s="95"/>
      <c r="E347" s="149"/>
      <c r="F347" s="149"/>
      <c r="G347" s="95"/>
      <c r="H347" s="149"/>
      <c r="I347" s="95"/>
      <c r="J347" s="95"/>
      <c r="K347" s="158"/>
      <c r="L347" s="158"/>
      <c r="M347" s="100"/>
      <c r="N347" s="127"/>
      <c r="O347" s="128"/>
      <c r="P347" s="95"/>
      <c r="Q347" s="137"/>
      <c r="R347" s="129"/>
      <c r="S347" s="95"/>
      <c r="T347" s="95"/>
      <c r="V347" s="107"/>
    </row>
    <row r="348" ht="15.75" customHeight="1">
      <c r="A348" s="89"/>
      <c r="B348" s="182"/>
      <c r="C348" s="149"/>
      <c r="D348" s="95"/>
      <c r="E348" s="149"/>
      <c r="F348" s="149"/>
      <c r="G348" s="95"/>
      <c r="H348" s="149"/>
      <c r="I348" s="95"/>
      <c r="J348" s="95"/>
      <c r="K348" s="158"/>
      <c r="L348" s="158"/>
      <c r="M348" s="100"/>
      <c r="N348" s="127"/>
      <c r="O348" s="128"/>
      <c r="P348" s="95"/>
      <c r="Q348" s="137"/>
      <c r="R348" s="129"/>
      <c r="S348" s="95"/>
      <c r="T348" s="95"/>
      <c r="V348" s="107"/>
    </row>
    <row r="349" ht="15.75" customHeight="1">
      <c r="A349" s="89"/>
      <c r="B349" s="182"/>
      <c r="C349" s="107"/>
      <c r="D349" s="95"/>
      <c r="E349" s="149"/>
      <c r="F349" s="149"/>
      <c r="G349" s="95"/>
      <c r="H349" s="149"/>
      <c r="I349" s="95"/>
      <c r="J349" s="95"/>
      <c r="K349" s="158"/>
      <c r="L349" s="158"/>
      <c r="M349" s="100"/>
      <c r="N349" s="127"/>
      <c r="O349" s="128"/>
      <c r="P349" s="95"/>
      <c r="Q349" s="137"/>
      <c r="R349" s="129"/>
      <c r="S349" s="95"/>
      <c r="T349" s="95"/>
      <c r="V349" s="107"/>
    </row>
    <row r="350" ht="15.75" customHeight="1">
      <c r="A350" s="89"/>
      <c r="B350" s="182"/>
      <c r="C350" s="149"/>
      <c r="D350" s="95"/>
      <c r="E350" s="149"/>
      <c r="F350" s="149"/>
      <c r="G350" s="95"/>
      <c r="H350" s="149"/>
      <c r="I350" s="95"/>
      <c r="J350" s="95"/>
      <c r="K350" s="158"/>
      <c r="L350" s="158"/>
      <c r="M350" s="100"/>
      <c r="N350" s="127"/>
      <c r="O350" s="128"/>
      <c r="P350" s="95"/>
      <c r="Q350" s="137"/>
      <c r="R350" s="129"/>
      <c r="S350" s="95"/>
      <c r="T350" s="95"/>
      <c r="V350" s="107"/>
    </row>
    <row r="351" ht="15.75" customHeight="1">
      <c r="A351" s="89"/>
      <c r="B351" s="182"/>
      <c r="C351" s="149"/>
      <c r="D351" s="95"/>
      <c r="E351" s="149"/>
      <c r="F351" s="149"/>
      <c r="G351" s="95"/>
      <c r="H351" s="149"/>
      <c r="I351" s="95"/>
      <c r="J351" s="95"/>
      <c r="K351" s="158"/>
      <c r="L351" s="158"/>
      <c r="M351" s="100"/>
      <c r="N351" s="127"/>
      <c r="O351" s="128"/>
      <c r="P351" s="95"/>
      <c r="Q351" s="137"/>
      <c r="R351" s="129"/>
      <c r="S351" s="95"/>
      <c r="T351" s="95"/>
      <c r="V351" s="107"/>
    </row>
    <row r="352" ht="15.75" customHeight="1">
      <c r="A352" s="89"/>
      <c r="B352" s="182"/>
      <c r="C352" s="149"/>
      <c r="D352" s="95"/>
      <c r="E352" s="149"/>
      <c r="F352" s="149"/>
      <c r="G352" s="95"/>
      <c r="H352" s="149"/>
      <c r="I352" s="95"/>
      <c r="J352" s="95"/>
      <c r="K352" s="158"/>
      <c r="L352" s="158"/>
      <c r="M352" s="100"/>
      <c r="N352" s="127"/>
      <c r="O352" s="128"/>
      <c r="P352" s="95"/>
      <c r="Q352" s="137"/>
      <c r="R352" s="129"/>
      <c r="S352" s="95"/>
      <c r="T352" s="95"/>
      <c r="V352" s="107"/>
    </row>
    <row r="353" ht="15.75" customHeight="1">
      <c r="A353" s="89"/>
      <c r="B353" s="182"/>
      <c r="C353" s="149"/>
      <c r="D353" s="95"/>
      <c r="E353" s="149"/>
      <c r="F353" s="149"/>
      <c r="G353" s="95"/>
      <c r="H353" s="149"/>
      <c r="I353" s="95"/>
      <c r="J353" s="95"/>
      <c r="K353" s="158"/>
      <c r="L353" s="158"/>
      <c r="M353" s="100"/>
      <c r="N353" s="127"/>
      <c r="O353" s="128"/>
      <c r="P353" s="95"/>
      <c r="Q353" s="137"/>
      <c r="R353" s="129"/>
      <c r="S353" s="95"/>
      <c r="T353" s="95"/>
      <c r="V353" s="107"/>
    </row>
    <row r="354" ht="15.75" customHeight="1">
      <c r="A354" s="89"/>
      <c r="B354" s="182"/>
      <c r="C354" s="149"/>
      <c r="D354" s="95"/>
      <c r="E354" s="149"/>
      <c r="F354" s="149"/>
      <c r="G354" s="95"/>
      <c r="H354" s="149"/>
      <c r="I354" s="95"/>
      <c r="J354" s="95"/>
      <c r="K354" s="158"/>
      <c r="L354" s="158"/>
      <c r="M354" s="100"/>
      <c r="N354" s="127"/>
      <c r="O354" s="128"/>
      <c r="P354" s="95"/>
      <c r="Q354" s="137"/>
      <c r="R354" s="129"/>
      <c r="S354" s="95"/>
      <c r="T354" s="95"/>
      <c r="V354" s="107"/>
    </row>
    <row r="355" ht="15.75" customHeight="1">
      <c r="A355" s="89"/>
      <c r="B355" s="182"/>
      <c r="C355" s="107"/>
      <c r="D355" s="95"/>
      <c r="E355" s="149"/>
      <c r="F355" s="149"/>
      <c r="G355" s="95"/>
      <c r="H355" s="149"/>
      <c r="I355" s="95"/>
      <c r="J355" s="95"/>
      <c r="K355" s="158"/>
      <c r="L355" s="158"/>
      <c r="M355" s="100"/>
      <c r="N355" s="127"/>
      <c r="O355" s="128"/>
      <c r="P355" s="95"/>
      <c r="Q355" s="137"/>
      <c r="R355" s="129"/>
      <c r="S355" s="95"/>
      <c r="T355" s="95"/>
      <c r="V355" s="107"/>
    </row>
    <row r="356" ht="15.75" customHeight="1">
      <c r="A356" s="89"/>
      <c r="B356" s="182"/>
      <c r="C356" s="149"/>
      <c r="D356" s="95"/>
      <c r="E356" s="149"/>
      <c r="F356" s="149"/>
      <c r="G356" s="95"/>
      <c r="H356" s="149"/>
      <c r="I356" s="95"/>
      <c r="J356" s="95"/>
      <c r="K356" s="158"/>
      <c r="L356" s="158"/>
      <c r="M356" s="100"/>
      <c r="N356" s="127"/>
      <c r="O356" s="128"/>
      <c r="P356" s="95"/>
      <c r="Q356" s="137"/>
      <c r="R356" s="129"/>
      <c r="S356" s="95"/>
      <c r="T356" s="95"/>
      <c r="V356" s="107"/>
    </row>
    <row r="357" ht="15.75" customHeight="1">
      <c r="A357" s="89"/>
      <c r="B357" s="182"/>
      <c r="C357" s="149"/>
      <c r="D357" s="95"/>
      <c r="E357" s="149"/>
      <c r="F357" s="149"/>
      <c r="G357" s="95"/>
      <c r="H357" s="149"/>
      <c r="I357" s="95"/>
      <c r="J357" s="95"/>
      <c r="K357" s="158"/>
      <c r="L357" s="158"/>
      <c r="M357" s="100"/>
      <c r="N357" s="127"/>
      <c r="O357" s="128"/>
      <c r="P357" s="95"/>
      <c r="Q357" s="137"/>
      <c r="R357" s="129"/>
      <c r="S357" s="95"/>
      <c r="T357" s="95"/>
      <c r="V357" s="107"/>
    </row>
    <row r="358" ht="15.75" customHeight="1">
      <c r="A358" s="89"/>
      <c r="B358" s="182"/>
      <c r="C358" s="149"/>
      <c r="D358" s="95"/>
      <c r="E358" s="149"/>
      <c r="F358" s="149"/>
      <c r="G358" s="95"/>
      <c r="H358" s="149"/>
      <c r="I358" s="95"/>
      <c r="J358" s="95"/>
      <c r="K358" s="158"/>
      <c r="L358" s="158"/>
      <c r="M358" s="100"/>
      <c r="N358" s="127"/>
      <c r="O358" s="128"/>
      <c r="P358" s="95"/>
      <c r="Q358" s="137"/>
      <c r="R358" s="129"/>
      <c r="S358" s="95"/>
      <c r="T358" s="95"/>
      <c r="V358" s="107"/>
    </row>
    <row r="359" ht="15.75" customHeight="1">
      <c r="A359" s="89"/>
      <c r="B359" s="182"/>
      <c r="C359" s="149"/>
      <c r="D359" s="95"/>
      <c r="E359" s="149"/>
      <c r="F359" s="149"/>
      <c r="G359" s="95"/>
      <c r="H359" s="149"/>
      <c r="I359" s="95"/>
      <c r="J359" s="95"/>
      <c r="K359" s="158"/>
      <c r="L359" s="158"/>
      <c r="M359" s="100"/>
      <c r="N359" s="127"/>
      <c r="O359" s="128"/>
      <c r="P359" s="95"/>
      <c r="Q359" s="137"/>
      <c r="R359" s="129"/>
      <c r="S359" s="95"/>
      <c r="T359" s="95"/>
      <c r="V359" s="107"/>
    </row>
    <row r="360" ht="15.75" customHeight="1">
      <c r="A360" s="89"/>
      <c r="B360" s="182"/>
      <c r="C360" s="149"/>
      <c r="D360" s="95"/>
      <c r="E360" s="149"/>
      <c r="F360" s="149"/>
      <c r="G360" s="95"/>
      <c r="H360" s="149"/>
      <c r="I360" s="95"/>
      <c r="J360" s="95"/>
      <c r="K360" s="158"/>
      <c r="L360" s="158"/>
      <c r="M360" s="100"/>
      <c r="N360" s="127"/>
      <c r="O360" s="128"/>
      <c r="P360" s="95"/>
      <c r="Q360" s="137"/>
      <c r="R360" s="129"/>
      <c r="S360" s="95"/>
      <c r="T360" s="95"/>
      <c r="V360" s="107"/>
    </row>
  </sheetData>
  <autoFilter ref="$A$12:$V$109"/>
  <customSheetViews>
    <customSheetView guid="{3D5205AB-724F-426F-9D73-83BFCBF63977}" filter="1" showAutoFilter="1">
      <autoFilter ref="$R$18:$R$23"/>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R13"/>
    <hyperlink r:id="rId3" ref="R14"/>
    <hyperlink r:id="rId4" ref="R15"/>
    <hyperlink r:id="rId5" ref="R16"/>
    <hyperlink r:id="rId6" ref="R17"/>
    <hyperlink r:id="rId7" ref="R18"/>
    <hyperlink r:id="rId8" ref="R19"/>
    <hyperlink r:id="rId9" ref="R20"/>
    <hyperlink r:id="rId10" ref="R21"/>
    <hyperlink r:id="rId11" ref="R22"/>
    <hyperlink r:id="rId12" ref="R23"/>
    <hyperlink r:id="rId13" ref="R24"/>
    <hyperlink r:id="rId14" ref="R25"/>
    <hyperlink r:id="rId15" ref="R26"/>
    <hyperlink r:id="rId16" ref="R27"/>
    <hyperlink r:id="rId17" ref="R28"/>
    <hyperlink r:id="rId18" ref="R29"/>
    <hyperlink r:id="rId19" ref="R30"/>
    <hyperlink r:id="rId20" ref="R31"/>
    <hyperlink r:id="rId21" ref="R32"/>
    <hyperlink r:id="rId22" ref="R33"/>
    <hyperlink r:id="rId23" ref="R34"/>
    <hyperlink r:id="rId24" ref="R35"/>
    <hyperlink r:id="rId25" ref="R39"/>
  </hyperlinks>
  <drawing r:id="rId26"/>
  <legacyDrawing r:id="rId2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1.0"/>
    <col customWidth="1" min="4" max="4" width="0.38"/>
    <col customWidth="1" min="5" max="5" width="15.13"/>
    <col customWidth="1" min="6" max="6" width="20.0"/>
    <col customWidth="1" min="7" max="7" width="0.38"/>
    <col customWidth="1" min="8" max="8" width="15.63"/>
    <col customWidth="1" min="9" max="9" width="13.88"/>
    <col customWidth="1" min="10" max="10" width="0.38"/>
    <col customWidth="1" min="13" max="13" width="0.38"/>
    <col customWidth="1" min="15" max="15" width="28.63"/>
    <col customWidth="1" min="16" max="16" width="0.38"/>
    <col customWidth="1" min="17" max="17" width="13.13"/>
    <col customWidth="1" min="19" max="19" width="16.5"/>
    <col customWidth="1" min="21" max="21" width="23.75"/>
    <col customWidth="1" min="22" max="22" width="0.38"/>
  </cols>
  <sheetData>
    <row r="1">
      <c r="A1" s="188" t="s">
        <v>642</v>
      </c>
      <c r="B1" s="87" t="s">
        <v>31</v>
      </c>
      <c r="C1" s="87" t="s">
        <v>77</v>
      </c>
      <c r="D1" s="35"/>
      <c r="E1" s="201" t="s">
        <v>643</v>
      </c>
      <c r="F1" s="35"/>
      <c r="H1" s="38" t="s">
        <v>33</v>
      </c>
      <c r="I1" s="39"/>
      <c r="J1" s="35"/>
      <c r="K1" s="38" t="s">
        <v>34</v>
      </c>
      <c r="L1" s="39"/>
      <c r="M1" s="13"/>
      <c r="N1" s="159" t="s">
        <v>35</v>
      </c>
      <c r="O1" s="41"/>
      <c r="P1" s="13"/>
      <c r="Q1" s="38" t="s">
        <v>36</v>
      </c>
      <c r="R1" s="42"/>
      <c r="S1" s="35"/>
      <c r="T1" s="38" t="s">
        <v>37</v>
      </c>
      <c r="U1" s="43"/>
      <c r="V1" s="35"/>
    </row>
    <row r="2">
      <c r="A2" s="35"/>
      <c r="B2" s="39"/>
      <c r="C2" s="39"/>
      <c r="D2" s="13"/>
      <c r="E2" s="202" t="s">
        <v>644</v>
      </c>
      <c r="F2" s="203">
        <f>C3/C6</f>
        <v>3223.404255</v>
      </c>
      <c r="H2" s="160" t="s">
        <v>26</v>
      </c>
      <c r="I2" s="161">
        <f>IFERROR(COUNTIFS(I13:I287, "Full-Pay"),"")</f>
        <v>2</v>
      </c>
      <c r="J2" s="13"/>
      <c r="K2" s="46" t="s">
        <v>16</v>
      </c>
      <c r="L2" s="47">
        <f>iferror(L10/L8,"")</f>
        <v>0.3617021277</v>
      </c>
      <c r="M2" s="12"/>
      <c r="N2" s="162" t="s">
        <v>39</v>
      </c>
      <c r="O2" s="49">
        <f>iferror(I8/L6,"")</f>
        <v>0.025</v>
      </c>
      <c r="P2" s="12"/>
      <c r="Q2" s="50" t="s">
        <v>40</v>
      </c>
      <c r="R2" s="51">
        <f>IFERROR(COUNTIFS(N13:N286, "think about it"),"")</f>
        <v>1</v>
      </c>
      <c r="S2" s="13"/>
      <c r="T2" s="52" t="s">
        <v>41</v>
      </c>
      <c r="U2" s="53">
        <f>IFERROR(COUNTIF(H13:H286,T2),"")</f>
        <v>0</v>
      </c>
      <c r="V2" s="55"/>
    </row>
    <row r="3">
      <c r="A3" s="13"/>
      <c r="B3" s="163" t="s">
        <v>43</v>
      </c>
      <c r="C3" s="57">
        <f>IFERROR(SUM(K13:K283),"")</f>
        <v>151500</v>
      </c>
      <c r="D3" s="58"/>
      <c r="E3" s="202" t="s">
        <v>645</v>
      </c>
      <c r="F3" s="203">
        <f>C4/C6</f>
        <v>1117.021277</v>
      </c>
      <c r="H3" s="160" t="s">
        <v>27</v>
      </c>
      <c r="I3" s="161">
        <f>IFERROR(COUNTIFS(I13:I287, "Split-Pay"),"")</f>
        <v>15</v>
      </c>
      <c r="J3" s="13"/>
      <c r="K3" s="46" t="s">
        <v>17</v>
      </c>
      <c r="L3" s="47">
        <f>IFERROR(L10/L9,"")</f>
        <v>0.3617021277</v>
      </c>
      <c r="M3" s="12"/>
      <c r="N3" s="162" t="s">
        <v>44</v>
      </c>
      <c r="O3" s="49">
        <f>iferror(I9/L6,"")</f>
        <v>0.3625</v>
      </c>
      <c r="P3" s="12"/>
      <c r="Q3" s="50" t="s">
        <v>45</v>
      </c>
      <c r="R3" s="59">
        <f>IFERROR(COUNTIFS(N13:N286, "money"),"")</f>
        <v>27</v>
      </c>
      <c r="S3" s="13"/>
      <c r="T3" s="52" t="s">
        <v>46</v>
      </c>
      <c r="U3" s="53">
        <f>IFERROR(COUNTIF(H13:H286,T3),"")</f>
        <v>0</v>
      </c>
      <c r="V3" s="55"/>
    </row>
    <row r="4">
      <c r="A4" s="13"/>
      <c r="B4" s="164" t="s">
        <v>48</v>
      </c>
      <c r="C4" s="61">
        <f>IFERROR(SUM(L13:L284),"")</f>
        <v>52500</v>
      </c>
      <c r="D4" s="58"/>
      <c r="E4" s="202" t="s">
        <v>646</v>
      </c>
      <c r="F4" s="204">
        <f>C4/C3*100</f>
        <v>34.65346535</v>
      </c>
      <c r="H4" s="160" t="s">
        <v>28</v>
      </c>
      <c r="I4" s="161">
        <f>IFERROR(COUNTIFS(I13:I287, "Deposit"),"")</f>
        <v>4</v>
      </c>
      <c r="J4" s="13"/>
      <c r="K4" s="46" t="s">
        <v>18</v>
      </c>
      <c r="L4" s="47">
        <f>IFERROR(L9/L8,"")</f>
        <v>1</v>
      </c>
      <c r="M4" s="12"/>
      <c r="N4" s="162" t="s">
        <v>49</v>
      </c>
      <c r="O4" s="49">
        <f>iferror(I10/L6,"")</f>
        <v>0.025</v>
      </c>
      <c r="P4" s="12"/>
      <c r="Q4" s="50" t="s">
        <v>50</v>
      </c>
      <c r="R4" s="51">
        <f>IFERROR(COUNTIFS(N13:N286, "time"),"")</f>
        <v>0</v>
      </c>
      <c r="S4" s="13"/>
      <c r="T4" s="52" t="s">
        <v>51</v>
      </c>
      <c r="U4" s="53">
        <f>IFERROR(COUNTIF(H13:H286,T4),"")</f>
        <v>0</v>
      </c>
      <c r="V4" s="35"/>
    </row>
    <row r="5">
      <c r="A5" s="35"/>
      <c r="B5" s="39"/>
      <c r="C5" s="39"/>
      <c r="D5" s="13"/>
      <c r="E5" s="202" t="s">
        <v>647</v>
      </c>
      <c r="F5" s="205">
        <f>I2/C7*100</f>
        <v>11.76470588</v>
      </c>
      <c r="H5" s="160" t="s">
        <v>53</v>
      </c>
      <c r="I5" s="161">
        <f>IFERROR(COUNTIFS(I13:I287, "Offer &amp; Didn't Buy"),"")</f>
        <v>26</v>
      </c>
      <c r="J5" s="13"/>
      <c r="K5" s="46" t="s">
        <v>54</v>
      </c>
      <c r="L5" s="47">
        <f>IFERROR(I7/(C6+I7+I8),"")</f>
        <v>0</v>
      </c>
      <c r="M5" s="13"/>
      <c r="N5" s="162" t="s">
        <v>54</v>
      </c>
      <c r="O5" s="49">
        <f>iferror(I7/L6,"")</f>
        <v>0</v>
      </c>
      <c r="P5" s="12"/>
      <c r="Q5" s="50" t="s">
        <v>55</v>
      </c>
      <c r="R5" s="51">
        <f>IFERROR(COUNTIFS(N13:N286, "partner"),"")</f>
        <v>1</v>
      </c>
      <c r="S5" s="13"/>
      <c r="T5" s="52" t="s">
        <v>56</v>
      </c>
      <c r="U5" s="53">
        <f>IFERROR(COUNTIF(H13:H286,T5),"")</f>
        <v>0</v>
      </c>
      <c r="V5" s="55"/>
    </row>
    <row r="6">
      <c r="A6" s="13"/>
      <c r="B6" s="165" t="s">
        <v>58</v>
      </c>
      <c r="C6" s="63">
        <f>IFERROR(SUM(I2:I6),"")</f>
        <v>47</v>
      </c>
      <c r="D6" s="13"/>
      <c r="E6" s="202" t="s">
        <v>648</v>
      </c>
      <c r="F6" s="206">
        <f>AVERAGE(Q13:Q104)</f>
        <v>4.9375</v>
      </c>
      <c r="H6" s="160" t="s">
        <v>59</v>
      </c>
      <c r="I6" s="161">
        <f>IFERROR(COUNTIFS(I13:I287, "Bad Fit &amp; No Offer"),"")</f>
        <v>0</v>
      </c>
      <c r="J6" s="13"/>
      <c r="K6" s="46" t="s">
        <v>21</v>
      </c>
      <c r="L6" s="64">
        <f>IFERROR(SUM(I2:I10),"")</f>
        <v>80</v>
      </c>
      <c r="M6" s="13"/>
      <c r="N6" s="166" t="s">
        <v>29</v>
      </c>
      <c r="O6" s="49">
        <f>iferror(L7/L6,"")</f>
        <v>0.5875</v>
      </c>
      <c r="P6" s="12"/>
      <c r="Q6" s="50" t="s">
        <v>60</v>
      </c>
      <c r="R6" s="51">
        <f>IFERROR(COUNTIFS(N13:N286, "fear"),"")</f>
        <v>6</v>
      </c>
      <c r="S6" s="13"/>
      <c r="T6" s="52" t="s">
        <v>61</v>
      </c>
      <c r="U6" s="53">
        <f>IFERROR(COUNTIF(H13:H286,T6),"")</f>
        <v>0</v>
      </c>
      <c r="V6" s="55"/>
    </row>
    <row r="7">
      <c r="A7" s="13"/>
      <c r="B7" s="165" t="s">
        <v>63</v>
      </c>
      <c r="C7" s="66">
        <f>IFERROR(I2+I3,"")</f>
        <v>17</v>
      </c>
      <c r="D7" s="13"/>
      <c r="E7" s="202" t="s">
        <v>649</v>
      </c>
      <c r="F7" s="203">
        <f>C3/C7</f>
        <v>8911.764706</v>
      </c>
      <c r="H7" s="160" t="s">
        <v>64</v>
      </c>
      <c r="I7" s="161">
        <f>IFERROR(COUNTIFS(I13:I287, "Drag Over &amp; Show"),"")</f>
        <v>0</v>
      </c>
      <c r="J7" s="13"/>
      <c r="K7" s="46" t="s">
        <v>22</v>
      </c>
      <c r="L7" s="64">
        <f>IFERROR(SUM(I2:I7),"")</f>
        <v>47</v>
      </c>
      <c r="M7" s="13"/>
      <c r="N7" s="167" t="s">
        <v>30</v>
      </c>
      <c r="O7" s="68">
        <f>IFERROR(L8/L6,"")</f>
        <v>0.5875</v>
      </c>
      <c r="P7" s="12"/>
      <c r="Q7" s="69" t="s">
        <v>65</v>
      </c>
      <c r="R7" s="70">
        <f>IFERROR(COUNTIFS(N14:N287, "value"),"")</f>
        <v>1</v>
      </c>
      <c r="S7" s="13"/>
      <c r="T7" s="52" t="s">
        <v>66</v>
      </c>
      <c r="U7" s="53">
        <f>IFERROR(COUNTIF(H13:H286,T7),"")</f>
        <v>0</v>
      </c>
      <c r="V7" s="35"/>
    </row>
    <row r="8">
      <c r="A8" s="13"/>
      <c r="B8" s="165" t="s">
        <v>68</v>
      </c>
      <c r="C8" s="71">
        <f>COUNTIF(I13:I286,"offer &amp; didn't buy")+countif(I13:I286,"deposit")+countif(I13:I286,"bad fit &amp; no offer")</f>
        <v>30</v>
      </c>
      <c r="D8" s="72"/>
      <c r="E8" s="202" t="s">
        <v>650</v>
      </c>
      <c r="F8" s="203">
        <f>C4/C7</f>
        <v>3088.235294</v>
      </c>
      <c r="H8" s="160" t="s">
        <v>69</v>
      </c>
      <c r="I8" s="161">
        <f>IFERROR(COUNTIFS(I13:I287, "Rescheduled"),"")</f>
        <v>2</v>
      </c>
      <c r="J8" s="13"/>
      <c r="K8" s="46" t="s">
        <v>23</v>
      </c>
      <c r="L8" s="64">
        <f>IFERROR(SUM(I2:I6),"")</f>
        <v>47</v>
      </c>
      <c r="M8" s="35"/>
      <c r="N8" s="35"/>
      <c r="O8" s="35"/>
      <c r="P8" s="35"/>
      <c r="Q8" s="35"/>
      <c r="R8" s="74"/>
      <c r="S8" s="13"/>
      <c r="T8" s="75" t="s">
        <v>70</v>
      </c>
      <c r="U8" s="76">
        <f>IFERROR(COUNTIF(H13:H286,T8),"")</f>
        <v>0</v>
      </c>
      <c r="V8" s="35"/>
    </row>
    <row r="9">
      <c r="A9" s="13"/>
      <c r="B9" s="165" t="s">
        <v>72</v>
      </c>
      <c r="C9" s="78">
        <f>iferror(SUM(C7/C6),"")</f>
        <v>0.3617021277</v>
      </c>
      <c r="D9" s="12"/>
      <c r="E9" s="207"/>
      <c r="F9" s="13"/>
      <c r="H9" s="160" t="s">
        <v>73</v>
      </c>
      <c r="I9" s="161">
        <f>IFERROR(COUNTIFS(I13:I287, "Cancelled"),"")</f>
        <v>29</v>
      </c>
      <c r="J9" s="13"/>
      <c r="K9" s="46" t="s">
        <v>24</v>
      </c>
      <c r="L9" s="64">
        <f>IFERROR(sum(I2:I5),"")</f>
        <v>47</v>
      </c>
      <c r="M9" s="35"/>
      <c r="N9" s="35"/>
      <c r="O9" s="35"/>
      <c r="P9" s="35"/>
      <c r="Q9" s="35"/>
      <c r="R9" s="74"/>
      <c r="S9" s="35"/>
      <c r="T9" s="35"/>
      <c r="U9" s="35"/>
      <c r="V9" s="35"/>
    </row>
    <row r="10">
      <c r="A10" s="35"/>
      <c r="B10" s="188"/>
      <c r="C10" s="190"/>
      <c r="D10" s="13"/>
      <c r="E10" s="208"/>
      <c r="F10" s="31"/>
      <c r="H10" s="168" t="s">
        <v>74</v>
      </c>
      <c r="I10" s="169">
        <f>IFERROR(COUNTIFS(I13:I287, "No-Show"),"")</f>
        <v>2</v>
      </c>
      <c r="J10" s="13"/>
      <c r="K10" s="81" t="s">
        <v>75</v>
      </c>
      <c r="L10" s="82">
        <f>I2+I3</f>
        <v>17</v>
      </c>
      <c r="M10" s="35"/>
      <c r="N10" s="35"/>
      <c r="O10" s="35"/>
      <c r="P10" s="35"/>
      <c r="Q10" s="35"/>
      <c r="R10" s="74"/>
      <c r="S10" s="35"/>
      <c r="T10" s="35"/>
      <c r="U10" s="35"/>
      <c r="V10" s="35"/>
    </row>
    <row r="11" ht="6.0" customHeight="1">
      <c r="A11" s="35"/>
      <c r="B11" s="35"/>
      <c r="C11" s="35"/>
      <c r="D11" s="35"/>
      <c r="E11" s="35"/>
      <c r="F11" s="35"/>
      <c r="G11" s="35"/>
      <c r="H11" s="35"/>
      <c r="I11" s="35"/>
      <c r="J11" s="35"/>
      <c r="K11" s="35"/>
      <c r="L11" s="35"/>
      <c r="M11" s="35"/>
      <c r="N11" s="35"/>
      <c r="O11" s="74"/>
      <c r="P11" s="35"/>
      <c r="Q11" s="35"/>
      <c r="R11" s="35"/>
      <c r="S11" s="35"/>
      <c r="T11" s="35"/>
      <c r="V11" s="35"/>
    </row>
    <row r="12">
      <c r="A12" s="35"/>
      <c r="B12" s="85" t="s">
        <v>76</v>
      </c>
      <c r="C12" s="85" t="s">
        <v>77</v>
      </c>
      <c r="D12" s="35"/>
      <c r="E12" s="87" t="s">
        <v>78</v>
      </c>
      <c r="F12" s="34" t="s">
        <v>651</v>
      </c>
      <c r="G12" s="35"/>
      <c r="H12" s="87" t="s">
        <v>37</v>
      </c>
      <c r="I12" s="87" t="s">
        <v>33</v>
      </c>
      <c r="J12" s="35"/>
      <c r="K12" s="87" t="s">
        <v>79</v>
      </c>
      <c r="L12" s="87" t="s">
        <v>48</v>
      </c>
      <c r="M12" s="35"/>
      <c r="N12" s="87" t="s">
        <v>80</v>
      </c>
      <c r="O12" s="88" t="s">
        <v>81</v>
      </c>
      <c r="P12" s="35"/>
      <c r="Q12" s="87" t="s">
        <v>82</v>
      </c>
      <c r="R12" s="87" t="s">
        <v>83</v>
      </c>
      <c r="S12" s="87" t="s">
        <v>84</v>
      </c>
      <c r="T12" s="87" t="s">
        <v>85</v>
      </c>
      <c r="V12" s="55"/>
    </row>
    <row r="13" ht="15.75" customHeight="1">
      <c r="A13" s="89"/>
      <c r="B13" s="96" t="s">
        <v>652</v>
      </c>
      <c r="C13" s="184" t="s">
        <v>653</v>
      </c>
      <c r="D13" s="92"/>
      <c r="E13" s="130" t="s">
        <v>654</v>
      </c>
      <c r="F13" s="184"/>
      <c r="G13" s="95"/>
      <c r="H13" s="96" t="s">
        <v>89</v>
      </c>
      <c r="I13" s="97" t="s">
        <v>276</v>
      </c>
      <c r="J13" s="95"/>
      <c r="K13" s="99">
        <v>9000.0</v>
      </c>
      <c r="L13" s="99">
        <v>3000.0</v>
      </c>
      <c r="M13" s="100"/>
      <c r="N13" s="101" t="s">
        <v>45</v>
      </c>
      <c r="O13" s="102"/>
      <c r="P13" s="95"/>
      <c r="Q13" s="103">
        <v>5.0</v>
      </c>
      <c r="R13" s="171" t="s">
        <v>655</v>
      </c>
      <c r="S13" s="103" t="s">
        <v>113</v>
      </c>
      <c r="T13" s="105" t="s">
        <v>656</v>
      </c>
      <c r="U13" s="106"/>
      <c r="V13" s="107"/>
    </row>
    <row r="14" ht="15.75" customHeight="1">
      <c r="A14" s="89"/>
      <c r="B14" s="96" t="s">
        <v>657</v>
      </c>
      <c r="C14" s="91" t="s">
        <v>658</v>
      </c>
      <c r="D14" s="92"/>
      <c r="E14" s="130" t="s">
        <v>659</v>
      </c>
      <c r="F14" s="209"/>
      <c r="G14" s="95"/>
      <c r="H14" s="96" t="s">
        <v>89</v>
      </c>
      <c r="I14" s="97" t="s">
        <v>110</v>
      </c>
      <c r="J14" s="95"/>
      <c r="K14" s="99">
        <v>7500.0</v>
      </c>
      <c r="L14" s="99">
        <v>7500.0</v>
      </c>
      <c r="M14" s="100"/>
      <c r="N14" s="101"/>
      <c r="O14" s="102"/>
      <c r="P14" s="95"/>
      <c r="Q14" s="103">
        <v>4.0</v>
      </c>
      <c r="R14" s="170" t="s">
        <v>660</v>
      </c>
      <c r="S14" s="103" t="s">
        <v>113</v>
      </c>
      <c r="T14" s="105" t="s">
        <v>661</v>
      </c>
      <c r="U14" s="106"/>
      <c r="V14" s="107"/>
    </row>
    <row r="15" ht="15.75" customHeight="1">
      <c r="A15" s="95"/>
      <c r="B15" s="96" t="s">
        <v>652</v>
      </c>
      <c r="C15" s="108" t="s">
        <v>662</v>
      </c>
      <c r="D15" s="95"/>
      <c r="E15" s="130" t="s">
        <v>663</v>
      </c>
      <c r="F15" s="109"/>
      <c r="G15" s="95"/>
      <c r="H15" s="96" t="s">
        <v>89</v>
      </c>
      <c r="I15" s="97" t="s">
        <v>276</v>
      </c>
      <c r="J15" s="95"/>
      <c r="K15" s="99">
        <v>9000.0</v>
      </c>
      <c r="L15" s="99">
        <v>3000.0</v>
      </c>
      <c r="M15" s="100"/>
      <c r="N15" s="101" t="s">
        <v>45</v>
      </c>
      <c r="O15" s="102"/>
      <c r="P15" s="95"/>
      <c r="Q15" s="103">
        <v>5.0</v>
      </c>
      <c r="R15" s="170" t="s">
        <v>664</v>
      </c>
      <c r="S15" s="103" t="s">
        <v>113</v>
      </c>
      <c r="T15" s="110" t="s">
        <v>665</v>
      </c>
      <c r="U15" s="103"/>
      <c r="V15" s="107"/>
    </row>
    <row r="16" ht="15.75" customHeight="1">
      <c r="A16" s="95"/>
      <c r="B16" s="96" t="s">
        <v>666</v>
      </c>
      <c r="C16" s="210" t="s">
        <v>667</v>
      </c>
      <c r="D16" s="103"/>
      <c r="E16" s="130" t="s">
        <v>668</v>
      </c>
      <c r="F16" s="109"/>
      <c r="G16" s="95"/>
      <c r="H16" s="96" t="s">
        <v>89</v>
      </c>
      <c r="I16" s="97" t="s">
        <v>90</v>
      </c>
      <c r="J16" s="95"/>
      <c r="K16" s="113"/>
      <c r="L16" s="113"/>
      <c r="M16" s="100"/>
      <c r="N16" s="101" t="s">
        <v>45</v>
      </c>
      <c r="O16" s="102" t="s">
        <v>669</v>
      </c>
      <c r="P16" s="95"/>
      <c r="Q16" s="103"/>
      <c r="R16" s="170" t="s">
        <v>670</v>
      </c>
      <c r="S16" s="103" t="s">
        <v>94</v>
      </c>
      <c r="T16" s="116" t="s">
        <v>671</v>
      </c>
      <c r="U16" s="103"/>
      <c r="V16" s="107"/>
    </row>
    <row r="17" ht="15.75" customHeight="1">
      <c r="A17" s="95"/>
      <c r="B17" s="96" t="s">
        <v>666</v>
      </c>
      <c r="C17" s="211" t="s">
        <v>672</v>
      </c>
      <c r="D17" s="95"/>
      <c r="E17" s="130" t="s">
        <v>673</v>
      </c>
      <c r="F17" s="194" t="s">
        <v>674</v>
      </c>
      <c r="G17" s="95"/>
      <c r="H17" s="96" t="s">
        <v>89</v>
      </c>
      <c r="I17" s="97" t="s">
        <v>90</v>
      </c>
      <c r="J17" s="95"/>
      <c r="K17" s="99"/>
      <c r="L17" s="99"/>
      <c r="M17" s="100"/>
      <c r="N17" s="101" t="s">
        <v>45</v>
      </c>
      <c r="O17" s="102" t="s">
        <v>675</v>
      </c>
      <c r="P17" s="95"/>
      <c r="Q17" s="103"/>
      <c r="R17" s="170" t="s">
        <v>676</v>
      </c>
      <c r="S17" s="103" t="s">
        <v>157</v>
      </c>
      <c r="T17" s="103" t="s">
        <v>677</v>
      </c>
      <c r="V17" s="107"/>
    </row>
    <row r="18" ht="15.75" customHeight="1">
      <c r="A18" s="95"/>
      <c r="B18" s="96" t="s">
        <v>678</v>
      </c>
      <c r="C18" s="212" t="s">
        <v>679</v>
      </c>
      <c r="D18" s="95"/>
      <c r="E18" s="130" t="s">
        <v>680</v>
      </c>
      <c r="F18" s="194" t="s">
        <v>681</v>
      </c>
      <c r="G18" s="95"/>
      <c r="H18" s="96" t="s">
        <v>89</v>
      </c>
      <c r="I18" s="97" t="s">
        <v>110</v>
      </c>
      <c r="J18" s="95"/>
      <c r="K18" s="99">
        <v>9000.0</v>
      </c>
      <c r="L18" s="99">
        <v>9000.0</v>
      </c>
      <c r="M18" s="100"/>
      <c r="N18" s="127"/>
      <c r="O18" s="102"/>
      <c r="P18" s="95"/>
      <c r="Q18" s="103">
        <v>5.0</v>
      </c>
      <c r="R18" s="171" t="s">
        <v>682</v>
      </c>
      <c r="S18" s="103" t="s">
        <v>113</v>
      </c>
      <c r="T18" s="119" t="s">
        <v>683</v>
      </c>
      <c r="U18" s="95"/>
      <c r="V18" s="107"/>
    </row>
    <row r="19" ht="15.75" customHeight="1">
      <c r="A19" s="95"/>
      <c r="B19" s="96" t="s">
        <v>684</v>
      </c>
      <c r="C19" s="119" t="s">
        <v>685</v>
      </c>
      <c r="D19" s="95"/>
      <c r="E19" s="130" t="s">
        <v>686</v>
      </c>
      <c r="F19" s="194" t="s">
        <v>687</v>
      </c>
      <c r="G19" s="95"/>
      <c r="H19" s="96" t="s">
        <v>89</v>
      </c>
      <c r="I19" s="97" t="s">
        <v>90</v>
      </c>
      <c r="J19" s="95"/>
      <c r="K19" s="99"/>
      <c r="L19" s="99"/>
      <c r="M19" s="100"/>
      <c r="N19" s="101" t="s">
        <v>45</v>
      </c>
      <c r="O19" s="102" t="s">
        <v>688</v>
      </c>
      <c r="P19" s="95"/>
      <c r="Q19" s="103">
        <v>4.0</v>
      </c>
      <c r="R19" s="171" t="s">
        <v>689</v>
      </c>
      <c r="S19" s="103" t="s">
        <v>94</v>
      </c>
      <c r="T19" s="119" t="s">
        <v>690</v>
      </c>
      <c r="U19" s="95"/>
      <c r="V19" s="107"/>
    </row>
    <row r="20" ht="15.75" customHeight="1">
      <c r="A20" s="95"/>
      <c r="B20" s="119" t="s">
        <v>691</v>
      </c>
      <c r="C20" s="119" t="s">
        <v>692</v>
      </c>
      <c r="D20" s="95"/>
      <c r="E20" s="130" t="s">
        <v>693</v>
      </c>
      <c r="F20" s="194" t="s">
        <v>694</v>
      </c>
      <c r="G20" s="95"/>
      <c r="H20" s="96" t="s">
        <v>89</v>
      </c>
      <c r="I20" s="97" t="s">
        <v>276</v>
      </c>
      <c r="J20" s="95"/>
      <c r="K20" s="99">
        <v>9000.0</v>
      </c>
      <c r="L20" s="99">
        <v>1500.0</v>
      </c>
      <c r="M20" s="100"/>
      <c r="N20" s="101" t="s">
        <v>45</v>
      </c>
      <c r="O20" s="102" t="s">
        <v>189</v>
      </c>
      <c r="P20" s="95"/>
      <c r="Q20" s="103">
        <v>5.0</v>
      </c>
      <c r="R20" s="171" t="s">
        <v>695</v>
      </c>
      <c r="S20" s="103" t="s">
        <v>113</v>
      </c>
      <c r="T20" s="119" t="s">
        <v>696</v>
      </c>
      <c r="U20" s="95"/>
      <c r="V20" s="107"/>
    </row>
    <row r="21" ht="15.75" customHeight="1">
      <c r="A21" s="89"/>
      <c r="B21" s="96" t="s">
        <v>697</v>
      </c>
      <c r="C21" s="210" t="s">
        <v>698</v>
      </c>
      <c r="D21" s="95"/>
      <c r="E21" s="130" t="s">
        <v>699</v>
      </c>
      <c r="F21" s="194" t="s">
        <v>700</v>
      </c>
      <c r="G21" s="95"/>
      <c r="H21" s="96" t="s">
        <v>89</v>
      </c>
      <c r="I21" s="97" t="s">
        <v>90</v>
      </c>
      <c r="J21" s="95"/>
      <c r="K21" s="99"/>
      <c r="L21" s="99"/>
      <c r="M21" s="100"/>
      <c r="N21" s="101" t="s">
        <v>65</v>
      </c>
      <c r="O21" s="102" t="s">
        <v>701</v>
      </c>
      <c r="P21" s="95"/>
      <c r="Q21" s="103"/>
      <c r="R21" s="186" t="s">
        <v>702</v>
      </c>
      <c r="S21" s="103" t="s">
        <v>94</v>
      </c>
      <c r="T21" s="97" t="s">
        <v>703</v>
      </c>
      <c r="V21" s="107"/>
    </row>
    <row r="22" ht="15.75" customHeight="1">
      <c r="A22" s="89"/>
      <c r="B22" s="96" t="s">
        <v>697</v>
      </c>
      <c r="C22" s="97" t="s">
        <v>704</v>
      </c>
      <c r="D22" s="95"/>
      <c r="E22" s="130" t="s">
        <v>705</v>
      </c>
      <c r="F22" s="194" t="s">
        <v>706</v>
      </c>
      <c r="G22" s="95"/>
      <c r="H22" s="96" t="s">
        <v>89</v>
      </c>
      <c r="I22" s="97" t="s">
        <v>276</v>
      </c>
      <c r="J22" s="95"/>
      <c r="K22" s="99">
        <v>9000.0</v>
      </c>
      <c r="L22" s="99">
        <v>1500.0</v>
      </c>
      <c r="M22" s="100"/>
      <c r="N22" s="101" t="s">
        <v>55</v>
      </c>
      <c r="O22" s="102" t="s">
        <v>707</v>
      </c>
      <c r="P22" s="95"/>
      <c r="Q22" s="103" t="s">
        <v>708</v>
      </c>
      <c r="R22" s="171" t="s">
        <v>709</v>
      </c>
      <c r="S22" s="103" t="s">
        <v>113</v>
      </c>
      <c r="T22" s="103" t="s">
        <v>710</v>
      </c>
      <c r="V22" s="107"/>
    </row>
    <row r="23" ht="15.75" customHeight="1">
      <c r="A23" s="89"/>
      <c r="B23" s="96" t="s">
        <v>697</v>
      </c>
      <c r="C23" s="97" t="s">
        <v>711</v>
      </c>
      <c r="D23" s="95"/>
      <c r="E23" s="130" t="s">
        <v>712</v>
      </c>
      <c r="F23" s="194" t="s">
        <v>713</v>
      </c>
      <c r="G23" s="95"/>
      <c r="H23" s="96" t="s">
        <v>89</v>
      </c>
      <c r="I23" s="103" t="s">
        <v>545</v>
      </c>
      <c r="J23" s="95"/>
      <c r="K23" s="99"/>
      <c r="L23" s="99"/>
      <c r="M23" s="100"/>
      <c r="N23" s="101" t="s">
        <v>45</v>
      </c>
      <c r="O23" s="102" t="s">
        <v>714</v>
      </c>
      <c r="P23" s="95"/>
      <c r="Q23" s="103"/>
      <c r="R23" s="171" t="s">
        <v>715</v>
      </c>
      <c r="S23" s="103" t="s">
        <v>157</v>
      </c>
      <c r="T23" s="103" t="s">
        <v>716</v>
      </c>
      <c r="V23" s="107"/>
    </row>
    <row r="24" ht="15.75" customHeight="1">
      <c r="A24" s="89"/>
      <c r="B24" s="96" t="s">
        <v>697</v>
      </c>
      <c r="C24" s="97" t="s">
        <v>717</v>
      </c>
      <c r="D24" s="95"/>
      <c r="E24" s="130" t="s">
        <v>718</v>
      </c>
      <c r="F24" s="194" t="s">
        <v>719</v>
      </c>
      <c r="G24" s="95"/>
      <c r="H24" s="96" t="s">
        <v>89</v>
      </c>
      <c r="I24" s="103" t="s">
        <v>90</v>
      </c>
      <c r="J24" s="95"/>
      <c r="K24" s="113"/>
      <c r="L24" s="113"/>
      <c r="M24" s="100"/>
      <c r="N24" s="101" t="s">
        <v>91</v>
      </c>
      <c r="O24" s="102" t="s">
        <v>720</v>
      </c>
      <c r="P24" s="95"/>
      <c r="Q24" s="103"/>
      <c r="R24" s="171" t="s">
        <v>721</v>
      </c>
      <c r="S24" s="103" t="s">
        <v>94</v>
      </c>
      <c r="T24" s="103" t="s">
        <v>722</v>
      </c>
      <c r="V24" s="107"/>
    </row>
    <row r="25" ht="15.75" customHeight="1">
      <c r="A25" s="89"/>
      <c r="B25" s="96" t="s">
        <v>697</v>
      </c>
      <c r="C25" s="97" t="s">
        <v>723</v>
      </c>
      <c r="D25" s="95"/>
      <c r="E25" s="130" t="s">
        <v>724</v>
      </c>
      <c r="F25" s="194" t="s">
        <v>725</v>
      </c>
      <c r="G25" s="95"/>
      <c r="H25" s="96" t="s">
        <v>89</v>
      </c>
      <c r="I25" s="103" t="s">
        <v>276</v>
      </c>
      <c r="J25" s="95"/>
      <c r="K25" s="99">
        <v>9000.0</v>
      </c>
      <c r="L25" s="99">
        <v>3000.0</v>
      </c>
      <c r="M25" s="100"/>
      <c r="N25" s="101" t="s">
        <v>45</v>
      </c>
      <c r="O25" s="102"/>
      <c r="P25" s="95"/>
      <c r="Q25" s="103">
        <v>5.0</v>
      </c>
      <c r="R25" s="171" t="s">
        <v>726</v>
      </c>
      <c r="S25" s="103" t="s">
        <v>113</v>
      </c>
      <c r="T25" s="103" t="s">
        <v>727</v>
      </c>
      <c r="V25" s="107"/>
    </row>
    <row r="26" ht="15.75" customHeight="1">
      <c r="A26" s="89"/>
      <c r="B26" s="96" t="s">
        <v>728</v>
      </c>
      <c r="C26" s="97" t="s">
        <v>729</v>
      </c>
      <c r="D26" s="95"/>
      <c r="E26" s="130" t="s">
        <v>730</v>
      </c>
      <c r="F26" s="194" t="s">
        <v>731</v>
      </c>
      <c r="G26" s="95"/>
      <c r="H26" s="96" t="s">
        <v>89</v>
      </c>
      <c r="I26" s="103" t="s">
        <v>90</v>
      </c>
      <c r="J26" s="95"/>
      <c r="K26" s="113"/>
      <c r="L26" s="113"/>
      <c r="M26" s="100"/>
      <c r="N26" s="101" t="s">
        <v>60</v>
      </c>
      <c r="O26" s="102" t="s">
        <v>732</v>
      </c>
      <c r="P26" s="95"/>
      <c r="Q26" s="103"/>
      <c r="R26" s="171" t="s">
        <v>733</v>
      </c>
      <c r="S26" s="103"/>
      <c r="T26" s="103" t="s">
        <v>734</v>
      </c>
      <c r="V26" s="107"/>
    </row>
    <row r="27" ht="15.75" customHeight="1">
      <c r="A27" s="89"/>
      <c r="B27" s="96" t="s">
        <v>728</v>
      </c>
      <c r="C27" s="97" t="s">
        <v>318</v>
      </c>
      <c r="D27" s="95"/>
      <c r="E27" s="130" t="s">
        <v>735</v>
      </c>
      <c r="F27" s="194" t="s">
        <v>736</v>
      </c>
      <c r="G27" s="95"/>
      <c r="H27" s="96" t="s">
        <v>89</v>
      </c>
      <c r="I27" s="103" t="s">
        <v>90</v>
      </c>
      <c r="J27" s="95"/>
      <c r="K27" s="99"/>
      <c r="L27" s="99"/>
      <c r="M27" s="100"/>
      <c r="N27" s="127"/>
      <c r="O27" s="102" t="s">
        <v>737</v>
      </c>
      <c r="P27" s="95"/>
      <c r="Q27" s="103"/>
      <c r="R27" s="171" t="s">
        <v>738</v>
      </c>
      <c r="S27" s="103" t="s">
        <v>157</v>
      </c>
      <c r="T27" s="103" t="s">
        <v>739</v>
      </c>
      <c r="V27" s="107"/>
    </row>
    <row r="28" ht="15.75" customHeight="1">
      <c r="A28" s="89"/>
      <c r="B28" s="96" t="s">
        <v>728</v>
      </c>
      <c r="C28" s="97" t="s">
        <v>740</v>
      </c>
      <c r="D28" s="95"/>
      <c r="E28" s="176">
        <v>9.3931125E7</v>
      </c>
      <c r="F28" s="194" t="s">
        <v>741</v>
      </c>
      <c r="G28" s="95"/>
      <c r="H28" s="96" t="s">
        <v>89</v>
      </c>
      <c r="I28" s="103" t="s">
        <v>276</v>
      </c>
      <c r="J28" s="95"/>
      <c r="K28" s="99">
        <v>9000.0</v>
      </c>
      <c r="L28" s="99">
        <v>3000.0</v>
      </c>
      <c r="M28" s="100"/>
      <c r="N28" s="101" t="s">
        <v>45</v>
      </c>
      <c r="O28" s="102" t="s">
        <v>742</v>
      </c>
      <c r="P28" s="95"/>
      <c r="Q28" s="103">
        <v>5.0</v>
      </c>
      <c r="R28" s="170" t="s">
        <v>743</v>
      </c>
      <c r="S28" s="103" t="s">
        <v>113</v>
      </c>
      <c r="T28" s="103" t="s">
        <v>744</v>
      </c>
      <c r="V28" s="107"/>
    </row>
    <row r="29" ht="15.75" customHeight="1">
      <c r="A29" s="89"/>
      <c r="B29" s="96" t="s">
        <v>745</v>
      </c>
      <c r="C29" s="103" t="s">
        <v>746</v>
      </c>
      <c r="D29" s="95"/>
      <c r="E29" s="130" t="s">
        <v>747</v>
      </c>
      <c r="F29" s="194" t="s">
        <v>748</v>
      </c>
      <c r="G29" s="95"/>
      <c r="H29" s="96" t="s">
        <v>89</v>
      </c>
      <c r="I29" s="103" t="s">
        <v>276</v>
      </c>
      <c r="J29" s="95"/>
      <c r="K29" s="99">
        <v>9000.0</v>
      </c>
      <c r="L29" s="99">
        <v>3000.0</v>
      </c>
      <c r="M29" s="100"/>
      <c r="N29" s="127"/>
      <c r="O29" s="128"/>
      <c r="P29" s="95"/>
      <c r="Q29" s="103">
        <v>5.0</v>
      </c>
      <c r="R29" s="171" t="s">
        <v>749</v>
      </c>
      <c r="S29" s="103" t="s">
        <v>113</v>
      </c>
      <c r="T29" s="103" t="s">
        <v>750</v>
      </c>
      <c r="V29" s="107"/>
    </row>
    <row r="30" ht="15.75" customHeight="1">
      <c r="A30" s="89"/>
      <c r="B30" s="96" t="s">
        <v>745</v>
      </c>
      <c r="C30" s="97" t="s">
        <v>751</v>
      </c>
      <c r="D30" s="95"/>
      <c r="E30" s="130" t="s">
        <v>752</v>
      </c>
      <c r="F30" s="144"/>
      <c r="G30" s="95"/>
      <c r="H30" s="96" t="s">
        <v>89</v>
      </c>
      <c r="I30" s="103" t="s">
        <v>90</v>
      </c>
      <c r="J30" s="95"/>
      <c r="M30" s="100"/>
      <c r="N30" s="101" t="s">
        <v>60</v>
      </c>
      <c r="O30" s="102" t="s">
        <v>753</v>
      </c>
      <c r="P30" s="95"/>
      <c r="Q30" s="103"/>
      <c r="R30" s="171" t="s">
        <v>754</v>
      </c>
      <c r="S30" s="103" t="s">
        <v>157</v>
      </c>
      <c r="T30" s="103" t="s">
        <v>755</v>
      </c>
      <c r="V30" s="107"/>
    </row>
    <row r="31" ht="15.75" customHeight="1">
      <c r="A31" s="89"/>
      <c r="B31" s="96" t="s">
        <v>756</v>
      </c>
      <c r="C31" s="130" t="s">
        <v>757</v>
      </c>
      <c r="D31" s="95"/>
      <c r="E31" s="130" t="s">
        <v>758</v>
      </c>
      <c r="F31" s="194" t="s">
        <v>759</v>
      </c>
      <c r="G31" s="95"/>
      <c r="H31" s="96" t="s">
        <v>89</v>
      </c>
      <c r="I31" s="103" t="s">
        <v>90</v>
      </c>
      <c r="J31" s="95"/>
      <c r="M31" s="100"/>
      <c r="N31" s="101" t="s">
        <v>45</v>
      </c>
      <c r="O31" s="102" t="s">
        <v>760</v>
      </c>
      <c r="P31" s="95"/>
      <c r="Q31" s="103">
        <v>5.0</v>
      </c>
      <c r="R31" s="171" t="s">
        <v>761</v>
      </c>
      <c r="S31" s="103" t="s">
        <v>94</v>
      </c>
      <c r="T31" s="103" t="s">
        <v>762</v>
      </c>
      <c r="V31" s="107"/>
    </row>
    <row r="32" ht="15.75" customHeight="1">
      <c r="A32" s="89"/>
      <c r="B32" s="96" t="s">
        <v>756</v>
      </c>
      <c r="C32" s="97" t="s">
        <v>763</v>
      </c>
      <c r="D32" s="95"/>
      <c r="E32" s="130" t="s">
        <v>764</v>
      </c>
      <c r="F32" s="194" t="s">
        <v>765</v>
      </c>
      <c r="G32" s="95"/>
      <c r="H32" s="96" t="s">
        <v>89</v>
      </c>
      <c r="I32" s="103" t="s">
        <v>90</v>
      </c>
      <c r="J32" s="95"/>
      <c r="M32" s="100"/>
      <c r="N32" s="101" t="s">
        <v>45</v>
      </c>
      <c r="O32" s="102" t="s">
        <v>189</v>
      </c>
      <c r="P32" s="95"/>
      <c r="Q32" s="103"/>
      <c r="R32" s="171" t="s">
        <v>766</v>
      </c>
      <c r="S32" s="103" t="s">
        <v>94</v>
      </c>
      <c r="T32" s="103" t="s">
        <v>767</v>
      </c>
      <c r="V32" s="107"/>
    </row>
    <row r="33" ht="15.75" customHeight="1">
      <c r="A33" s="89"/>
      <c r="B33" s="96" t="s">
        <v>768</v>
      </c>
      <c r="C33" s="97" t="s">
        <v>769</v>
      </c>
      <c r="D33" s="95"/>
      <c r="E33" s="130" t="s">
        <v>770</v>
      </c>
      <c r="F33" s="194" t="s">
        <v>771</v>
      </c>
      <c r="G33" s="95"/>
      <c r="H33" s="96" t="s">
        <v>89</v>
      </c>
      <c r="I33" s="103" t="s">
        <v>276</v>
      </c>
      <c r="J33" s="95"/>
      <c r="K33" s="99">
        <v>9000.0</v>
      </c>
      <c r="L33" s="99">
        <v>3000.0</v>
      </c>
      <c r="M33" s="100"/>
      <c r="N33" s="101"/>
      <c r="O33" s="102"/>
      <c r="P33" s="95"/>
      <c r="Q33" s="103">
        <v>5.0</v>
      </c>
      <c r="R33" s="171" t="s">
        <v>772</v>
      </c>
      <c r="S33" s="103" t="s">
        <v>113</v>
      </c>
      <c r="T33" s="103" t="s">
        <v>773</v>
      </c>
      <c r="V33" s="107"/>
    </row>
    <row r="34" ht="15.75" customHeight="1">
      <c r="A34" s="89"/>
      <c r="B34" s="96" t="s">
        <v>768</v>
      </c>
      <c r="C34" s="97" t="s">
        <v>774</v>
      </c>
      <c r="D34" s="95"/>
      <c r="E34" s="130" t="s">
        <v>775</v>
      </c>
      <c r="F34" s="194" t="s">
        <v>776</v>
      </c>
      <c r="G34" s="95"/>
      <c r="H34" s="96" t="s">
        <v>89</v>
      </c>
      <c r="I34" s="103" t="s">
        <v>90</v>
      </c>
      <c r="J34" s="95"/>
      <c r="K34" s="113"/>
      <c r="L34" s="113"/>
      <c r="M34" s="100"/>
      <c r="N34" s="101" t="s">
        <v>45</v>
      </c>
      <c r="O34" s="102" t="s">
        <v>777</v>
      </c>
      <c r="P34" s="95"/>
      <c r="Q34" s="103"/>
      <c r="R34" s="171" t="s">
        <v>778</v>
      </c>
      <c r="S34" s="103" t="s">
        <v>94</v>
      </c>
      <c r="T34" s="103" t="s">
        <v>779</v>
      </c>
      <c r="V34" s="107"/>
    </row>
    <row r="35" ht="15.75" customHeight="1">
      <c r="A35" s="89"/>
      <c r="B35" s="96" t="s">
        <v>780</v>
      </c>
      <c r="C35" s="103" t="s">
        <v>781</v>
      </c>
      <c r="D35" s="95"/>
      <c r="E35" s="130" t="s">
        <v>782</v>
      </c>
      <c r="F35" s="194" t="s">
        <v>783</v>
      </c>
      <c r="G35" s="95"/>
      <c r="H35" s="96" t="s">
        <v>89</v>
      </c>
      <c r="I35" s="103" t="s">
        <v>90</v>
      </c>
      <c r="J35" s="95"/>
      <c r="K35" s="99"/>
      <c r="L35" s="99"/>
      <c r="M35" s="100"/>
      <c r="N35" s="101" t="s">
        <v>45</v>
      </c>
      <c r="O35" s="102" t="s">
        <v>784</v>
      </c>
      <c r="P35" s="95"/>
      <c r="Q35" s="103"/>
      <c r="R35" s="171" t="s">
        <v>785</v>
      </c>
      <c r="S35" s="103" t="s">
        <v>94</v>
      </c>
      <c r="T35" s="103" t="s">
        <v>786</v>
      </c>
      <c r="V35" s="107"/>
    </row>
    <row r="36" ht="15.75" customHeight="1">
      <c r="A36" s="89"/>
      <c r="B36" s="96" t="s">
        <v>780</v>
      </c>
      <c r="C36" s="103" t="s">
        <v>787</v>
      </c>
      <c r="D36" s="95"/>
      <c r="E36" s="130" t="s">
        <v>788</v>
      </c>
      <c r="F36" s="194" t="s">
        <v>789</v>
      </c>
      <c r="G36" s="95"/>
      <c r="H36" s="96" t="s">
        <v>89</v>
      </c>
      <c r="I36" s="103" t="s">
        <v>90</v>
      </c>
      <c r="J36" s="95"/>
      <c r="K36" s="113"/>
      <c r="L36" s="113"/>
      <c r="M36" s="100"/>
      <c r="N36" s="101" t="s">
        <v>60</v>
      </c>
      <c r="O36" s="102" t="s">
        <v>790</v>
      </c>
      <c r="P36" s="95"/>
      <c r="Q36" s="103">
        <v>5.0</v>
      </c>
      <c r="R36" s="171" t="s">
        <v>791</v>
      </c>
      <c r="S36" s="103" t="s">
        <v>94</v>
      </c>
      <c r="T36" s="103" t="s">
        <v>792</v>
      </c>
      <c r="V36" s="107"/>
    </row>
    <row r="37" ht="15.75" customHeight="1">
      <c r="A37" s="89"/>
      <c r="B37" s="96" t="s">
        <v>793</v>
      </c>
      <c r="C37" s="97" t="s">
        <v>794</v>
      </c>
      <c r="D37" s="95"/>
      <c r="E37" s="130" t="s">
        <v>795</v>
      </c>
      <c r="F37" s="194" t="s">
        <v>796</v>
      </c>
      <c r="G37" s="95"/>
      <c r="H37" s="96" t="s">
        <v>89</v>
      </c>
      <c r="I37" s="103" t="s">
        <v>90</v>
      </c>
      <c r="J37" s="95"/>
      <c r="K37" s="99"/>
      <c r="L37" s="99"/>
      <c r="M37" s="100"/>
      <c r="N37" s="101" t="s">
        <v>45</v>
      </c>
      <c r="O37" s="102" t="s">
        <v>797</v>
      </c>
      <c r="P37" s="95"/>
      <c r="Q37" s="103">
        <v>5.0</v>
      </c>
      <c r="R37" s="171" t="s">
        <v>798</v>
      </c>
      <c r="S37" s="103" t="s">
        <v>94</v>
      </c>
      <c r="T37" s="103" t="s">
        <v>799</v>
      </c>
      <c r="V37" s="107"/>
    </row>
    <row r="38" ht="15.75" customHeight="1">
      <c r="A38" s="89"/>
      <c r="B38" s="96" t="s">
        <v>793</v>
      </c>
      <c r="C38" s="97" t="s">
        <v>800</v>
      </c>
      <c r="D38" s="95"/>
      <c r="E38" s="130" t="s">
        <v>801</v>
      </c>
      <c r="F38" s="194" t="s">
        <v>802</v>
      </c>
      <c r="G38" s="95"/>
      <c r="H38" s="96" t="s">
        <v>89</v>
      </c>
      <c r="I38" s="103" t="s">
        <v>276</v>
      </c>
      <c r="J38" s="95"/>
      <c r="K38" s="99">
        <v>9000.0</v>
      </c>
      <c r="L38" s="99">
        <v>1500.0</v>
      </c>
      <c r="M38" s="100"/>
      <c r="N38" s="101" t="s">
        <v>45</v>
      </c>
      <c r="O38" s="102" t="s">
        <v>189</v>
      </c>
      <c r="P38" s="95"/>
      <c r="Q38" s="103">
        <v>5.0</v>
      </c>
      <c r="R38" s="171" t="s">
        <v>803</v>
      </c>
      <c r="S38" s="103" t="s">
        <v>113</v>
      </c>
      <c r="T38" s="124" t="s">
        <v>804</v>
      </c>
      <c r="V38" s="107"/>
    </row>
    <row r="39" ht="15.75" customHeight="1">
      <c r="A39" s="89"/>
      <c r="B39" s="96" t="s">
        <v>793</v>
      </c>
      <c r="C39" s="97" t="s">
        <v>805</v>
      </c>
      <c r="D39" s="95"/>
      <c r="E39" s="130" t="s">
        <v>806</v>
      </c>
      <c r="F39" s="194" t="s">
        <v>807</v>
      </c>
      <c r="G39" s="95"/>
      <c r="H39" s="96" t="s">
        <v>89</v>
      </c>
      <c r="I39" s="103" t="s">
        <v>90</v>
      </c>
      <c r="J39" s="95"/>
      <c r="K39" s="99"/>
      <c r="L39" s="99"/>
      <c r="M39" s="100"/>
      <c r="N39" s="101" t="s">
        <v>60</v>
      </c>
      <c r="O39" s="102" t="s">
        <v>808</v>
      </c>
      <c r="P39" s="95"/>
      <c r="Q39" s="103">
        <v>5.0</v>
      </c>
      <c r="R39" s="171" t="s">
        <v>809</v>
      </c>
      <c r="S39" s="103" t="s">
        <v>94</v>
      </c>
      <c r="T39" s="103" t="s">
        <v>810</v>
      </c>
      <c r="V39" s="107"/>
    </row>
    <row r="40" ht="15.75" customHeight="1">
      <c r="A40" s="89"/>
      <c r="B40" s="96" t="s">
        <v>793</v>
      </c>
      <c r="C40" s="97" t="s">
        <v>811</v>
      </c>
      <c r="D40" s="95"/>
      <c r="E40" s="130" t="s">
        <v>812</v>
      </c>
      <c r="F40" s="194" t="s">
        <v>813</v>
      </c>
      <c r="G40" s="95"/>
      <c r="H40" s="96" t="s">
        <v>89</v>
      </c>
      <c r="I40" s="103" t="s">
        <v>276</v>
      </c>
      <c r="J40" s="95"/>
      <c r="K40" s="99">
        <v>9000.0</v>
      </c>
      <c r="L40" s="99">
        <v>1500.0</v>
      </c>
      <c r="M40" s="100"/>
      <c r="N40" s="101"/>
      <c r="O40" s="102" t="s">
        <v>814</v>
      </c>
      <c r="P40" s="95"/>
      <c r="Q40" s="103">
        <v>5.0</v>
      </c>
      <c r="R40" s="171" t="s">
        <v>815</v>
      </c>
      <c r="S40" s="103" t="s">
        <v>113</v>
      </c>
      <c r="T40" s="103" t="s">
        <v>816</v>
      </c>
      <c r="V40" s="107"/>
    </row>
    <row r="41" ht="15.75" customHeight="1">
      <c r="A41" s="89"/>
      <c r="B41" s="96" t="s">
        <v>817</v>
      </c>
      <c r="C41" s="97" t="s">
        <v>818</v>
      </c>
      <c r="D41" s="95"/>
      <c r="E41" s="130" t="s">
        <v>819</v>
      </c>
      <c r="F41" s="194" t="s">
        <v>820</v>
      </c>
      <c r="G41" s="95"/>
      <c r="H41" s="96" t="s">
        <v>89</v>
      </c>
      <c r="I41" s="103" t="s">
        <v>90</v>
      </c>
      <c r="J41" s="95"/>
      <c r="K41" s="99"/>
      <c r="L41" s="99"/>
      <c r="M41" s="100"/>
      <c r="N41" s="101" t="s">
        <v>60</v>
      </c>
      <c r="O41" s="102" t="s">
        <v>821</v>
      </c>
      <c r="P41" s="95"/>
      <c r="Q41" s="103"/>
      <c r="R41" s="171" t="s">
        <v>822</v>
      </c>
      <c r="S41" s="103" t="s">
        <v>94</v>
      </c>
      <c r="T41" s="103" t="s">
        <v>823</v>
      </c>
      <c r="V41" s="107"/>
    </row>
    <row r="42" ht="15.75" customHeight="1">
      <c r="A42" s="89"/>
      <c r="B42" s="96" t="s">
        <v>817</v>
      </c>
      <c r="C42" s="103" t="s">
        <v>824</v>
      </c>
      <c r="D42" s="95"/>
      <c r="E42" s="130" t="s">
        <v>825</v>
      </c>
      <c r="F42" s="194" t="s">
        <v>826</v>
      </c>
      <c r="G42" s="95"/>
      <c r="H42" s="96" t="s">
        <v>89</v>
      </c>
      <c r="I42" s="103" t="s">
        <v>90</v>
      </c>
      <c r="J42" s="95"/>
      <c r="K42" s="113"/>
      <c r="L42" s="113"/>
      <c r="M42" s="100"/>
      <c r="N42" s="101"/>
      <c r="O42" s="102"/>
      <c r="P42" s="95"/>
      <c r="Q42" s="103"/>
      <c r="R42" s="171" t="s">
        <v>827</v>
      </c>
      <c r="S42" s="103" t="s">
        <v>94</v>
      </c>
      <c r="T42" s="103" t="s">
        <v>828</v>
      </c>
      <c r="V42" s="107"/>
    </row>
    <row r="43" ht="15.75" customHeight="1">
      <c r="A43" s="89"/>
      <c r="B43" s="96" t="s">
        <v>817</v>
      </c>
      <c r="C43" s="103" t="s">
        <v>829</v>
      </c>
      <c r="D43" s="95"/>
      <c r="E43" s="130" t="s">
        <v>830</v>
      </c>
      <c r="F43" s="194" t="s">
        <v>831</v>
      </c>
      <c r="G43" s="95"/>
      <c r="H43" s="96" t="s">
        <v>89</v>
      </c>
      <c r="I43" s="103" t="s">
        <v>90</v>
      </c>
      <c r="J43" s="95"/>
      <c r="K43" s="99"/>
      <c r="L43" s="99"/>
      <c r="M43" s="100"/>
      <c r="N43" s="101" t="s">
        <v>45</v>
      </c>
      <c r="O43" s="102" t="s">
        <v>832</v>
      </c>
      <c r="P43" s="95"/>
      <c r="Q43" s="103"/>
      <c r="R43" s="171" t="s">
        <v>833</v>
      </c>
      <c r="S43" s="103" t="s">
        <v>94</v>
      </c>
      <c r="T43" s="103" t="s">
        <v>834</v>
      </c>
      <c r="V43" s="107"/>
    </row>
    <row r="44" ht="15.75" customHeight="1">
      <c r="A44" s="89"/>
      <c r="B44" s="96" t="s">
        <v>835</v>
      </c>
      <c r="C44" s="103" t="s">
        <v>836</v>
      </c>
      <c r="D44" s="95"/>
      <c r="E44" s="130" t="s">
        <v>837</v>
      </c>
      <c r="F44" s="194" t="s">
        <v>838</v>
      </c>
      <c r="G44" s="95"/>
      <c r="H44" s="96" t="s">
        <v>89</v>
      </c>
      <c r="I44" s="103" t="s">
        <v>276</v>
      </c>
      <c r="J44" s="95"/>
      <c r="K44" s="99">
        <v>9000.0</v>
      </c>
      <c r="L44" s="99">
        <v>3000.0</v>
      </c>
      <c r="M44" s="100"/>
      <c r="N44" s="127"/>
      <c r="O44" s="128"/>
      <c r="P44" s="95"/>
      <c r="Q44" s="103">
        <v>5.0</v>
      </c>
      <c r="R44" s="171" t="s">
        <v>839</v>
      </c>
      <c r="S44" s="103" t="s">
        <v>113</v>
      </c>
      <c r="T44" s="103" t="s">
        <v>840</v>
      </c>
      <c r="V44" s="107"/>
    </row>
    <row r="45" ht="15.75" customHeight="1">
      <c r="A45" s="89"/>
      <c r="B45" s="96" t="s">
        <v>835</v>
      </c>
      <c r="C45" s="97" t="s">
        <v>841</v>
      </c>
      <c r="D45" s="95"/>
      <c r="E45" s="130" t="s">
        <v>842</v>
      </c>
      <c r="F45" s="194" t="s">
        <v>843</v>
      </c>
      <c r="G45" s="95"/>
      <c r="H45" s="96" t="s">
        <v>89</v>
      </c>
      <c r="I45" s="103" t="s">
        <v>90</v>
      </c>
      <c r="J45" s="95"/>
      <c r="K45" s="99"/>
      <c r="L45" s="99"/>
      <c r="M45" s="100"/>
      <c r="N45" s="101" t="s">
        <v>45</v>
      </c>
      <c r="O45" s="102" t="s">
        <v>844</v>
      </c>
      <c r="P45" s="95"/>
      <c r="Q45" s="103">
        <v>5.0</v>
      </c>
      <c r="R45" s="171" t="s">
        <v>845</v>
      </c>
      <c r="S45" s="103" t="s">
        <v>157</v>
      </c>
      <c r="T45" s="103" t="s">
        <v>846</v>
      </c>
      <c r="V45" s="107"/>
    </row>
    <row r="46" ht="15.75" customHeight="1">
      <c r="A46" s="89"/>
      <c r="B46" s="177"/>
      <c r="C46" s="97"/>
      <c r="D46" s="95"/>
      <c r="E46" s="176"/>
      <c r="F46" s="144"/>
      <c r="G46" s="95"/>
      <c r="H46" s="96"/>
      <c r="I46" s="103"/>
      <c r="J46" s="95"/>
      <c r="K46" s="113"/>
      <c r="L46" s="113"/>
      <c r="M46" s="100"/>
      <c r="N46" s="127"/>
      <c r="O46" s="128"/>
      <c r="P46" s="95"/>
      <c r="Q46" s="95"/>
      <c r="R46" s="129"/>
      <c r="S46" s="95"/>
      <c r="T46" s="95"/>
      <c r="V46" s="107"/>
    </row>
    <row r="47" ht="15.75" customHeight="1">
      <c r="A47" s="89"/>
      <c r="B47" s="96" t="s">
        <v>657</v>
      </c>
      <c r="C47" s="97" t="s">
        <v>847</v>
      </c>
      <c r="D47" s="95"/>
      <c r="E47" s="213" t="s">
        <v>668</v>
      </c>
      <c r="F47" s="214" t="s">
        <v>848</v>
      </c>
      <c r="G47" s="95"/>
      <c r="H47" s="96" t="s">
        <v>89</v>
      </c>
      <c r="I47" s="103" t="s">
        <v>849</v>
      </c>
      <c r="J47" s="95"/>
      <c r="K47" s="99"/>
      <c r="L47" s="99"/>
      <c r="M47" s="100"/>
      <c r="N47" s="101"/>
      <c r="O47" s="102"/>
      <c r="P47" s="95"/>
      <c r="Q47" s="114"/>
      <c r="R47" s="115"/>
      <c r="S47" s="103"/>
      <c r="T47" s="103"/>
      <c r="V47" s="107"/>
    </row>
    <row r="48" ht="15.75" customHeight="1">
      <c r="A48" s="89"/>
      <c r="B48" s="96" t="s">
        <v>657</v>
      </c>
      <c r="C48" s="97" t="s">
        <v>850</v>
      </c>
      <c r="D48" s="95"/>
      <c r="E48" s="213" t="s">
        <v>851</v>
      </c>
      <c r="F48" s="144"/>
      <c r="G48" s="95"/>
      <c r="H48" s="96" t="s">
        <v>89</v>
      </c>
      <c r="I48" s="103" t="s">
        <v>849</v>
      </c>
      <c r="J48" s="95"/>
      <c r="K48" s="113"/>
      <c r="L48" s="113"/>
      <c r="M48" s="100"/>
      <c r="N48" s="101"/>
      <c r="O48" s="102"/>
      <c r="P48" s="95"/>
      <c r="Q48" s="135"/>
      <c r="R48" s="106"/>
      <c r="S48" s="103"/>
      <c r="T48" s="103"/>
      <c r="V48" s="107"/>
    </row>
    <row r="49" ht="15.75" customHeight="1">
      <c r="A49" s="89"/>
      <c r="B49" s="96" t="s">
        <v>666</v>
      </c>
      <c r="C49" s="97" t="s">
        <v>852</v>
      </c>
      <c r="D49" s="95"/>
      <c r="E49" s="213" t="s">
        <v>853</v>
      </c>
      <c r="F49" s="144"/>
      <c r="G49" s="95"/>
      <c r="H49" s="96" t="s">
        <v>89</v>
      </c>
      <c r="I49" s="103" t="s">
        <v>849</v>
      </c>
      <c r="J49" s="95"/>
      <c r="K49" s="99"/>
      <c r="L49" s="99"/>
      <c r="M49" s="100"/>
      <c r="N49" s="101"/>
      <c r="O49" s="102"/>
      <c r="P49" s="95"/>
      <c r="Q49" s="135"/>
      <c r="R49" s="106"/>
      <c r="S49" s="103"/>
      <c r="T49" s="103"/>
      <c r="V49" s="107"/>
    </row>
    <row r="50" ht="15.75" customHeight="1">
      <c r="A50" s="89"/>
      <c r="B50" s="96" t="s">
        <v>666</v>
      </c>
      <c r="C50" s="103" t="s">
        <v>854</v>
      </c>
      <c r="D50" s="95"/>
      <c r="E50" s="213" t="s">
        <v>855</v>
      </c>
      <c r="F50" s="146"/>
      <c r="G50" s="95"/>
      <c r="H50" s="96" t="s">
        <v>89</v>
      </c>
      <c r="I50" s="103" t="s">
        <v>849</v>
      </c>
      <c r="J50" s="95"/>
      <c r="K50" s="113"/>
      <c r="L50" s="113"/>
      <c r="M50" s="100"/>
      <c r="N50" s="127"/>
      <c r="O50" s="128"/>
      <c r="P50" s="95"/>
      <c r="Q50" s="95"/>
      <c r="R50" s="129"/>
      <c r="S50" s="95"/>
      <c r="T50" s="103"/>
      <c r="V50" s="107"/>
    </row>
    <row r="51" ht="15.75" customHeight="1">
      <c r="A51" s="89"/>
      <c r="B51" s="96" t="s">
        <v>684</v>
      </c>
      <c r="C51" s="103" t="s">
        <v>856</v>
      </c>
      <c r="D51" s="95"/>
      <c r="E51" s="213" t="s">
        <v>857</v>
      </c>
      <c r="F51" s="213"/>
      <c r="G51" s="95"/>
      <c r="H51" s="96" t="s">
        <v>89</v>
      </c>
      <c r="I51" s="103" t="s">
        <v>849</v>
      </c>
      <c r="J51" s="95"/>
      <c r="K51" s="99"/>
      <c r="L51" s="99"/>
      <c r="M51" s="100"/>
      <c r="N51" s="101"/>
      <c r="O51" s="102"/>
      <c r="P51" s="95"/>
      <c r="Q51" s="137"/>
      <c r="R51" s="129"/>
      <c r="S51" s="103"/>
      <c r="T51" s="103"/>
      <c r="V51" s="107"/>
    </row>
    <row r="52" ht="15.75" customHeight="1">
      <c r="A52" s="89"/>
      <c r="B52" s="96" t="s">
        <v>858</v>
      </c>
      <c r="C52" s="103" t="s">
        <v>859</v>
      </c>
      <c r="D52" s="95"/>
      <c r="E52" s="176" t="s">
        <v>860</v>
      </c>
      <c r="F52" s="144"/>
      <c r="G52" s="95"/>
      <c r="H52" s="96" t="s">
        <v>89</v>
      </c>
      <c r="I52" s="103" t="s">
        <v>849</v>
      </c>
      <c r="J52" s="95"/>
      <c r="K52" s="113"/>
      <c r="L52" s="113"/>
      <c r="M52" s="100"/>
      <c r="N52" s="127"/>
      <c r="O52" s="128"/>
      <c r="P52" s="95"/>
      <c r="Q52" s="137"/>
      <c r="R52" s="129"/>
      <c r="S52" s="95"/>
      <c r="T52" s="95"/>
      <c r="V52" s="107"/>
    </row>
    <row r="53" ht="15.75" customHeight="1">
      <c r="A53" s="89"/>
      <c r="B53" s="96" t="s">
        <v>858</v>
      </c>
      <c r="C53" s="97" t="s">
        <v>861</v>
      </c>
      <c r="D53" s="95"/>
      <c r="E53" s="176" t="s">
        <v>862</v>
      </c>
      <c r="F53" s="144"/>
      <c r="G53" s="95"/>
      <c r="H53" s="96" t="s">
        <v>89</v>
      </c>
      <c r="I53" s="103" t="s">
        <v>849</v>
      </c>
      <c r="J53" s="95"/>
      <c r="K53" s="99"/>
      <c r="L53" s="99"/>
      <c r="M53" s="100"/>
      <c r="N53" s="127"/>
      <c r="O53" s="128"/>
      <c r="P53" s="95"/>
      <c r="Q53" s="135"/>
      <c r="R53" s="106"/>
      <c r="S53" s="95"/>
      <c r="T53" s="103"/>
      <c r="V53" s="107"/>
    </row>
    <row r="54" ht="15.75" customHeight="1">
      <c r="A54" s="89"/>
      <c r="B54" s="96" t="s">
        <v>728</v>
      </c>
      <c r="C54" s="96" t="s">
        <v>318</v>
      </c>
      <c r="D54" s="95"/>
      <c r="E54" s="213" t="s">
        <v>735</v>
      </c>
      <c r="F54" s="215" t="s">
        <v>736</v>
      </c>
      <c r="G54" s="95"/>
      <c r="H54" s="96" t="s">
        <v>89</v>
      </c>
      <c r="I54" s="103" t="s">
        <v>849</v>
      </c>
      <c r="J54" s="95"/>
      <c r="K54" s="113"/>
      <c r="L54" s="113"/>
      <c r="M54" s="100"/>
      <c r="N54" s="101"/>
      <c r="O54" s="102"/>
      <c r="P54" s="95"/>
      <c r="Q54" s="135"/>
      <c r="R54" s="139"/>
      <c r="S54" s="103"/>
      <c r="T54" s="103"/>
      <c r="V54" s="107"/>
    </row>
    <row r="55" ht="15.75" customHeight="1">
      <c r="A55" s="89"/>
      <c r="B55" s="96" t="s">
        <v>728</v>
      </c>
      <c r="C55" s="96" t="s">
        <v>861</v>
      </c>
      <c r="D55" s="95"/>
      <c r="E55" s="213" t="s">
        <v>863</v>
      </c>
      <c r="F55" s="215" t="s">
        <v>864</v>
      </c>
      <c r="G55" s="95"/>
      <c r="H55" s="96" t="s">
        <v>89</v>
      </c>
      <c r="I55" s="103" t="s">
        <v>849</v>
      </c>
      <c r="J55" s="95"/>
      <c r="K55" s="99"/>
      <c r="L55" s="99"/>
      <c r="M55" s="100"/>
      <c r="N55" s="101"/>
      <c r="O55" s="102"/>
      <c r="P55" s="95"/>
      <c r="Q55" s="135"/>
      <c r="R55" s="106"/>
      <c r="S55" s="103"/>
      <c r="T55" s="103"/>
      <c r="V55" s="107"/>
    </row>
    <row r="56" ht="15.75" customHeight="1">
      <c r="A56" s="89"/>
      <c r="B56" s="96" t="s">
        <v>745</v>
      </c>
      <c r="C56" s="96" t="s">
        <v>865</v>
      </c>
      <c r="D56" s="95"/>
      <c r="E56" s="213" t="s">
        <v>866</v>
      </c>
      <c r="F56" s="216" t="s">
        <v>867</v>
      </c>
      <c r="G56" s="95"/>
      <c r="H56" s="96" t="s">
        <v>89</v>
      </c>
      <c r="I56" s="103" t="s">
        <v>849</v>
      </c>
      <c r="J56" s="95"/>
      <c r="K56" s="113"/>
      <c r="L56" s="113"/>
      <c r="M56" s="100"/>
      <c r="N56" s="127"/>
      <c r="O56" s="128"/>
      <c r="P56" s="95"/>
      <c r="Q56" s="114"/>
      <c r="R56" s="106"/>
      <c r="S56" s="95"/>
      <c r="T56" s="103"/>
      <c r="V56" s="107"/>
    </row>
    <row r="57" ht="15.75" customHeight="1">
      <c r="A57" s="89"/>
      <c r="B57" s="96" t="s">
        <v>745</v>
      </c>
      <c r="C57" s="96" t="s">
        <v>868</v>
      </c>
      <c r="D57" s="95"/>
      <c r="E57" s="213" t="s">
        <v>869</v>
      </c>
      <c r="F57" s="216" t="s">
        <v>870</v>
      </c>
      <c r="G57" s="95"/>
      <c r="H57" s="96" t="s">
        <v>89</v>
      </c>
      <c r="I57" s="103" t="s">
        <v>849</v>
      </c>
      <c r="J57" s="95"/>
      <c r="K57" s="99"/>
      <c r="L57" s="99"/>
      <c r="M57" s="100"/>
      <c r="N57" s="127"/>
      <c r="O57" s="128"/>
      <c r="P57" s="95"/>
      <c r="Q57" s="137"/>
      <c r="R57" s="129"/>
      <c r="S57" s="95"/>
      <c r="T57" s="103"/>
      <c r="V57" s="107"/>
    </row>
    <row r="58" ht="15.75" customHeight="1">
      <c r="A58" s="89"/>
      <c r="B58" s="96" t="s">
        <v>745</v>
      </c>
      <c r="C58" s="106" t="s">
        <v>871</v>
      </c>
      <c r="D58" s="95"/>
      <c r="E58" s="213" t="s">
        <v>872</v>
      </c>
      <c r="F58" s="216" t="s">
        <v>873</v>
      </c>
      <c r="G58" s="95"/>
      <c r="H58" s="96" t="s">
        <v>89</v>
      </c>
      <c r="I58" s="103" t="s">
        <v>849</v>
      </c>
      <c r="J58" s="95"/>
      <c r="K58" s="113"/>
      <c r="L58" s="113"/>
      <c r="M58" s="100"/>
      <c r="N58" s="101"/>
      <c r="O58" s="102"/>
      <c r="P58" s="95"/>
      <c r="Q58" s="114"/>
      <c r="R58" s="106"/>
      <c r="S58" s="103"/>
      <c r="T58" s="103"/>
      <c r="V58" s="107"/>
    </row>
    <row r="59" ht="15.75" customHeight="1">
      <c r="A59" s="89"/>
      <c r="B59" s="96" t="s">
        <v>874</v>
      </c>
      <c r="C59" s="106" t="s">
        <v>875</v>
      </c>
      <c r="D59" s="95"/>
      <c r="E59" s="213" t="s">
        <v>876</v>
      </c>
      <c r="F59" s="216" t="s">
        <v>877</v>
      </c>
      <c r="G59" s="95"/>
      <c r="H59" s="96" t="s">
        <v>89</v>
      </c>
      <c r="I59" s="103" t="s">
        <v>849</v>
      </c>
      <c r="J59" s="95"/>
      <c r="K59" s="99"/>
      <c r="L59" s="99"/>
      <c r="M59" s="100"/>
      <c r="N59" s="127"/>
      <c r="O59" s="128"/>
      <c r="P59" s="95"/>
      <c r="Q59" s="95"/>
      <c r="R59" s="129"/>
      <c r="S59" s="95"/>
      <c r="T59" s="95"/>
      <c r="V59" s="107"/>
    </row>
    <row r="60" ht="15.75" customHeight="1">
      <c r="A60" s="89"/>
      <c r="B60" s="96" t="s">
        <v>874</v>
      </c>
      <c r="C60" s="217" t="s">
        <v>878</v>
      </c>
      <c r="D60" s="95"/>
      <c r="E60" s="213" t="s">
        <v>764</v>
      </c>
      <c r="F60" s="144"/>
      <c r="G60" s="95"/>
      <c r="H60" s="96" t="s">
        <v>89</v>
      </c>
      <c r="I60" s="103" t="s">
        <v>849</v>
      </c>
      <c r="J60" s="95"/>
      <c r="K60" s="113"/>
      <c r="L60" s="113"/>
      <c r="M60" s="100"/>
      <c r="N60" s="127"/>
      <c r="O60" s="128"/>
      <c r="P60" s="95"/>
      <c r="Q60" s="114"/>
      <c r="R60" s="106"/>
      <c r="S60" s="95"/>
      <c r="T60" s="103"/>
      <c r="V60" s="107"/>
    </row>
    <row r="61" ht="15.75" customHeight="1">
      <c r="A61" s="89"/>
      <c r="B61" s="96" t="s">
        <v>756</v>
      </c>
      <c r="C61" s="96" t="s">
        <v>879</v>
      </c>
      <c r="D61" s="95"/>
      <c r="E61" s="213" t="s">
        <v>880</v>
      </c>
      <c r="F61" s="216" t="s">
        <v>881</v>
      </c>
      <c r="G61" s="95"/>
      <c r="H61" s="96" t="s">
        <v>89</v>
      </c>
      <c r="I61" s="103" t="s">
        <v>849</v>
      </c>
      <c r="J61" s="95"/>
      <c r="K61" s="99"/>
      <c r="L61" s="99"/>
      <c r="M61" s="100"/>
      <c r="N61" s="127"/>
      <c r="O61" s="128"/>
      <c r="P61" s="95"/>
      <c r="Q61" s="95"/>
      <c r="R61" s="129"/>
      <c r="S61" s="95"/>
      <c r="T61" s="95"/>
      <c r="V61" s="107"/>
    </row>
    <row r="62" ht="15.75" customHeight="1">
      <c r="A62" s="89"/>
      <c r="B62" s="96" t="s">
        <v>756</v>
      </c>
      <c r="C62" s="96" t="s">
        <v>882</v>
      </c>
      <c r="D62" s="95"/>
      <c r="E62" s="213" t="s">
        <v>775</v>
      </c>
      <c r="F62" s="216" t="s">
        <v>776</v>
      </c>
      <c r="G62" s="95"/>
      <c r="H62" s="96" t="s">
        <v>89</v>
      </c>
      <c r="I62" s="103" t="s">
        <v>849</v>
      </c>
      <c r="J62" s="95"/>
      <c r="K62" s="113"/>
      <c r="L62" s="113"/>
      <c r="M62" s="100"/>
      <c r="N62" s="127"/>
      <c r="O62" s="128"/>
      <c r="P62" s="95"/>
      <c r="Q62" s="95"/>
      <c r="R62" s="129"/>
      <c r="S62" s="95"/>
      <c r="T62" s="95"/>
      <c r="V62" s="107"/>
    </row>
    <row r="63" ht="15.75" customHeight="1">
      <c r="A63" s="89"/>
      <c r="B63" s="96" t="s">
        <v>768</v>
      </c>
      <c r="C63" s="216" t="s">
        <v>878</v>
      </c>
      <c r="D63" s="95"/>
      <c r="E63" s="176"/>
      <c r="F63" s="146"/>
      <c r="G63" s="95"/>
      <c r="H63" s="96" t="s">
        <v>89</v>
      </c>
      <c r="I63" s="103" t="s">
        <v>849</v>
      </c>
      <c r="J63" s="95"/>
      <c r="K63" s="99"/>
      <c r="L63" s="99"/>
      <c r="M63" s="100"/>
      <c r="N63" s="127"/>
      <c r="O63" s="128"/>
      <c r="P63" s="95"/>
      <c r="Q63" s="95"/>
      <c r="R63" s="129"/>
      <c r="S63" s="95"/>
      <c r="T63" s="95"/>
      <c r="V63" s="107"/>
    </row>
    <row r="64" ht="15.75" customHeight="1">
      <c r="A64" s="89"/>
      <c r="B64" s="96" t="s">
        <v>780</v>
      </c>
      <c r="C64" s="141" t="s">
        <v>883</v>
      </c>
      <c r="D64" s="95"/>
      <c r="E64" s="213" t="s">
        <v>884</v>
      </c>
      <c r="F64" s="144"/>
      <c r="G64" s="95"/>
      <c r="H64" s="96" t="s">
        <v>89</v>
      </c>
      <c r="I64" s="103" t="s">
        <v>849</v>
      </c>
      <c r="J64" s="95"/>
      <c r="K64" s="113"/>
      <c r="L64" s="113"/>
      <c r="M64" s="100"/>
      <c r="N64" s="101"/>
      <c r="O64" s="102"/>
      <c r="P64" s="95"/>
      <c r="Q64" s="114"/>
      <c r="R64" s="115"/>
      <c r="S64" s="103"/>
      <c r="T64" s="103"/>
      <c r="V64" s="107"/>
    </row>
    <row r="65" ht="15.75" customHeight="1">
      <c r="A65" s="89"/>
      <c r="B65" s="96" t="s">
        <v>780</v>
      </c>
      <c r="C65" s="97" t="s">
        <v>885</v>
      </c>
      <c r="D65" s="95"/>
      <c r="E65" s="213" t="s">
        <v>886</v>
      </c>
      <c r="F65" s="216" t="s">
        <v>887</v>
      </c>
      <c r="G65" s="95"/>
      <c r="H65" s="96" t="s">
        <v>89</v>
      </c>
      <c r="I65" s="103" t="s">
        <v>849</v>
      </c>
      <c r="J65" s="95"/>
      <c r="K65" s="99"/>
      <c r="L65" s="99"/>
      <c r="M65" s="100"/>
      <c r="N65" s="101"/>
      <c r="O65" s="102"/>
      <c r="P65" s="95"/>
      <c r="Q65" s="135"/>
      <c r="R65" s="115"/>
      <c r="S65" s="103"/>
      <c r="T65" s="103"/>
      <c r="V65" s="107"/>
    </row>
    <row r="66" ht="15.75" customHeight="1">
      <c r="A66" s="89"/>
      <c r="B66" s="96" t="s">
        <v>888</v>
      </c>
      <c r="C66" s="106" t="s">
        <v>847</v>
      </c>
      <c r="D66" s="95"/>
      <c r="E66" s="213" t="s">
        <v>889</v>
      </c>
      <c r="F66" s="124" t="s">
        <v>890</v>
      </c>
      <c r="G66" s="95"/>
      <c r="H66" s="96" t="s">
        <v>89</v>
      </c>
      <c r="I66" s="103" t="s">
        <v>849</v>
      </c>
      <c r="J66" s="95"/>
      <c r="K66" s="113"/>
      <c r="L66" s="113"/>
      <c r="M66" s="100"/>
      <c r="N66" s="127"/>
      <c r="O66" s="128"/>
      <c r="P66" s="95"/>
      <c r="Q66" s="95"/>
      <c r="R66" s="129"/>
      <c r="S66" s="95"/>
      <c r="T66" s="95"/>
      <c r="V66" s="107"/>
    </row>
    <row r="67" ht="15.75" customHeight="1">
      <c r="A67" s="89"/>
      <c r="B67" s="96" t="s">
        <v>888</v>
      </c>
      <c r="C67" s="106" t="s">
        <v>836</v>
      </c>
      <c r="D67" s="95"/>
      <c r="E67" s="213" t="s">
        <v>837</v>
      </c>
      <c r="F67" s="216" t="s">
        <v>838</v>
      </c>
      <c r="G67" s="95"/>
      <c r="H67" s="96" t="s">
        <v>89</v>
      </c>
      <c r="I67" s="103" t="s">
        <v>849</v>
      </c>
      <c r="J67" s="95"/>
      <c r="K67" s="99"/>
      <c r="L67" s="99"/>
      <c r="M67" s="100"/>
      <c r="N67" s="127"/>
      <c r="O67" s="128"/>
      <c r="P67" s="95"/>
      <c r="Q67" s="135"/>
      <c r="R67" s="106"/>
      <c r="S67" s="103"/>
      <c r="T67" s="103"/>
      <c r="V67" s="107"/>
    </row>
    <row r="68" ht="15.75" customHeight="1">
      <c r="A68" s="89"/>
      <c r="B68" s="96" t="s">
        <v>888</v>
      </c>
      <c r="C68" s="106" t="s">
        <v>891</v>
      </c>
      <c r="D68" s="95"/>
      <c r="E68" s="213" t="s">
        <v>892</v>
      </c>
      <c r="F68" s="216" t="s">
        <v>893</v>
      </c>
      <c r="G68" s="95"/>
      <c r="H68" s="96" t="s">
        <v>89</v>
      </c>
      <c r="I68" s="103" t="s">
        <v>849</v>
      </c>
      <c r="J68" s="95"/>
      <c r="K68" s="113"/>
      <c r="L68" s="113"/>
      <c r="M68" s="100"/>
      <c r="N68" s="127"/>
      <c r="O68" s="128"/>
      <c r="P68" s="95"/>
      <c r="Q68" s="135"/>
      <c r="R68" s="129"/>
      <c r="S68" s="95"/>
      <c r="T68" s="103"/>
      <c r="V68" s="107"/>
    </row>
    <row r="69" ht="15.75" customHeight="1">
      <c r="A69" s="89"/>
      <c r="B69" s="96" t="s">
        <v>894</v>
      </c>
      <c r="C69" s="96" t="s">
        <v>895</v>
      </c>
      <c r="D69" s="95"/>
      <c r="E69" s="213" t="s">
        <v>896</v>
      </c>
      <c r="F69" s="216" t="s">
        <v>897</v>
      </c>
      <c r="G69" s="95"/>
      <c r="H69" s="96" t="s">
        <v>89</v>
      </c>
      <c r="I69" s="103" t="s">
        <v>849</v>
      </c>
      <c r="J69" s="95"/>
      <c r="K69" s="99"/>
      <c r="L69" s="99"/>
      <c r="M69" s="100"/>
      <c r="N69" s="127"/>
      <c r="O69" s="128"/>
      <c r="P69" s="95"/>
      <c r="Q69" s="114"/>
      <c r="R69" s="106"/>
      <c r="S69" s="103"/>
      <c r="T69" s="103"/>
      <c r="V69" s="107"/>
    </row>
    <row r="70" ht="15.75" customHeight="1">
      <c r="A70" s="89"/>
      <c r="B70" s="96" t="s">
        <v>898</v>
      </c>
      <c r="C70" s="96" t="s">
        <v>899</v>
      </c>
      <c r="D70" s="95"/>
      <c r="E70" s="213" t="s">
        <v>900</v>
      </c>
      <c r="F70" s="216" t="s">
        <v>901</v>
      </c>
      <c r="G70" s="95"/>
      <c r="H70" s="96" t="s">
        <v>89</v>
      </c>
      <c r="I70" s="103" t="s">
        <v>849</v>
      </c>
      <c r="J70" s="95"/>
      <c r="K70" s="113"/>
      <c r="L70" s="113"/>
      <c r="M70" s="100"/>
      <c r="N70" s="127"/>
      <c r="O70" s="128"/>
      <c r="P70" s="95"/>
      <c r="Q70" s="137"/>
      <c r="R70" s="129"/>
      <c r="S70" s="95"/>
      <c r="T70" s="95"/>
      <c r="V70" s="107"/>
    </row>
    <row r="71" ht="15.75" customHeight="1">
      <c r="A71" s="89"/>
      <c r="B71" s="96" t="s">
        <v>898</v>
      </c>
      <c r="C71" s="96" t="s">
        <v>902</v>
      </c>
      <c r="D71" s="95"/>
      <c r="E71" s="213" t="s">
        <v>903</v>
      </c>
      <c r="F71" s="216" t="s">
        <v>904</v>
      </c>
      <c r="G71" s="95"/>
      <c r="H71" s="96" t="s">
        <v>89</v>
      </c>
      <c r="I71" s="103" t="s">
        <v>849</v>
      </c>
      <c r="J71" s="95"/>
      <c r="K71" s="99"/>
      <c r="L71" s="99"/>
      <c r="M71" s="100"/>
      <c r="N71" s="127"/>
      <c r="O71" s="128"/>
      <c r="P71" s="95"/>
      <c r="Q71" s="135"/>
      <c r="R71" s="106"/>
      <c r="S71" s="103"/>
      <c r="T71" s="103"/>
      <c r="V71" s="107"/>
    </row>
    <row r="72" ht="15.75" customHeight="1">
      <c r="A72" s="89"/>
      <c r="B72" s="96" t="s">
        <v>835</v>
      </c>
      <c r="C72" s="96" t="s">
        <v>905</v>
      </c>
      <c r="D72" s="95"/>
      <c r="E72" s="213" t="s">
        <v>906</v>
      </c>
      <c r="F72" s="216" t="s">
        <v>907</v>
      </c>
      <c r="G72" s="95"/>
      <c r="H72" s="96" t="s">
        <v>89</v>
      </c>
      <c r="I72" s="103" t="s">
        <v>849</v>
      </c>
      <c r="J72" s="95"/>
      <c r="K72" s="113"/>
      <c r="L72" s="113"/>
      <c r="M72" s="100"/>
      <c r="N72" s="101"/>
      <c r="O72" s="128"/>
      <c r="P72" s="95"/>
      <c r="Q72" s="135"/>
      <c r="R72" s="106"/>
      <c r="S72" s="103"/>
      <c r="T72" s="103"/>
      <c r="V72" s="107"/>
    </row>
    <row r="73" ht="15.75" customHeight="1">
      <c r="A73" s="89"/>
      <c r="B73" s="96" t="s">
        <v>908</v>
      </c>
      <c r="C73" s="96" t="s">
        <v>909</v>
      </c>
      <c r="D73" s="95"/>
      <c r="E73" s="176"/>
      <c r="F73" s="216" t="s">
        <v>910</v>
      </c>
      <c r="G73" s="95"/>
      <c r="H73" s="96" t="s">
        <v>89</v>
      </c>
      <c r="I73" s="103" t="s">
        <v>849</v>
      </c>
      <c r="J73" s="95"/>
      <c r="K73" s="99"/>
      <c r="L73" s="99"/>
      <c r="M73" s="100"/>
      <c r="N73" s="101"/>
      <c r="O73" s="128"/>
      <c r="P73" s="95"/>
      <c r="Q73" s="114"/>
      <c r="R73" s="106"/>
      <c r="S73" s="103"/>
      <c r="T73" s="103"/>
      <c r="V73" s="107"/>
    </row>
    <row r="74" ht="15.75" customHeight="1">
      <c r="A74" s="89"/>
      <c r="B74" s="96" t="s">
        <v>911</v>
      </c>
      <c r="C74" s="106" t="s">
        <v>912</v>
      </c>
      <c r="D74" s="95"/>
      <c r="E74" s="213" t="s">
        <v>913</v>
      </c>
      <c r="F74" s="216" t="s">
        <v>914</v>
      </c>
      <c r="G74" s="95"/>
      <c r="H74" s="96" t="s">
        <v>89</v>
      </c>
      <c r="I74" s="103" t="s">
        <v>849</v>
      </c>
      <c r="J74" s="95"/>
      <c r="K74" s="113"/>
      <c r="L74" s="113"/>
      <c r="M74" s="100"/>
      <c r="N74" s="101"/>
      <c r="O74" s="128"/>
      <c r="P74" s="95"/>
      <c r="Q74" s="114"/>
      <c r="R74" s="106"/>
      <c r="S74" s="103"/>
      <c r="T74" s="103"/>
      <c r="V74" s="107"/>
    </row>
    <row r="75" ht="15.75" customHeight="1">
      <c r="A75" s="89"/>
      <c r="B75" s="177"/>
      <c r="C75" s="106"/>
      <c r="D75" s="95"/>
      <c r="E75" s="176"/>
      <c r="F75" s="144"/>
      <c r="G75" s="95"/>
      <c r="H75" s="96"/>
      <c r="I75" s="103"/>
      <c r="J75" s="95"/>
      <c r="K75" s="99"/>
      <c r="L75" s="99"/>
      <c r="M75" s="100"/>
      <c r="N75" s="127"/>
      <c r="O75" s="128"/>
      <c r="P75" s="95"/>
      <c r="Q75" s="137"/>
      <c r="R75" s="129"/>
      <c r="S75" s="95"/>
      <c r="T75" s="95"/>
      <c r="V75" s="107"/>
    </row>
    <row r="76" ht="15.75" customHeight="1">
      <c r="A76" s="89"/>
      <c r="B76" s="96" t="s">
        <v>911</v>
      </c>
      <c r="C76" s="96" t="s">
        <v>915</v>
      </c>
      <c r="D76" s="95"/>
      <c r="E76" s="130" t="s">
        <v>916</v>
      </c>
      <c r="F76" s="194" t="s">
        <v>917</v>
      </c>
      <c r="G76" s="95"/>
      <c r="H76" s="96" t="s">
        <v>89</v>
      </c>
      <c r="I76" s="103" t="s">
        <v>90</v>
      </c>
      <c r="J76" s="95"/>
      <c r="K76" s="113"/>
      <c r="L76" s="113"/>
      <c r="M76" s="100"/>
      <c r="N76" s="101" t="s">
        <v>45</v>
      </c>
      <c r="O76" s="102" t="s">
        <v>918</v>
      </c>
      <c r="P76" s="95"/>
      <c r="Q76" s="103">
        <v>5.0</v>
      </c>
      <c r="R76" s="171" t="s">
        <v>919</v>
      </c>
      <c r="S76" s="103" t="s">
        <v>94</v>
      </c>
      <c r="T76" s="103" t="s">
        <v>920</v>
      </c>
      <c r="V76" s="107"/>
    </row>
    <row r="77" ht="15.75" customHeight="1">
      <c r="A77" s="89"/>
      <c r="B77" s="96" t="s">
        <v>921</v>
      </c>
      <c r="C77" s="96" t="s">
        <v>922</v>
      </c>
      <c r="D77" s="95"/>
      <c r="E77" s="130" t="s">
        <v>923</v>
      </c>
      <c r="F77" s="194" t="s">
        <v>924</v>
      </c>
      <c r="G77" s="95"/>
      <c r="H77" s="96" t="s">
        <v>89</v>
      </c>
      <c r="I77" s="103" t="s">
        <v>276</v>
      </c>
      <c r="J77" s="95"/>
      <c r="K77" s="99">
        <v>9000.0</v>
      </c>
      <c r="L77" s="99">
        <v>3000.0</v>
      </c>
      <c r="M77" s="100"/>
      <c r="N77" s="127"/>
      <c r="O77" s="102" t="s">
        <v>925</v>
      </c>
      <c r="P77" s="95"/>
      <c r="Q77" s="103">
        <v>5.0</v>
      </c>
      <c r="R77" s="171" t="s">
        <v>926</v>
      </c>
      <c r="S77" s="103" t="s">
        <v>113</v>
      </c>
      <c r="T77" s="103" t="s">
        <v>927</v>
      </c>
      <c r="V77" s="107"/>
    </row>
    <row r="78" ht="15.75" customHeight="1">
      <c r="A78" s="89"/>
      <c r="B78" s="96" t="s">
        <v>921</v>
      </c>
      <c r="C78" s="96" t="s">
        <v>928</v>
      </c>
      <c r="D78" s="95"/>
      <c r="E78" s="213" t="s">
        <v>929</v>
      </c>
      <c r="F78" s="216" t="s">
        <v>930</v>
      </c>
      <c r="G78" s="95"/>
      <c r="H78" s="96" t="s">
        <v>89</v>
      </c>
      <c r="I78" s="103" t="s">
        <v>545</v>
      </c>
      <c r="J78" s="95"/>
      <c r="K78" s="99"/>
      <c r="L78" s="99"/>
      <c r="M78" s="100"/>
      <c r="N78" s="101"/>
      <c r="O78" s="128"/>
      <c r="P78" s="95"/>
      <c r="Q78" s="103">
        <v>5.0</v>
      </c>
      <c r="R78" s="106"/>
      <c r="S78" s="103"/>
      <c r="T78" s="103"/>
      <c r="V78" s="107"/>
    </row>
    <row r="79" ht="15.75" customHeight="1">
      <c r="A79" s="89"/>
      <c r="B79" s="96" t="s">
        <v>931</v>
      </c>
      <c r="C79" s="96" t="s">
        <v>932</v>
      </c>
      <c r="D79" s="95"/>
      <c r="E79" s="218"/>
      <c r="F79" s="194" t="s">
        <v>933</v>
      </c>
      <c r="G79" s="95"/>
      <c r="H79" s="96" t="s">
        <v>89</v>
      </c>
      <c r="I79" s="103" t="s">
        <v>276</v>
      </c>
      <c r="J79" s="95"/>
      <c r="K79" s="99">
        <v>9000.0</v>
      </c>
      <c r="L79" s="99">
        <v>3000.0</v>
      </c>
      <c r="M79" s="100"/>
      <c r="N79" s="127"/>
      <c r="O79" s="128"/>
      <c r="P79" s="95"/>
      <c r="Q79" s="103">
        <v>5.0</v>
      </c>
      <c r="R79" s="171" t="s">
        <v>934</v>
      </c>
      <c r="S79" s="103" t="s">
        <v>113</v>
      </c>
      <c r="T79" s="103" t="s">
        <v>935</v>
      </c>
      <c r="V79" s="107"/>
    </row>
    <row r="80" ht="15.75" customHeight="1">
      <c r="A80" s="89"/>
      <c r="B80" s="96" t="s">
        <v>936</v>
      </c>
      <c r="C80" s="96" t="s">
        <v>937</v>
      </c>
      <c r="D80" s="95"/>
      <c r="E80" s="130" t="s">
        <v>938</v>
      </c>
      <c r="F80" s="194" t="s">
        <v>939</v>
      </c>
      <c r="G80" s="95"/>
      <c r="H80" s="96" t="s">
        <v>89</v>
      </c>
      <c r="I80" s="103" t="s">
        <v>90</v>
      </c>
      <c r="J80" s="95"/>
      <c r="K80" s="113"/>
      <c r="L80" s="113"/>
      <c r="M80" s="100"/>
      <c r="N80" s="101" t="s">
        <v>45</v>
      </c>
      <c r="O80" s="102" t="s">
        <v>940</v>
      </c>
      <c r="P80" s="95"/>
      <c r="Q80" s="103">
        <v>5.0</v>
      </c>
      <c r="R80" s="171" t="s">
        <v>941</v>
      </c>
      <c r="S80" s="103" t="s">
        <v>94</v>
      </c>
      <c r="T80" s="103" t="s">
        <v>942</v>
      </c>
      <c r="V80" s="107"/>
    </row>
    <row r="81" ht="15.75" customHeight="1">
      <c r="A81" s="89"/>
      <c r="B81" s="96" t="s">
        <v>936</v>
      </c>
      <c r="C81" s="106" t="s">
        <v>943</v>
      </c>
      <c r="D81" s="95"/>
      <c r="E81" s="130" t="s">
        <v>863</v>
      </c>
      <c r="F81" s="194" t="s">
        <v>864</v>
      </c>
      <c r="G81" s="95"/>
      <c r="H81" s="96" t="s">
        <v>89</v>
      </c>
      <c r="I81" s="103" t="s">
        <v>944</v>
      </c>
      <c r="J81" s="95"/>
      <c r="K81" s="99"/>
      <c r="L81" s="99"/>
      <c r="M81" s="100"/>
      <c r="N81" s="101" t="s">
        <v>45</v>
      </c>
      <c r="O81" s="102" t="s">
        <v>945</v>
      </c>
      <c r="P81" s="95"/>
      <c r="Q81" s="103">
        <v>5.0</v>
      </c>
      <c r="R81" s="219" t="s">
        <v>946</v>
      </c>
      <c r="S81" s="103" t="s">
        <v>113</v>
      </c>
      <c r="T81" s="103" t="s">
        <v>947</v>
      </c>
      <c r="V81" s="107"/>
    </row>
    <row r="82" ht="15.75" customHeight="1">
      <c r="A82" s="89"/>
      <c r="B82" s="96" t="s">
        <v>936</v>
      </c>
      <c r="C82" s="106" t="s">
        <v>948</v>
      </c>
      <c r="D82" s="95"/>
      <c r="E82" s="130" t="s">
        <v>949</v>
      </c>
      <c r="F82" s="194" t="s">
        <v>950</v>
      </c>
      <c r="G82" s="95"/>
      <c r="H82" s="96" t="s">
        <v>89</v>
      </c>
      <c r="I82" s="103" t="s">
        <v>951</v>
      </c>
      <c r="J82" s="95"/>
      <c r="K82" s="113"/>
      <c r="L82" s="113"/>
      <c r="M82" s="100"/>
      <c r="N82" s="101"/>
      <c r="O82" s="102"/>
      <c r="P82" s="95"/>
      <c r="Q82" s="114"/>
      <c r="R82" s="106"/>
      <c r="S82" s="103"/>
      <c r="T82" s="103"/>
      <c r="V82" s="107"/>
    </row>
    <row r="83" ht="15.75" customHeight="1">
      <c r="A83" s="89"/>
      <c r="B83" s="96" t="s">
        <v>936</v>
      </c>
      <c r="C83" s="96" t="s">
        <v>928</v>
      </c>
      <c r="D83" s="95"/>
      <c r="E83" s="176" t="s">
        <v>929</v>
      </c>
      <c r="F83" s="144" t="s">
        <v>930</v>
      </c>
      <c r="G83" s="95"/>
      <c r="H83" s="96" t="s">
        <v>89</v>
      </c>
      <c r="I83" s="103" t="s">
        <v>944</v>
      </c>
      <c r="J83" s="95"/>
      <c r="K83" s="99"/>
      <c r="L83" s="99"/>
      <c r="M83" s="100"/>
      <c r="N83" s="127"/>
      <c r="O83" s="102" t="s">
        <v>952</v>
      </c>
      <c r="P83" s="95"/>
      <c r="Q83" s="103">
        <v>5.0</v>
      </c>
      <c r="R83" s="171" t="s">
        <v>953</v>
      </c>
      <c r="S83" s="103" t="s">
        <v>113</v>
      </c>
      <c r="T83" s="103" t="s">
        <v>954</v>
      </c>
      <c r="V83" s="107"/>
    </row>
    <row r="84" ht="15.75" customHeight="1">
      <c r="A84" s="89"/>
      <c r="B84" s="96" t="s">
        <v>955</v>
      </c>
      <c r="C84" s="96" t="s">
        <v>956</v>
      </c>
      <c r="D84" s="95"/>
      <c r="E84" s="130" t="s">
        <v>957</v>
      </c>
      <c r="F84" s="194" t="s">
        <v>958</v>
      </c>
      <c r="G84" s="95"/>
      <c r="H84" s="96" t="s">
        <v>89</v>
      </c>
      <c r="I84" s="103" t="s">
        <v>276</v>
      </c>
      <c r="J84" s="95"/>
      <c r="K84" s="99">
        <v>9000.0</v>
      </c>
      <c r="L84" s="99">
        <v>1500.0</v>
      </c>
      <c r="M84" s="100"/>
      <c r="N84" s="127"/>
      <c r="O84" s="128"/>
      <c r="P84" s="95"/>
      <c r="Q84" s="95"/>
      <c r="R84" s="171" t="s">
        <v>959</v>
      </c>
      <c r="S84" s="103" t="s">
        <v>113</v>
      </c>
      <c r="T84" s="103" t="s">
        <v>960</v>
      </c>
      <c r="V84" s="107"/>
    </row>
    <row r="85" ht="15.75" customHeight="1">
      <c r="A85" s="89"/>
      <c r="B85" s="96" t="s">
        <v>955</v>
      </c>
      <c r="C85" s="143" t="s">
        <v>961</v>
      </c>
      <c r="D85" s="95"/>
      <c r="E85" s="130" t="s">
        <v>962</v>
      </c>
      <c r="F85" s="194" t="s">
        <v>963</v>
      </c>
      <c r="G85" s="95"/>
      <c r="H85" s="96" t="s">
        <v>89</v>
      </c>
      <c r="I85" s="103" t="s">
        <v>90</v>
      </c>
      <c r="J85" s="95"/>
      <c r="K85" s="113"/>
      <c r="L85" s="99"/>
      <c r="M85" s="100"/>
      <c r="N85" s="101" t="s">
        <v>45</v>
      </c>
      <c r="O85" s="128"/>
      <c r="P85" s="95"/>
      <c r="Q85" s="103">
        <v>5.0</v>
      </c>
      <c r="R85" s="171" t="s">
        <v>964</v>
      </c>
      <c r="S85" s="103" t="s">
        <v>94</v>
      </c>
      <c r="T85" s="103" t="s">
        <v>965</v>
      </c>
      <c r="V85" s="107"/>
    </row>
    <row r="86" ht="15.75" customHeight="1">
      <c r="A86" s="89"/>
      <c r="B86" s="96">
        <v>2709.25</v>
      </c>
      <c r="C86" s="122" t="s">
        <v>966</v>
      </c>
      <c r="D86" s="95"/>
      <c r="E86" s="130" t="s">
        <v>967</v>
      </c>
      <c r="F86" s="194" t="s">
        <v>968</v>
      </c>
      <c r="G86" s="95"/>
      <c r="H86" s="96" t="s">
        <v>89</v>
      </c>
      <c r="I86" s="103" t="s">
        <v>90</v>
      </c>
      <c r="J86" s="95"/>
      <c r="K86" s="113"/>
      <c r="L86" s="99"/>
      <c r="M86" s="100"/>
      <c r="N86" s="101" t="s">
        <v>45</v>
      </c>
      <c r="O86" s="102" t="s">
        <v>969</v>
      </c>
      <c r="P86" s="95"/>
      <c r="Q86" s="103">
        <v>5.0</v>
      </c>
      <c r="R86" s="170" t="s">
        <v>970</v>
      </c>
      <c r="S86" s="103" t="s">
        <v>157</v>
      </c>
      <c r="T86" s="103" t="s">
        <v>971</v>
      </c>
      <c r="V86" s="107"/>
    </row>
    <row r="87" ht="15.75" customHeight="1">
      <c r="A87" s="89"/>
      <c r="B87" s="96" t="s">
        <v>955</v>
      </c>
      <c r="C87" s="96" t="s">
        <v>972</v>
      </c>
      <c r="D87" s="95"/>
      <c r="E87" s="130" t="s">
        <v>973</v>
      </c>
      <c r="F87" s="194" t="s">
        <v>974</v>
      </c>
      <c r="G87" s="95"/>
      <c r="H87" s="96" t="s">
        <v>89</v>
      </c>
      <c r="I87" s="103" t="s">
        <v>944</v>
      </c>
      <c r="J87" s="95"/>
      <c r="M87" s="99"/>
      <c r="N87" s="101" t="s">
        <v>45</v>
      </c>
      <c r="O87" s="102" t="s">
        <v>975</v>
      </c>
      <c r="P87" s="95"/>
      <c r="Q87" s="103">
        <v>5.0</v>
      </c>
      <c r="R87" s="171" t="s">
        <v>976</v>
      </c>
      <c r="S87" s="103" t="s">
        <v>113</v>
      </c>
      <c r="T87" s="103" t="s">
        <v>977</v>
      </c>
      <c r="V87" s="107"/>
    </row>
    <row r="88" ht="15.75" customHeight="1">
      <c r="A88" s="89"/>
      <c r="B88" s="96" t="s">
        <v>955</v>
      </c>
      <c r="C88" s="130" t="s">
        <v>978</v>
      </c>
      <c r="D88" s="95"/>
      <c r="E88" s="130" t="s">
        <v>979</v>
      </c>
      <c r="F88" s="194" t="s">
        <v>980</v>
      </c>
      <c r="G88" s="95"/>
      <c r="H88" s="96" t="s">
        <v>89</v>
      </c>
      <c r="I88" s="103" t="s">
        <v>944</v>
      </c>
      <c r="J88" s="95"/>
      <c r="M88" s="99"/>
      <c r="N88" s="101" t="s">
        <v>45</v>
      </c>
      <c r="O88" s="102" t="s">
        <v>975</v>
      </c>
      <c r="P88" s="95"/>
      <c r="Q88" s="103">
        <v>5.0</v>
      </c>
      <c r="R88" s="171" t="s">
        <v>981</v>
      </c>
      <c r="S88" s="103" t="s">
        <v>113</v>
      </c>
      <c r="T88" s="103" t="s">
        <v>982</v>
      </c>
      <c r="V88" s="107"/>
    </row>
    <row r="89" ht="15.75" customHeight="1">
      <c r="A89" s="89"/>
      <c r="B89" s="96" t="s">
        <v>983</v>
      </c>
      <c r="C89" s="96" t="s">
        <v>984</v>
      </c>
      <c r="D89" s="95"/>
      <c r="E89" s="130" t="s">
        <v>985</v>
      </c>
      <c r="F89" s="194" t="s">
        <v>986</v>
      </c>
      <c r="G89" s="95"/>
      <c r="H89" s="96" t="s">
        <v>89</v>
      </c>
      <c r="I89" s="103" t="s">
        <v>90</v>
      </c>
      <c r="J89" s="95"/>
      <c r="K89" s="99"/>
      <c r="L89" s="99"/>
      <c r="M89" s="100"/>
      <c r="N89" s="101" t="s">
        <v>45</v>
      </c>
      <c r="O89" s="102" t="s">
        <v>987</v>
      </c>
      <c r="P89" s="95"/>
      <c r="Q89" s="103" t="s">
        <v>988</v>
      </c>
      <c r="R89" s="171" t="s">
        <v>989</v>
      </c>
      <c r="S89" s="103" t="s">
        <v>94</v>
      </c>
      <c r="T89" s="103" t="s">
        <v>990</v>
      </c>
      <c r="V89" s="107"/>
    </row>
    <row r="90" ht="15.75" customHeight="1">
      <c r="A90" s="89"/>
      <c r="B90" s="96" t="s">
        <v>983</v>
      </c>
      <c r="C90" s="144" t="s">
        <v>991</v>
      </c>
      <c r="D90" s="95"/>
      <c r="E90" s="130" t="s">
        <v>992</v>
      </c>
      <c r="F90" s="194" t="s">
        <v>993</v>
      </c>
      <c r="G90" s="95"/>
      <c r="H90" s="96" t="s">
        <v>89</v>
      </c>
      <c r="I90" s="103" t="s">
        <v>90</v>
      </c>
      <c r="J90" s="95"/>
      <c r="K90" s="113"/>
      <c r="L90" s="113"/>
      <c r="M90" s="100"/>
      <c r="N90" s="101" t="s">
        <v>60</v>
      </c>
      <c r="O90" s="102" t="s">
        <v>994</v>
      </c>
      <c r="P90" s="95"/>
      <c r="Q90" s="103">
        <v>5.0</v>
      </c>
      <c r="R90" s="171" t="s">
        <v>995</v>
      </c>
      <c r="S90" s="103" t="s">
        <v>94</v>
      </c>
      <c r="T90" s="103" t="s">
        <v>996</v>
      </c>
      <c r="V90" s="107"/>
    </row>
    <row r="91" ht="15.75" customHeight="1">
      <c r="A91" s="89"/>
      <c r="B91" s="96" t="s">
        <v>983</v>
      </c>
      <c r="C91" s="146" t="s">
        <v>997</v>
      </c>
      <c r="D91" s="95"/>
      <c r="E91" s="130" t="s">
        <v>998</v>
      </c>
      <c r="F91" s="194" t="s">
        <v>999</v>
      </c>
      <c r="G91" s="95"/>
      <c r="H91" s="96" t="s">
        <v>89</v>
      </c>
      <c r="I91" s="103" t="s">
        <v>276</v>
      </c>
      <c r="J91" s="95"/>
      <c r="K91" s="99">
        <v>9000.0</v>
      </c>
      <c r="L91" s="99">
        <v>1500.0</v>
      </c>
      <c r="M91" s="100"/>
      <c r="N91" s="101" t="s">
        <v>45</v>
      </c>
      <c r="O91" s="128"/>
      <c r="P91" s="95"/>
      <c r="Q91" s="103">
        <v>5.0</v>
      </c>
      <c r="R91" s="171" t="s">
        <v>1000</v>
      </c>
      <c r="S91" s="103" t="s">
        <v>113</v>
      </c>
      <c r="T91" s="103" t="s">
        <v>1001</v>
      </c>
      <c r="V91" s="107"/>
    </row>
    <row r="92" ht="15.75" customHeight="1">
      <c r="A92" s="89"/>
      <c r="B92" s="96" t="s">
        <v>983</v>
      </c>
      <c r="C92" s="144" t="s">
        <v>1002</v>
      </c>
      <c r="D92" s="95"/>
      <c r="E92" s="130" t="s">
        <v>1003</v>
      </c>
      <c r="F92" s="194" t="s">
        <v>1004</v>
      </c>
      <c r="G92" s="95"/>
      <c r="H92" s="96" t="s">
        <v>89</v>
      </c>
      <c r="I92" s="103" t="s">
        <v>90</v>
      </c>
      <c r="J92" s="95"/>
      <c r="K92" s="113"/>
      <c r="L92" s="113"/>
      <c r="M92" s="100"/>
      <c r="N92" s="101" t="s">
        <v>45</v>
      </c>
      <c r="O92" s="102" t="s">
        <v>1005</v>
      </c>
      <c r="P92" s="95"/>
      <c r="Q92" s="103">
        <v>5.0</v>
      </c>
      <c r="R92" s="171" t="s">
        <v>1006</v>
      </c>
      <c r="S92" s="103" t="s">
        <v>94</v>
      </c>
      <c r="T92" s="103" t="s">
        <v>1007</v>
      </c>
      <c r="V92" s="107"/>
    </row>
    <row r="93" ht="15.75" customHeight="1">
      <c r="A93" s="89"/>
      <c r="B93" s="96" t="s">
        <v>983</v>
      </c>
      <c r="C93" s="146" t="s">
        <v>1008</v>
      </c>
      <c r="D93" s="95"/>
      <c r="E93" s="130" t="s">
        <v>1009</v>
      </c>
      <c r="F93" s="194" t="s">
        <v>1010</v>
      </c>
      <c r="G93" s="95"/>
      <c r="H93" s="96" t="s">
        <v>89</v>
      </c>
      <c r="I93" s="103" t="s">
        <v>951</v>
      </c>
      <c r="J93" s="95"/>
      <c r="K93" s="99"/>
      <c r="L93" s="99"/>
      <c r="M93" s="100"/>
      <c r="N93" s="127"/>
      <c r="O93" s="128"/>
      <c r="P93" s="95"/>
      <c r="Q93" s="137"/>
      <c r="R93" s="129"/>
      <c r="S93" s="95"/>
      <c r="T93" s="95"/>
      <c r="V93" s="107"/>
    </row>
    <row r="94" ht="15.75" customHeight="1">
      <c r="A94" s="89"/>
      <c r="B94" s="96" t="s">
        <v>1011</v>
      </c>
      <c r="C94" s="122" t="s">
        <v>1012</v>
      </c>
      <c r="D94" s="95"/>
      <c r="E94" s="130" t="s">
        <v>1013</v>
      </c>
      <c r="F94" s="194" t="s">
        <v>1014</v>
      </c>
      <c r="G94" s="95"/>
      <c r="H94" s="96" t="s">
        <v>89</v>
      </c>
      <c r="I94" s="103" t="s">
        <v>849</v>
      </c>
      <c r="J94" s="95"/>
      <c r="K94" s="113"/>
      <c r="L94" s="113"/>
      <c r="M94" s="100"/>
      <c r="N94" s="127"/>
      <c r="O94" s="128"/>
      <c r="P94" s="95"/>
      <c r="Q94" s="95"/>
      <c r="R94" s="129"/>
      <c r="S94" s="95"/>
      <c r="T94" s="95"/>
      <c r="V94" s="107"/>
    </row>
    <row r="95" ht="15.75" customHeight="1">
      <c r="A95" s="89"/>
      <c r="B95" s="177"/>
      <c r="C95" s="96"/>
      <c r="D95" s="95"/>
      <c r="E95" s="176"/>
      <c r="F95" s="144"/>
      <c r="G95" s="95"/>
      <c r="H95" s="96"/>
      <c r="I95" s="103"/>
      <c r="J95" s="95"/>
      <c r="K95" s="99"/>
      <c r="L95" s="99"/>
      <c r="M95" s="100"/>
      <c r="N95" s="101"/>
      <c r="O95" s="102"/>
      <c r="P95" s="95"/>
      <c r="Q95" s="114"/>
      <c r="R95" s="106"/>
      <c r="S95" s="103"/>
      <c r="T95" s="103"/>
      <c r="V95" s="107"/>
    </row>
    <row r="96" ht="15.75" customHeight="1">
      <c r="A96" s="89"/>
      <c r="B96" s="177"/>
      <c r="C96" s="96"/>
      <c r="D96" s="95"/>
      <c r="E96" s="176"/>
      <c r="F96" s="144"/>
      <c r="G96" s="95"/>
      <c r="H96" s="96"/>
      <c r="I96" s="103"/>
      <c r="J96" s="95"/>
      <c r="K96" s="113"/>
      <c r="L96" s="113"/>
      <c r="M96" s="100"/>
      <c r="N96" s="127"/>
      <c r="O96" s="128"/>
      <c r="P96" s="95"/>
      <c r="Q96" s="95"/>
      <c r="R96" s="129"/>
      <c r="S96" s="95"/>
      <c r="T96" s="95"/>
      <c r="V96" s="107"/>
    </row>
    <row r="97" ht="15.75" customHeight="1">
      <c r="A97" s="89"/>
      <c r="B97" s="177"/>
      <c r="C97" s="96"/>
      <c r="D97" s="95"/>
      <c r="E97" s="181"/>
      <c r="F97" s="144"/>
      <c r="G97" s="95"/>
      <c r="H97" s="96"/>
      <c r="I97" s="103"/>
      <c r="J97" s="95"/>
      <c r="K97" s="99"/>
      <c r="L97" s="99"/>
      <c r="M97" s="100"/>
      <c r="N97" s="127"/>
      <c r="O97" s="128"/>
      <c r="P97" s="95"/>
      <c r="Q97" s="137"/>
      <c r="R97" s="129"/>
      <c r="S97" s="95"/>
      <c r="T97" s="95"/>
      <c r="V97" s="107"/>
    </row>
    <row r="98" ht="15.75" customHeight="1">
      <c r="A98" s="89"/>
      <c r="B98" s="177"/>
      <c r="C98" s="106"/>
      <c r="D98" s="95"/>
      <c r="E98" s="176"/>
      <c r="F98" s="144"/>
      <c r="G98" s="95"/>
      <c r="H98" s="96"/>
      <c r="I98" s="103"/>
      <c r="J98" s="95"/>
      <c r="K98" s="113"/>
      <c r="L98" s="113"/>
      <c r="M98" s="100"/>
      <c r="N98" s="127"/>
      <c r="O98" s="128"/>
      <c r="P98" s="95"/>
      <c r="Q98" s="135"/>
      <c r="R98" s="106"/>
      <c r="S98" s="95"/>
      <c r="T98" s="103"/>
      <c r="V98" s="107"/>
    </row>
    <row r="99" ht="15.75" customHeight="1">
      <c r="A99" s="89"/>
      <c r="B99" s="177"/>
      <c r="C99" s="106"/>
      <c r="D99" s="95"/>
      <c r="E99" s="176"/>
      <c r="F99" s="144"/>
      <c r="G99" s="95"/>
      <c r="H99" s="96"/>
      <c r="I99" s="103"/>
      <c r="J99" s="95"/>
      <c r="K99" s="99"/>
      <c r="L99" s="99"/>
      <c r="M99" s="100"/>
      <c r="N99" s="127"/>
      <c r="O99" s="128"/>
      <c r="P99" s="95"/>
      <c r="Q99" s="135"/>
      <c r="R99" s="106"/>
      <c r="S99" s="95"/>
      <c r="T99" s="103"/>
      <c r="V99" s="107"/>
    </row>
    <row r="100" ht="15.75" customHeight="1">
      <c r="A100" s="89"/>
      <c r="B100" s="177"/>
      <c r="C100" s="96"/>
      <c r="D100" s="95"/>
      <c r="E100" s="96"/>
      <c r="F100" s="146"/>
      <c r="G100" s="95"/>
      <c r="H100" s="96"/>
      <c r="I100" s="103"/>
      <c r="J100" s="95"/>
      <c r="K100" s="113"/>
      <c r="L100" s="113"/>
      <c r="M100" s="100"/>
      <c r="N100" s="127"/>
      <c r="O100" s="128"/>
      <c r="P100" s="95"/>
      <c r="Q100" s="137"/>
      <c r="R100" s="129"/>
      <c r="S100" s="95"/>
      <c r="T100" s="95"/>
      <c r="V100" s="107"/>
    </row>
    <row r="101" ht="15.75" customHeight="1">
      <c r="A101" s="89"/>
      <c r="B101" s="177"/>
      <c r="C101" s="96"/>
      <c r="D101" s="95"/>
      <c r="E101" s="176"/>
      <c r="F101" s="144"/>
      <c r="G101" s="95"/>
      <c r="H101" s="96"/>
      <c r="I101" s="103"/>
      <c r="J101" s="95"/>
      <c r="K101" s="99"/>
      <c r="L101" s="99"/>
      <c r="M101" s="100"/>
      <c r="N101" s="127"/>
      <c r="O101" s="128"/>
      <c r="P101" s="95"/>
      <c r="Q101" s="95"/>
      <c r="R101" s="129"/>
      <c r="S101" s="95"/>
      <c r="T101" s="95"/>
      <c r="V101" s="107"/>
    </row>
    <row r="102" ht="15.75" customHeight="1">
      <c r="A102" s="89"/>
      <c r="B102" s="177"/>
      <c r="C102" s="96"/>
      <c r="D102" s="95"/>
      <c r="E102" s="176"/>
      <c r="F102" s="144"/>
      <c r="G102" s="95"/>
      <c r="H102" s="96"/>
      <c r="I102" s="103"/>
      <c r="J102" s="95"/>
      <c r="K102" s="113"/>
      <c r="L102" s="113"/>
      <c r="M102" s="100"/>
      <c r="N102" s="101"/>
      <c r="O102" s="102"/>
      <c r="P102" s="95"/>
      <c r="Q102" s="114"/>
      <c r="R102" s="115"/>
      <c r="S102" s="103"/>
      <c r="T102" s="103"/>
      <c r="V102" s="107"/>
    </row>
    <row r="103" ht="15.75" customHeight="1">
      <c r="A103" s="89"/>
      <c r="B103" s="182"/>
      <c r="C103" s="149"/>
      <c r="D103" s="95"/>
      <c r="E103" s="149"/>
      <c r="F103" s="180"/>
      <c r="G103" s="95"/>
      <c r="H103" s="96"/>
      <c r="I103" s="103"/>
      <c r="J103" s="95"/>
      <c r="K103" s="99"/>
      <c r="L103" s="99"/>
      <c r="M103" s="100"/>
      <c r="N103" s="101"/>
      <c r="O103" s="128"/>
      <c r="P103" s="95"/>
      <c r="Q103" s="137"/>
      <c r="R103" s="129"/>
      <c r="S103" s="103"/>
      <c r="T103" s="95"/>
      <c r="V103" s="107"/>
    </row>
    <row r="104" ht="15.75" customHeight="1">
      <c r="A104" s="89"/>
      <c r="B104" s="182"/>
      <c r="C104" s="149"/>
      <c r="D104" s="95"/>
      <c r="E104" s="149"/>
      <c r="F104" s="149"/>
      <c r="G104" s="95"/>
      <c r="H104" s="96"/>
      <c r="I104" s="103"/>
      <c r="J104" s="95"/>
      <c r="K104" s="113"/>
      <c r="L104" s="113"/>
      <c r="M104" s="100"/>
      <c r="N104" s="101"/>
      <c r="O104" s="128"/>
      <c r="P104" s="95"/>
      <c r="Q104" s="95"/>
      <c r="R104" s="129"/>
      <c r="S104" s="103"/>
      <c r="T104" s="95"/>
      <c r="V104" s="107"/>
    </row>
    <row r="105" ht="15.75" customHeight="1">
      <c r="A105" s="89"/>
      <c r="B105" s="182"/>
      <c r="C105" s="107"/>
      <c r="D105" s="95"/>
      <c r="E105" s="149"/>
      <c r="F105" s="149"/>
      <c r="G105" s="95"/>
      <c r="H105" s="96"/>
      <c r="I105" s="103"/>
      <c r="J105" s="95"/>
      <c r="K105" s="99"/>
      <c r="L105" s="99"/>
      <c r="M105" s="100"/>
      <c r="N105" s="101"/>
      <c r="O105" s="128"/>
      <c r="P105" s="95"/>
      <c r="Q105" s="137"/>
      <c r="R105" s="129"/>
      <c r="S105" s="103"/>
      <c r="T105" s="95"/>
      <c r="V105" s="107"/>
    </row>
    <row r="106" ht="15.75" customHeight="1">
      <c r="A106" s="89"/>
      <c r="B106" s="182"/>
      <c r="C106" s="107"/>
      <c r="D106" s="95"/>
      <c r="E106" s="149"/>
      <c r="F106" s="149"/>
      <c r="G106" s="95"/>
      <c r="H106" s="96"/>
      <c r="I106" s="103"/>
      <c r="J106" s="95"/>
      <c r="K106" s="113"/>
      <c r="L106" s="113"/>
      <c r="M106" s="100"/>
      <c r="N106" s="101"/>
      <c r="O106" s="128"/>
      <c r="P106" s="95"/>
      <c r="Q106" s="137"/>
      <c r="R106" s="129"/>
      <c r="S106" s="103"/>
      <c r="T106" s="95"/>
      <c r="V106" s="107"/>
    </row>
    <row r="107" ht="15.75" customHeight="1">
      <c r="A107" s="89"/>
      <c r="B107" s="182"/>
      <c r="C107" s="149"/>
      <c r="D107" s="95"/>
      <c r="E107" s="149"/>
      <c r="F107" s="149"/>
      <c r="G107" s="95"/>
      <c r="H107" s="96"/>
      <c r="I107" s="103"/>
      <c r="J107" s="95"/>
      <c r="K107" s="99"/>
      <c r="L107" s="99"/>
      <c r="M107" s="100"/>
      <c r="N107" s="101"/>
      <c r="O107" s="128"/>
      <c r="P107" s="95"/>
      <c r="Q107" s="137"/>
      <c r="R107" s="129"/>
      <c r="S107" s="103"/>
      <c r="T107" s="95"/>
      <c r="V107" s="107"/>
    </row>
    <row r="108" ht="15.75" customHeight="1">
      <c r="A108" s="89"/>
      <c r="B108" s="182"/>
      <c r="C108" s="149"/>
      <c r="D108" s="95"/>
      <c r="E108" s="149"/>
      <c r="F108" s="149"/>
      <c r="G108" s="95"/>
      <c r="H108" s="96"/>
      <c r="I108" s="103"/>
      <c r="J108" s="95"/>
      <c r="K108" s="113"/>
      <c r="L108" s="113"/>
      <c r="M108" s="100"/>
      <c r="N108" s="101"/>
      <c r="O108" s="128"/>
      <c r="P108" s="95"/>
      <c r="Q108" s="95"/>
      <c r="R108" s="129"/>
      <c r="S108" s="103"/>
      <c r="T108" s="95"/>
      <c r="V108" s="107"/>
    </row>
    <row r="109" ht="15.75" customHeight="1">
      <c r="A109" s="89"/>
      <c r="B109" s="182"/>
      <c r="C109" s="149"/>
      <c r="D109" s="95"/>
      <c r="E109" s="149"/>
      <c r="F109" s="149"/>
      <c r="G109" s="95"/>
      <c r="H109" s="96"/>
      <c r="I109" s="103"/>
      <c r="J109" s="95"/>
      <c r="K109" s="99"/>
      <c r="L109" s="99"/>
      <c r="M109" s="100"/>
      <c r="N109" s="101"/>
      <c r="O109" s="128"/>
      <c r="P109" s="95"/>
      <c r="Q109" s="137"/>
      <c r="R109" s="129"/>
      <c r="S109" s="103"/>
      <c r="T109" s="95"/>
      <c r="V109" s="107"/>
    </row>
    <row r="110" ht="15.75" customHeight="1">
      <c r="A110" s="89"/>
      <c r="B110" s="182"/>
      <c r="C110" s="149"/>
      <c r="D110" s="95"/>
      <c r="E110" s="149"/>
      <c r="F110" s="149"/>
      <c r="G110" s="95"/>
      <c r="H110" s="149"/>
      <c r="I110" s="151"/>
      <c r="J110" s="95"/>
      <c r="K110" s="113"/>
      <c r="L110" s="113"/>
      <c r="M110" s="100"/>
      <c r="N110" s="127"/>
      <c r="O110" s="128"/>
      <c r="P110" s="95"/>
      <c r="Q110" s="95"/>
      <c r="R110" s="129"/>
      <c r="S110" s="95"/>
      <c r="T110" s="95"/>
      <c r="V110" s="107"/>
    </row>
    <row r="111" ht="15.75" customHeight="1">
      <c r="A111" s="89"/>
      <c r="B111" s="182"/>
      <c r="C111" s="149"/>
      <c r="D111" s="95"/>
      <c r="E111" s="149"/>
      <c r="F111" s="149"/>
      <c r="G111" s="95"/>
      <c r="H111" s="149"/>
      <c r="I111" s="95"/>
      <c r="J111" s="95"/>
      <c r="K111" s="99"/>
      <c r="L111" s="99"/>
      <c r="M111" s="100"/>
      <c r="N111" s="127"/>
      <c r="O111" s="128"/>
      <c r="P111" s="95"/>
      <c r="Q111" s="137"/>
      <c r="R111" s="129"/>
      <c r="S111" s="95"/>
      <c r="T111" s="95"/>
      <c r="V111" s="107"/>
    </row>
    <row r="112" ht="15.75" customHeight="1">
      <c r="A112" s="89"/>
      <c r="B112" s="182"/>
      <c r="C112" s="107"/>
      <c r="D112" s="95"/>
      <c r="E112" s="149"/>
      <c r="F112" s="149"/>
      <c r="G112" s="95"/>
      <c r="H112" s="149"/>
      <c r="I112" s="95"/>
      <c r="J112" s="95"/>
      <c r="K112" s="113"/>
      <c r="L112" s="113"/>
      <c r="M112" s="100"/>
      <c r="N112" s="127"/>
      <c r="O112" s="128"/>
      <c r="P112" s="95"/>
      <c r="Q112" s="95"/>
      <c r="R112" s="129"/>
      <c r="S112" s="95"/>
      <c r="T112" s="95"/>
      <c r="V112" s="107"/>
    </row>
    <row r="113" ht="15.75" customHeight="1">
      <c r="A113" s="89"/>
      <c r="B113" s="182"/>
      <c r="C113" s="107"/>
      <c r="D113" s="95"/>
      <c r="E113" s="149"/>
      <c r="F113" s="149"/>
      <c r="G113" s="95"/>
      <c r="H113" s="149"/>
      <c r="I113" s="95"/>
      <c r="J113" s="95"/>
      <c r="K113" s="99"/>
      <c r="L113" s="99"/>
      <c r="M113" s="100"/>
      <c r="N113" s="127"/>
      <c r="O113" s="128"/>
      <c r="P113" s="95"/>
      <c r="Q113" s="95"/>
      <c r="R113" s="129"/>
      <c r="S113" s="95"/>
      <c r="T113" s="95"/>
      <c r="V113" s="107"/>
    </row>
    <row r="114" ht="15.75" customHeight="1">
      <c r="A114" s="89"/>
      <c r="B114" s="182"/>
      <c r="C114" s="107"/>
      <c r="D114" s="95"/>
      <c r="E114" s="149"/>
      <c r="F114" s="149"/>
      <c r="G114" s="95"/>
      <c r="H114" s="149"/>
      <c r="I114" s="95"/>
      <c r="J114" s="95"/>
      <c r="K114" s="113"/>
      <c r="L114" s="113"/>
      <c r="M114" s="100"/>
      <c r="N114" s="127"/>
      <c r="O114" s="128"/>
      <c r="P114" s="95"/>
      <c r="Q114" s="95"/>
      <c r="R114" s="129"/>
      <c r="S114" s="95"/>
      <c r="T114" s="95"/>
      <c r="V114" s="107"/>
    </row>
    <row r="115" ht="15.75" customHeight="1">
      <c r="A115" s="89"/>
      <c r="B115" s="182"/>
      <c r="C115" s="149"/>
      <c r="D115" s="95"/>
      <c r="E115" s="149"/>
      <c r="F115" s="149"/>
      <c r="G115" s="95"/>
      <c r="H115" s="149"/>
      <c r="I115" s="95"/>
      <c r="J115" s="95"/>
      <c r="K115" s="99"/>
      <c r="L115" s="99"/>
      <c r="M115" s="100"/>
      <c r="N115" s="127"/>
      <c r="O115" s="128"/>
      <c r="P115" s="95"/>
      <c r="Q115" s="95"/>
      <c r="R115" s="129"/>
      <c r="S115" s="95"/>
      <c r="T115" s="95"/>
      <c r="V115" s="107"/>
    </row>
    <row r="116" ht="15.75" customHeight="1">
      <c r="A116" s="89"/>
      <c r="B116" s="182"/>
      <c r="C116" s="149"/>
      <c r="D116" s="95"/>
      <c r="E116" s="149"/>
      <c r="F116" s="149"/>
      <c r="G116" s="95"/>
      <c r="H116" s="149"/>
      <c r="I116" s="95"/>
      <c r="J116" s="95"/>
      <c r="K116" s="113"/>
      <c r="L116" s="113"/>
      <c r="M116" s="100"/>
      <c r="N116" s="127"/>
      <c r="O116" s="128"/>
      <c r="P116" s="95"/>
      <c r="Q116" s="95"/>
      <c r="R116" s="129"/>
      <c r="S116" s="95"/>
      <c r="T116" s="95"/>
      <c r="V116" s="107"/>
    </row>
    <row r="117" ht="15.75" customHeight="1">
      <c r="A117" s="89"/>
      <c r="B117" s="182"/>
      <c r="C117" s="149"/>
      <c r="D117" s="95"/>
      <c r="E117" s="149"/>
      <c r="F117" s="149"/>
      <c r="G117" s="95"/>
      <c r="H117" s="149"/>
      <c r="I117" s="95"/>
      <c r="J117" s="95"/>
      <c r="K117" s="99"/>
      <c r="L117" s="99"/>
      <c r="M117" s="100"/>
      <c r="N117" s="127"/>
      <c r="O117" s="128"/>
      <c r="P117" s="95"/>
      <c r="Q117" s="95"/>
      <c r="R117" s="129"/>
      <c r="S117" s="95"/>
      <c r="T117" s="95"/>
      <c r="V117" s="107"/>
    </row>
    <row r="118" ht="15.75" customHeight="1">
      <c r="A118" s="89"/>
      <c r="B118" s="182"/>
      <c r="C118" s="149"/>
      <c r="D118" s="95"/>
      <c r="E118" s="149"/>
      <c r="F118" s="149"/>
      <c r="G118" s="95"/>
      <c r="H118" s="149"/>
      <c r="I118" s="95"/>
      <c r="J118" s="95"/>
      <c r="K118" s="113"/>
      <c r="L118" s="113"/>
      <c r="M118" s="100"/>
      <c r="N118" s="127"/>
      <c r="O118" s="128"/>
      <c r="P118" s="95"/>
      <c r="Q118" s="95"/>
      <c r="R118" s="129"/>
      <c r="S118" s="95"/>
      <c r="T118" s="95"/>
      <c r="V118" s="107"/>
    </row>
    <row r="119" ht="15.75" customHeight="1">
      <c r="A119" s="89"/>
      <c r="B119" s="182"/>
      <c r="C119" s="149"/>
      <c r="D119" s="95"/>
      <c r="E119" s="149"/>
      <c r="F119" s="149"/>
      <c r="G119" s="95"/>
      <c r="H119" s="149"/>
      <c r="I119" s="95"/>
      <c r="J119" s="95"/>
      <c r="K119" s="99"/>
      <c r="L119" s="99"/>
      <c r="M119" s="100"/>
      <c r="N119" s="127"/>
      <c r="O119" s="128"/>
      <c r="P119" s="95"/>
      <c r="Q119" s="137"/>
      <c r="R119" s="129"/>
      <c r="S119" s="95"/>
      <c r="T119" s="95"/>
      <c r="V119" s="107"/>
    </row>
    <row r="120" ht="15.75" customHeight="1">
      <c r="A120" s="89"/>
      <c r="B120" s="182"/>
      <c r="C120" s="107"/>
      <c r="D120" s="95"/>
      <c r="E120" s="149"/>
      <c r="F120" s="149"/>
      <c r="G120" s="95"/>
      <c r="H120" s="149"/>
      <c r="I120" s="95"/>
      <c r="J120" s="95"/>
      <c r="K120" s="113"/>
      <c r="L120" s="113"/>
      <c r="M120" s="100"/>
      <c r="N120" s="127"/>
      <c r="O120" s="128"/>
      <c r="P120" s="95"/>
      <c r="Q120" s="95"/>
      <c r="R120" s="129"/>
      <c r="S120" s="95"/>
      <c r="T120" s="95"/>
      <c r="V120" s="107"/>
    </row>
    <row r="121" ht="15.75" customHeight="1">
      <c r="A121" s="89"/>
      <c r="B121" s="182"/>
      <c r="C121" s="107"/>
      <c r="D121" s="95"/>
      <c r="E121" s="149"/>
      <c r="F121" s="149"/>
      <c r="G121" s="95"/>
      <c r="H121" s="149"/>
      <c r="I121" s="95"/>
      <c r="J121" s="95"/>
      <c r="K121" s="99"/>
      <c r="L121" s="99"/>
      <c r="M121" s="100"/>
      <c r="N121" s="127"/>
      <c r="O121" s="128"/>
      <c r="P121" s="95"/>
      <c r="Q121" s="95"/>
      <c r="R121" s="129"/>
      <c r="S121" s="95"/>
      <c r="T121" s="95"/>
      <c r="V121" s="107"/>
    </row>
    <row r="122" ht="15.75" customHeight="1">
      <c r="A122" s="89"/>
      <c r="B122" s="182"/>
      <c r="C122" s="107"/>
      <c r="D122" s="95"/>
      <c r="E122" s="149"/>
      <c r="F122" s="149"/>
      <c r="G122" s="95"/>
      <c r="H122" s="149"/>
      <c r="I122" s="95"/>
      <c r="J122" s="95"/>
      <c r="K122" s="113"/>
      <c r="L122" s="113"/>
      <c r="M122" s="100"/>
      <c r="N122" s="127"/>
      <c r="O122" s="128"/>
      <c r="P122" s="95"/>
      <c r="Q122" s="137"/>
      <c r="R122" s="129"/>
      <c r="S122" s="95"/>
      <c r="T122" s="95"/>
      <c r="V122" s="107"/>
    </row>
    <row r="123" ht="15.75" customHeight="1">
      <c r="A123" s="89"/>
      <c r="B123" s="182"/>
      <c r="C123" s="149"/>
      <c r="D123" s="95"/>
      <c r="E123" s="149"/>
      <c r="F123" s="149"/>
      <c r="G123" s="95"/>
      <c r="H123" s="149"/>
      <c r="I123" s="95"/>
      <c r="J123" s="95"/>
      <c r="K123" s="99"/>
      <c r="L123" s="99"/>
      <c r="M123" s="100"/>
      <c r="N123" s="127"/>
      <c r="O123" s="128"/>
      <c r="P123" s="95"/>
      <c r="Q123" s="137"/>
      <c r="R123" s="129"/>
      <c r="S123" s="95"/>
      <c r="T123" s="95"/>
      <c r="V123" s="107"/>
    </row>
    <row r="124" ht="15.75" customHeight="1">
      <c r="A124" s="89"/>
      <c r="B124" s="182"/>
      <c r="C124" s="149"/>
      <c r="D124" s="95"/>
      <c r="E124" s="149"/>
      <c r="F124" s="149"/>
      <c r="G124" s="95"/>
      <c r="H124" s="149"/>
      <c r="I124" s="95"/>
      <c r="J124" s="95"/>
      <c r="K124" s="113"/>
      <c r="L124" s="113"/>
      <c r="M124" s="100"/>
      <c r="N124" s="127"/>
      <c r="O124" s="128"/>
      <c r="P124" s="95"/>
      <c r="Q124" s="137"/>
      <c r="R124" s="129"/>
      <c r="S124" s="95"/>
      <c r="T124" s="95"/>
      <c r="V124" s="107"/>
    </row>
    <row r="125" ht="15.75" customHeight="1">
      <c r="A125" s="89"/>
      <c r="B125" s="182"/>
      <c r="C125" s="149"/>
      <c r="D125" s="95"/>
      <c r="E125" s="149"/>
      <c r="F125" s="149"/>
      <c r="G125" s="95"/>
      <c r="H125" s="149"/>
      <c r="I125" s="95"/>
      <c r="J125" s="95"/>
      <c r="K125" s="99"/>
      <c r="L125" s="99"/>
      <c r="M125" s="100"/>
      <c r="N125" s="127"/>
      <c r="O125" s="128"/>
      <c r="P125" s="95"/>
      <c r="Q125" s="137"/>
      <c r="R125" s="129"/>
      <c r="S125" s="95"/>
      <c r="T125" s="95"/>
      <c r="V125" s="107"/>
    </row>
    <row r="126" ht="15.75" customHeight="1">
      <c r="A126" s="89"/>
      <c r="B126" s="182"/>
      <c r="C126" s="149"/>
      <c r="D126" s="95"/>
      <c r="E126" s="149"/>
      <c r="F126" s="149"/>
      <c r="G126" s="95"/>
      <c r="H126" s="149"/>
      <c r="I126" s="95"/>
      <c r="J126" s="95"/>
      <c r="K126" s="113"/>
      <c r="L126" s="113"/>
      <c r="M126" s="100"/>
      <c r="N126" s="127"/>
      <c r="O126" s="128"/>
      <c r="P126" s="95"/>
      <c r="Q126" s="137"/>
      <c r="R126" s="129"/>
      <c r="S126" s="95"/>
      <c r="T126" s="95"/>
      <c r="V126" s="107"/>
    </row>
    <row r="127" ht="15.75" customHeight="1">
      <c r="A127" s="89"/>
      <c r="B127" s="182"/>
      <c r="C127" s="149"/>
      <c r="D127" s="95"/>
      <c r="E127" s="149"/>
      <c r="F127" s="149"/>
      <c r="G127" s="95"/>
      <c r="H127" s="149"/>
      <c r="I127" s="95"/>
      <c r="J127" s="95"/>
      <c r="K127" s="99"/>
      <c r="L127" s="99"/>
      <c r="M127" s="100"/>
      <c r="N127" s="127"/>
      <c r="O127" s="128"/>
      <c r="P127" s="95"/>
      <c r="Q127" s="137"/>
      <c r="R127" s="129"/>
      <c r="S127" s="95"/>
      <c r="T127" s="95"/>
      <c r="V127" s="107"/>
    </row>
    <row r="128" ht="15.75" customHeight="1">
      <c r="A128" s="89"/>
      <c r="B128" s="182"/>
      <c r="C128" s="107"/>
      <c r="D128" s="95"/>
      <c r="E128" s="149"/>
      <c r="F128" s="149"/>
      <c r="G128" s="95"/>
      <c r="H128" s="149"/>
      <c r="I128" s="95"/>
      <c r="J128" s="95"/>
      <c r="K128" s="113"/>
      <c r="L128" s="113"/>
      <c r="M128" s="100"/>
      <c r="N128" s="127"/>
      <c r="O128" s="128"/>
      <c r="P128" s="95"/>
      <c r="Q128" s="95"/>
      <c r="R128" s="129"/>
      <c r="S128" s="95"/>
      <c r="T128" s="95"/>
      <c r="V128" s="107"/>
    </row>
    <row r="129" ht="15.75" customHeight="1">
      <c r="A129" s="89"/>
      <c r="B129" s="182"/>
      <c r="C129" s="107"/>
      <c r="D129" s="95"/>
      <c r="E129" s="149"/>
      <c r="F129" s="149"/>
      <c r="G129" s="95"/>
      <c r="H129" s="149"/>
      <c r="I129" s="95"/>
      <c r="J129" s="95"/>
      <c r="K129" s="99"/>
      <c r="L129" s="99"/>
      <c r="M129" s="100"/>
      <c r="N129" s="127"/>
      <c r="O129" s="128"/>
      <c r="P129" s="95"/>
      <c r="Q129" s="137"/>
      <c r="R129" s="129"/>
      <c r="S129" s="95"/>
      <c r="T129" s="95"/>
      <c r="V129" s="107"/>
    </row>
    <row r="130" ht="15.75" customHeight="1">
      <c r="A130" s="89"/>
      <c r="B130" s="182"/>
      <c r="C130" s="107"/>
      <c r="D130" s="95"/>
      <c r="E130" s="149"/>
      <c r="F130" s="149"/>
      <c r="G130" s="95"/>
      <c r="H130" s="149"/>
      <c r="I130" s="95"/>
      <c r="J130" s="95"/>
      <c r="K130" s="113"/>
      <c r="L130" s="113"/>
      <c r="M130" s="100"/>
      <c r="N130" s="127"/>
      <c r="O130" s="128"/>
      <c r="P130" s="95"/>
      <c r="Q130" s="95"/>
      <c r="R130" s="129"/>
      <c r="S130" s="95"/>
      <c r="T130" s="95"/>
      <c r="V130" s="107"/>
    </row>
    <row r="131" ht="15.75" customHeight="1">
      <c r="A131" s="89"/>
      <c r="B131" s="182"/>
      <c r="C131" s="149"/>
      <c r="D131" s="95"/>
      <c r="E131" s="149"/>
      <c r="F131" s="149"/>
      <c r="G131" s="95"/>
      <c r="H131" s="149"/>
      <c r="I131" s="95"/>
      <c r="J131" s="95"/>
      <c r="K131" s="99"/>
      <c r="L131" s="99"/>
      <c r="M131" s="100"/>
      <c r="N131" s="127"/>
      <c r="O131" s="128"/>
      <c r="P131" s="95"/>
      <c r="Q131" s="95"/>
      <c r="R131" s="129"/>
      <c r="S131" s="95"/>
      <c r="T131" s="95"/>
      <c r="V131" s="107"/>
    </row>
    <row r="132" ht="15.75" customHeight="1">
      <c r="A132" s="89"/>
      <c r="B132" s="182"/>
      <c r="C132" s="149"/>
      <c r="D132" s="95"/>
      <c r="E132" s="149"/>
      <c r="F132" s="149"/>
      <c r="G132" s="95"/>
      <c r="H132" s="149"/>
      <c r="I132" s="95"/>
      <c r="J132" s="95"/>
      <c r="K132" s="113"/>
      <c r="L132" s="113"/>
      <c r="M132" s="100"/>
      <c r="N132" s="127"/>
      <c r="O132" s="128"/>
      <c r="P132" s="95"/>
      <c r="Q132" s="137"/>
      <c r="R132" s="129"/>
      <c r="S132" s="95"/>
      <c r="T132" s="95"/>
      <c r="V132" s="107"/>
    </row>
    <row r="133" ht="15.75" customHeight="1">
      <c r="A133" s="89"/>
      <c r="B133" s="182"/>
      <c r="C133" s="149"/>
      <c r="D133" s="95"/>
      <c r="E133" s="149"/>
      <c r="F133" s="149"/>
      <c r="G133" s="95"/>
      <c r="H133" s="149"/>
      <c r="I133" s="95"/>
      <c r="J133" s="95"/>
      <c r="K133" s="99"/>
      <c r="L133" s="99"/>
      <c r="M133" s="100"/>
      <c r="N133" s="127"/>
      <c r="O133" s="128"/>
      <c r="P133" s="95"/>
      <c r="Q133" s="95"/>
      <c r="R133" s="129"/>
      <c r="S133" s="95"/>
      <c r="T133" s="95"/>
      <c r="V133" s="107"/>
    </row>
    <row r="134" ht="15.75" customHeight="1">
      <c r="A134" s="89"/>
      <c r="B134" s="182"/>
      <c r="C134" s="149"/>
      <c r="D134" s="95"/>
      <c r="E134" s="149"/>
      <c r="F134" s="149"/>
      <c r="G134" s="95"/>
      <c r="H134" s="149"/>
      <c r="I134" s="95"/>
      <c r="J134" s="95"/>
      <c r="K134" s="113"/>
      <c r="L134" s="113"/>
      <c r="M134" s="100"/>
      <c r="N134" s="127"/>
      <c r="O134" s="128"/>
      <c r="P134" s="95"/>
      <c r="Q134" s="95"/>
      <c r="R134" s="129"/>
      <c r="S134" s="95"/>
      <c r="T134" s="95"/>
      <c r="V134" s="107"/>
    </row>
    <row r="135" ht="15.75" customHeight="1">
      <c r="A135" s="89"/>
      <c r="B135" s="182"/>
      <c r="C135" s="149"/>
      <c r="D135" s="95"/>
      <c r="E135" s="149"/>
      <c r="F135" s="149"/>
      <c r="G135" s="95"/>
      <c r="H135" s="149"/>
      <c r="I135" s="95"/>
      <c r="J135" s="95"/>
      <c r="K135" s="99"/>
      <c r="L135" s="99"/>
      <c r="M135" s="100"/>
      <c r="N135" s="127"/>
      <c r="O135" s="128"/>
      <c r="P135" s="95"/>
      <c r="Q135" s="137"/>
      <c r="R135" s="129"/>
      <c r="S135" s="95"/>
      <c r="T135" s="95"/>
      <c r="V135" s="107"/>
    </row>
    <row r="136" ht="15.75" customHeight="1">
      <c r="A136" s="89"/>
      <c r="B136" s="182"/>
      <c r="C136" s="107"/>
      <c r="D136" s="95"/>
      <c r="E136" s="149"/>
      <c r="F136" s="149"/>
      <c r="G136" s="95"/>
      <c r="H136" s="149"/>
      <c r="I136" s="95"/>
      <c r="J136" s="95"/>
      <c r="K136" s="113"/>
      <c r="L136" s="113"/>
      <c r="M136" s="100"/>
      <c r="N136" s="127"/>
      <c r="O136" s="128"/>
      <c r="P136" s="95"/>
      <c r="Q136" s="95"/>
      <c r="R136" s="129"/>
      <c r="S136" s="95"/>
      <c r="T136" s="95"/>
      <c r="V136" s="107"/>
    </row>
    <row r="137" ht="15.75" customHeight="1">
      <c r="A137" s="89"/>
      <c r="B137" s="182"/>
      <c r="C137" s="107"/>
      <c r="D137" s="95"/>
      <c r="E137" s="149"/>
      <c r="F137" s="149"/>
      <c r="G137" s="95"/>
      <c r="H137" s="149"/>
      <c r="I137" s="95"/>
      <c r="J137" s="95"/>
      <c r="K137" s="99"/>
      <c r="L137" s="99"/>
      <c r="M137" s="100"/>
      <c r="N137" s="127"/>
      <c r="O137" s="128"/>
      <c r="P137" s="95"/>
      <c r="Q137" s="137"/>
      <c r="R137" s="129"/>
      <c r="S137" s="95"/>
      <c r="T137" s="95"/>
      <c r="V137" s="107"/>
    </row>
    <row r="138" ht="15.75" customHeight="1">
      <c r="A138" s="89"/>
      <c r="B138" s="182"/>
      <c r="C138" s="107"/>
      <c r="D138" s="95"/>
      <c r="E138" s="149"/>
      <c r="F138" s="149"/>
      <c r="G138" s="95"/>
      <c r="H138" s="149"/>
      <c r="I138" s="95"/>
      <c r="J138" s="95"/>
      <c r="K138" s="113"/>
      <c r="L138" s="113"/>
      <c r="M138" s="100"/>
      <c r="N138" s="127"/>
      <c r="O138" s="128"/>
      <c r="P138" s="95"/>
      <c r="Q138" s="137"/>
      <c r="R138" s="129"/>
      <c r="S138" s="95"/>
      <c r="T138" s="95"/>
      <c r="V138" s="107"/>
    </row>
    <row r="139" ht="15.75" customHeight="1">
      <c r="A139" s="89"/>
      <c r="B139" s="182"/>
      <c r="C139" s="149"/>
      <c r="D139" s="95"/>
      <c r="E139" s="149"/>
      <c r="F139" s="149"/>
      <c r="G139" s="95"/>
      <c r="H139" s="149"/>
      <c r="I139" s="95"/>
      <c r="J139" s="95"/>
      <c r="K139" s="99"/>
      <c r="L139" s="99"/>
      <c r="M139" s="100"/>
      <c r="N139" s="127"/>
      <c r="O139" s="128"/>
      <c r="P139" s="95"/>
      <c r="Q139" s="137"/>
      <c r="R139" s="129"/>
      <c r="S139" s="95"/>
      <c r="T139" s="95"/>
      <c r="V139" s="107"/>
    </row>
    <row r="140" ht="15.75" customHeight="1">
      <c r="A140" s="89"/>
      <c r="B140" s="182"/>
      <c r="C140" s="149"/>
      <c r="D140" s="95"/>
      <c r="E140" s="149"/>
      <c r="F140" s="149"/>
      <c r="G140" s="95"/>
      <c r="H140" s="149"/>
      <c r="I140" s="95"/>
      <c r="J140" s="95"/>
      <c r="K140" s="113"/>
      <c r="L140" s="113"/>
      <c r="M140" s="100"/>
      <c r="N140" s="127"/>
      <c r="O140" s="128"/>
      <c r="P140" s="95"/>
      <c r="Q140" s="95"/>
      <c r="R140" s="129"/>
      <c r="S140" s="95"/>
      <c r="T140" s="95"/>
      <c r="V140" s="107"/>
    </row>
    <row r="141" ht="15.75" customHeight="1">
      <c r="A141" s="89"/>
      <c r="B141" s="182"/>
      <c r="C141" s="149"/>
      <c r="D141" s="95"/>
      <c r="E141" s="149"/>
      <c r="F141" s="149"/>
      <c r="G141" s="95"/>
      <c r="H141" s="149"/>
      <c r="I141" s="95"/>
      <c r="J141" s="95"/>
      <c r="K141" s="99"/>
      <c r="L141" s="99"/>
      <c r="M141" s="100"/>
      <c r="N141" s="127"/>
      <c r="O141" s="128"/>
      <c r="P141" s="95"/>
      <c r="Q141" s="137"/>
      <c r="R141" s="129"/>
      <c r="S141" s="95"/>
      <c r="T141" s="95"/>
      <c r="V141" s="107"/>
    </row>
    <row r="142" ht="15.75" customHeight="1">
      <c r="A142" s="89"/>
      <c r="B142" s="182"/>
      <c r="C142" s="149"/>
      <c r="D142" s="95"/>
      <c r="E142" s="149"/>
      <c r="F142" s="149"/>
      <c r="G142" s="95"/>
      <c r="H142" s="149"/>
      <c r="I142" s="95"/>
      <c r="J142" s="95"/>
      <c r="K142" s="113"/>
      <c r="L142" s="113"/>
      <c r="M142" s="100"/>
      <c r="N142" s="127"/>
      <c r="O142" s="128"/>
      <c r="P142" s="95"/>
      <c r="Q142" s="95"/>
      <c r="R142" s="129"/>
      <c r="S142" s="95"/>
      <c r="T142" s="95"/>
      <c r="V142" s="107"/>
    </row>
    <row r="143" ht="15.75" customHeight="1">
      <c r="A143" s="89"/>
      <c r="B143" s="182"/>
      <c r="C143" s="149"/>
      <c r="D143" s="95"/>
      <c r="E143" s="149"/>
      <c r="F143" s="183"/>
      <c r="G143" s="95"/>
      <c r="H143" s="149"/>
      <c r="I143" s="95"/>
      <c r="J143" s="95"/>
      <c r="K143" s="99"/>
      <c r="L143" s="99"/>
      <c r="M143" s="100"/>
      <c r="N143" s="127"/>
      <c r="O143" s="128"/>
      <c r="P143" s="95"/>
      <c r="Q143" s="137"/>
      <c r="R143" s="129"/>
      <c r="S143" s="95"/>
      <c r="T143" s="95"/>
      <c r="V143" s="107"/>
    </row>
    <row r="144" ht="15.75" customHeight="1">
      <c r="A144" s="89"/>
      <c r="B144" s="182"/>
      <c r="C144" s="107"/>
      <c r="D144" s="95"/>
      <c r="E144" s="149"/>
      <c r="F144" s="149"/>
      <c r="G144" s="95"/>
      <c r="H144" s="149"/>
      <c r="I144" s="95"/>
      <c r="J144" s="95"/>
      <c r="K144" s="113"/>
      <c r="L144" s="113"/>
      <c r="M144" s="100"/>
      <c r="N144" s="127"/>
      <c r="O144" s="128"/>
      <c r="P144" s="95"/>
      <c r="Q144" s="95"/>
      <c r="R144" s="129"/>
      <c r="S144" s="95"/>
      <c r="T144" s="95"/>
      <c r="V144" s="107"/>
    </row>
    <row r="145" ht="15.75" customHeight="1">
      <c r="A145" s="89"/>
      <c r="B145" s="182"/>
      <c r="C145" s="107"/>
      <c r="D145" s="95"/>
      <c r="E145" s="149"/>
      <c r="F145" s="149"/>
      <c r="G145" s="95"/>
      <c r="H145" s="149"/>
      <c r="I145" s="95"/>
      <c r="J145" s="95"/>
      <c r="K145" s="99"/>
      <c r="L145" s="99"/>
      <c r="M145" s="100"/>
      <c r="N145" s="127"/>
      <c r="O145" s="128"/>
      <c r="P145" s="95"/>
      <c r="Q145" s="137"/>
      <c r="R145" s="129"/>
      <c r="S145" s="95"/>
      <c r="T145" s="95"/>
      <c r="V145" s="107"/>
    </row>
    <row r="146" ht="15.75" customHeight="1">
      <c r="A146" s="89"/>
      <c r="B146" s="182"/>
      <c r="C146" s="149"/>
      <c r="D146" s="95"/>
      <c r="E146" s="149"/>
      <c r="F146" s="149"/>
      <c r="G146" s="95"/>
      <c r="H146" s="149"/>
      <c r="I146" s="95"/>
      <c r="J146" s="95"/>
      <c r="K146" s="113"/>
      <c r="L146" s="113"/>
      <c r="M146" s="100"/>
      <c r="N146" s="127"/>
      <c r="O146" s="128"/>
      <c r="P146" s="95"/>
      <c r="Q146" s="137"/>
      <c r="R146" s="129"/>
      <c r="S146" s="95"/>
      <c r="T146" s="95"/>
      <c r="V146" s="107"/>
    </row>
    <row r="147" ht="15.75" customHeight="1">
      <c r="A147" s="89"/>
      <c r="B147" s="182"/>
      <c r="C147" s="149"/>
      <c r="D147" s="95"/>
      <c r="E147" s="149"/>
      <c r="F147" s="149"/>
      <c r="G147" s="95"/>
      <c r="H147" s="149"/>
      <c r="I147" s="95"/>
      <c r="J147" s="95"/>
      <c r="K147" s="99"/>
      <c r="L147" s="99"/>
      <c r="M147" s="100"/>
      <c r="N147" s="127"/>
      <c r="O147" s="128"/>
      <c r="P147" s="95"/>
      <c r="Q147" s="137"/>
      <c r="R147" s="129"/>
      <c r="S147" s="95"/>
      <c r="T147" s="95"/>
      <c r="V147" s="107"/>
    </row>
    <row r="148" ht="15.75" customHeight="1">
      <c r="A148" s="89"/>
      <c r="B148" s="182"/>
      <c r="C148" s="149"/>
      <c r="D148" s="95"/>
      <c r="E148" s="149"/>
      <c r="F148" s="149"/>
      <c r="G148" s="95"/>
      <c r="H148" s="149"/>
      <c r="I148" s="95"/>
      <c r="J148" s="95"/>
      <c r="K148" s="113"/>
      <c r="L148" s="113"/>
      <c r="M148" s="100"/>
      <c r="N148" s="127"/>
      <c r="O148" s="128"/>
      <c r="P148" s="95"/>
      <c r="Q148" s="137"/>
      <c r="R148" s="129"/>
      <c r="S148" s="95"/>
      <c r="T148" s="95"/>
      <c r="V148" s="107"/>
    </row>
    <row r="149" ht="15.75" customHeight="1">
      <c r="A149" s="89"/>
      <c r="B149" s="182"/>
      <c r="C149" s="149"/>
      <c r="D149" s="95"/>
      <c r="E149" s="149"/>
      <c r="F149" s="149"/>
      <c r="G149" s="95"/>
      <c r="H149" s="149"/>
      <c r="I149" s="95"/>
      <c r="J149" s="95"/>
      <c r="K149" s="99"/>
      <c r="L149" s="99"/>
      <c r="M149" s="100"/>
      <c r="N149" s="127"/>
      <c r="O149" s="128"/>
      <c r="P149" s="95"/>
      <c r="Q149" s="137"/>
      <c r="R149" s="129"/>
      <c r="S149" s="95"/>
      <c r="T149" s="95"/>
      <c r="V149" s="107"/>
    </row>
    <row r="150" ht="15.75" customHeight="1">
      <c r="A150" s="89"/>
      <c r="B150" s="182"/>
      <c r="C150" s="149"/>
      <c r="D150" s="95"/>
      <c r="E150" s="149"/>
      <c r="F150" s="149"/>
      <c r="G150" s="95"/>
      <c r="H150" s="149"/>
      <c r="I150" s="95"/>
      <c r="J150" s="95"/>
      <c r="K150" s="113"/>
      <c r="L150" s="113"/>
      <c r="M150" s="100"/>
      <c r="N150" s="127"/>
      <c r="O150" s="128"/>
      <c r="P150" s="95"/>
      <c r="Q150" s="137"/>
      <c r="R150" s="129"/>
      <c r="S150" s="95"/>
      <c r="T150" s="95"/>
      <c r="V150" s="107"/>
    </row>
    <row r="151" ht="15.75" customHeight="1">
      <c r="A151" s="89"/>
      <c r="B151" s="182"/>
      <c r="C151" s="107"/>
      <c r="D151" s="95"/>
      <c r="E151" s="149"/>
      <c r="F151" s="149"/>
      <c r="G151" s="95"/>
      <c r="H151" s="149"/>
      <c r="I151" s="95"/>
      <c r="J151" s="95"/>
      <c r="K151" s="99"/>
      <c r="L151" s="99"/>
      <c r="M151" s="100"/>
      <c r="N151" s="127"/>
      <c r="O151" s="128"/>
      <c r="P151" s="95"/>
      <c r="Q151" s="137"/>
      <c r="R151" s="129"/>
      <c r="S151" s="95"/>
      <c r="T151" s="95"/>
      <c r="V151" s="107"/>
    </row>
    <row r="152" ht="15.75" customHeight="1">
      <c r="A152" s="89"/>
      <c r="B152" s="182"/>
      <c r="C152" s="149"/>
      <c r="D152" s="95"/>
      <c r="E152" s="149"/>
      <c r="F152" s="149"/>
      <c r="G152" s="95"/>
      <c r="H152" s="149"/>
      <c r="I152" s="95"/>
      <c r="J152" s="95"/>
      <c r="K152" s="113"/>
      <c r="L152" s="113"/>
      <c r="M152" s="100"/>
      <c r="N152" s="127"/>
      <c r="O152" s="128"/>
      <c r="P152" s="95"/>
      <c r="Q152" s="137"/>
      <c r="R152" s="129"/>
      <c r="S152" s="95"/>
      <c r="T152" s="95"/>
      <c r="V152" s="107"/>
    </row>
    <row r="153" ht="15.75" customHeight="1">
      <c r="A153" s="89"/>
      <c r="B153" s="182"/>
      <c r="C153" s="149"/>
      <c r="D153" s="95"/>
      <c r="E153" s="149"/>
      <c r="F153" s="149"/>
      <c r="G153" s="95"/>
      <c r="H153" s="149"/>
      <c r="I153" s="95"/>
      <c r="J153" s="95"/>
      <c r="K153" s="99"/>
      <c r="L153" s="99"/>
      <c r="M153" s="100"/>
      <c r="N153" s="127"/>
      <c r="O153" s="128"/>
      <c r="P153" s="95"/>
      <c r="Q153" s="137"/>
      <c r="R153" s="129"/>
      <c r="S153" s="95"/>
      <c r="T153" s="95"/>
      <c r="V153" s="107"/>
    </row>
    <row r="154" ht="15.75" customHeight="1">
      <c r="A154" s="89"/>
      <c r="B154" s="182"/>
      <c r="C154" s="149"/>
      <c r="D154" s="95"/>
      <c r="E154" s="149"/>
      <c r="F154" s="149"/>
      <c r="G154" s="95"/>
      <c r="H154" s="149"/>
      <c r="I154" s="95"/>
      <c r="J154" s="95"/>
      <c r="K154" s="113"/>
      <c r="L154" s="113"/>
      <c r="M154" s="100"/>
      <c r="N154" s="127"/>
      <c r="O154" s="128"/>
      <c r="P154" s="95"/>
      <c r="Q154" s="137"/>
      <c r="R154" s="129"/>
      <c r="S154" s="95"/>
      <c r="T154" s="95"/>
      <c r="V154" s="107"/>
    </row>
    <row r="155" ht="15.75" customHeight="1">
      <c r="A155" s="89"/>
      <c r="B155" s="182"/>
      <c r="C155" s="149"/>
      <c r="D155" s="95"/>
      <c r="E155" s="149"/>
      <c r="F155" s="149"/>
      <c r="G155" s="95"/>
      <c r="H155" s="149"/>
      <c r="I155" s="95"/>
      <c r="J155" s="95"/>
      <c r="K155" s="99"/>
      <c r="L155" s="99"/>
      <c r="M155" s="100"/>
      <c r="N155" s="127"/>
      <c r="O155" s="128"/>
      <c r="P155" s="95"/>
      <c r="Q155" s="137"/>
      <c r="R155" s="129"/>
      <c r="S155" s="95"/>
      <c r="T155" s="95"/>
      <c r="V155" s="107"/>
    </row>
    <row r="156" ht="15.75" customHeight="1">
      <c r="A156" s="89"/>
      <c r="B156" s="182"/>
      <c r="C156" s="149"/>
      <c r="D156" s="95"/>
      <c r="E156" s="149"/>
      <c r="F156" s="149"/>
      <c r="G156" s="95"/>
      <c r="H156" s="149"/>
      <c r="I156" s="95"/>
      <c r="J156" s="95"/>
      <c r="K156" s="113"/>
      <c r="L156" s="113"/>
      <c r="M156" s="100"/>
      <c r="N156" s="127"/>
      <c r="O156" s="128"/>
      <c r="P156" s="95"/>
      <c r="Q156" s="137"/>
      <c r="R156" s="129"/>
      <c r="S156" s="95"/>
      <c r="T156" s="95"/>
      <c r="V156" s="107"/>
    </row>
    <row r="157" ht="15.75" customHeight="1">
      <c r="A157" s="89"/>
      <c r="B157" s="182"/>
      <c r="C157" s="107"/>
      <c r="D157" s="95"/>
      <c r="E157" s="149"/>
      <c r="F157" s="149"/>
      <c r="G157" s="95"/>
      <c r="H157" s="149"/>
      <c r="I157" s="95"/>
      <c r="J157" s="95"/>
      <c r="K157" s="99"/>
      <c r="L157" s="99"/>
      <c r="M157" s="100"/>
      <c r="N157" s="127"/>
      <c r="O157" s="128"/>
      <c r="P157" s="95"/>
      <c r="Q157" s="137"/>
      <c r="R157" s="129"/>
      <c r="S157" s="95"/>
      <c r="T157" s="95"/>
      <c r="V157" s="107"/>
    </row>
    <row r="158" ht="15.75" customHeight="1">
      <c r="A158" s="89"/>
      <c r="B158" s="182"/>
      <c r="C158" s="149"/>
      <c r="D158" s="95"/>
      <c r="E158" s="149"/>
      <c r="F158" s="149"/>
      <c r="G158" s="95"/>
      <c r="H158" s="149"/>
      <c r="I158" s="95"/>
      <c r="J158" s="95"/>
      <c r="K158" s="113"/>
      <c r="L158" s="113"/>
      <c r="M158" s="100"/>
      <c r="N158" s="127"/>
      <c r="O158" s="128"/>
      <c r="P158" s="95"/>
      <c r="Q158" s="137"/>
      <c r="R158" s="129"/>
      <c r="S158" s="95"/>
      <c r="T158" s="95"/>
      <c r="V158" s="107"/>
    </row>
    <row r="159" ht="15.75" customHeight="1">
      <c r="A159" s="89"/>
      <c r="B159" s="182"/>
      <c r="C159" s="149"/>
      <c r="D159" s="95"/>
      <c r="E159" s="149"/>
      <c r="F159" s="149"/>
      <c r="G159" s="95"/>
      <c r="H159" s="149"/>
      <c r="I159" s="95"/>
      <c r="J159" s="95"/>
      <c r="K159" s="99"/>
      <c r="L159" s="99"/>
      <c r="M159" s="100"/>
      <c r="N159" s="127"/>
      <c r="O159" s="128"/>
      <c r="P159" s="95"/>
      <c r="Q159" s="137"/>
      <c r="R159" s="129"/>
      <c r="S159" s="95"/>
      <c r="T159" s="95"/>
      <c r="V159" s="107"/>
    </row>
    <row r="160" ht="15.75" customHeight="1">
      <c r="A160" s="89"/>
      <c r="B160" s="182"/>
      <c r="C160" s="149"/>
      <c r="D160" s="95"/>
      <c r="E160" s="149"/>
      <c r="F160" s="149"/>
      <c r="G160" s="95"/>
      <c r="H160" s="149"/>
      <c r="I160" s="95"/>
      <c r="J160" s="95"/>
      <c r="K160" s="113"/>
      <c r="L160" s="113"/>
      <c r="M160" s="100"/>
      <c r="N160" s="127"/>
      <c r="O160" s="128"/>
      <c r="P160" s="95"/>
      <c r="Q160" s="137"/>
      <c r="R160" s="129"/>
      <c r="S160" s="95"/>
      <c r="T160" s="95"/>
      <c r="V160" s="107"/>
    </row>
    <row r="161" ht="15.75" customHeight="1">
      <c r="A161" s="89"/>
      <c r="B161" s="182"/>
      <c r="C161" s="149"/>
      <c r="D161" s="95"/>
      <c r="E161" s="149"/>
      <c r="F161" s="149"/>
      <c r="G161" s="95"/>
      <c r="H161" s="149"/>
      <c r="I161" s="95"/>
      <c r="J161" s="95"/>
      <c r="K161" s="99"/>
      <c r="L161" s="99"/>
      <c r="M161" s="100"/>
      <c r="N161" s="127"/>
      <c r="O161" s="128"/>
      <c r="P161" s="95"/>
      <c r="Q161" s="137"/>
      <c r="R161" s="129"/>
      <c r="S161" s="95"/>
      <c r="T161" s="95"/>
      <c r="V161" s="107"/>
    </row>
    <row r="162" ht="15.75" customHeight="1">
      <c r="A162" s="89"/>
      <c r="B162" s="182"/>
      <c r="C162" s="149"/>
      <c r="D162" s="95"/>
      <c r="E162" s="149"/>
      <c r="F162" s="149"/>
      <c r="G162" s="95"/>
      <c r="H162" s="149"/>
      <c r="I162" s="95"/>
      <c r="J162" s="95"/>
      <c r="K162" s="113"/>
      <c r="L162" s="113"/>
      <c r="M162" s="100"/>
      <c r="N162" s="127"/>
      <c r="O162" s="128"/>
      <c r="P162" s="95"/>
      <c r="Q162" s="137"/>
      <c r="R162" s="129"/>
      <c r="S162" s="95"/>
      <c r="T162" s="95"/>
      <c r="V162" s="107"/>
    </row>
    <row r="163" ht="15.75" customHeight="1">
      <c r="A163" s="89"/>
      <c r="B163" s="182"/>
      <c r="C163" s="107"/>
      <c r="D163" s="95"/>
      <c r="E163" s="149"/>
      <c r="F163" s="149"/>
      <c r="G163" s="95"/>
      <c r="H163" s="149"/>
      <c r="I163" s="95"/>
      <c r="J163" s="95"/>
      <c r="K163" s="99"/>
      <c r="L163" s="99"/>
      <c r="M163" s="100"/>
      <c r="N163" s="127"/>
      <c r="O163" s="128"/>
      <c r="P163" s="95"/>
      <c r="Q163" s="137"/>
      <c r="R163" s="129"/>
      <c r="S163" s="95"/>
      <c r="T163" s="95"/>
      <c r="V163" s="107"/>
    </row>
    <row r="164" ht="15.75" customHeight="1">
      <c r="A164" s="89"/>
      <c r="B164" s="182"/>
      <c r="C164" s="149"/>
      <c r="D164" s="95"/>
      <c r="E164" s="149"/>
      <c r="F164" s="149"/>
      <c r="G164" s="95"/>
      <c r="H164" s="149"/>
      <c r="I164" s="95"/>
      <c r="J164" s="95"/>
      <c r="K164" s="113"/>
      <c r="L164" s="113"/>
      <c r="M164" s="100"/>
      <c r="N164" s="127"/>
      <c r="O164" s="128"/>
      <c r="P164" s="95"/>
      <c r="Q164" s="137"/>
      <c r="R164" s="129"/>
      <c r="S164" s="95"/>
      <c r="T164" s="95"/>
      <c r="V164" s="107"/>
    </row>
    <row r="165" ht="15.75" customHeight="1">
      <c r="A165" s="89"/>
      <c r="B165" s="182"/>
      <c r="C165" s="149"/>
      <c r="D165" s="95"/>
      <c r="E165" s="149"/>
      <c r="F165" s="149"/>
      <c r="G165" s="95"/>
      <c r="H165" s="149"/>
      <c r="I165" s="95"/>
      <c r="J165" s="95"/>
      <c r="K165" s="99"/>
      <c r="L165" s="99"/>
      <c r="M165" s="100"/>
      <c r="N165" s="127"/>
      <c r="O165" s="128"/>
      <c r="P165" s="95"/>
      <c r="Q165" s="137"/>
      <c r="R165" s="129"/>
      <c r="S165" s="95"/>
      <c r="T165" s="95"/>
      <c r="V165" s="107"/>
    </row>
    <row r="166" ht="15.75" customHeight="1">
      <c r="A166" s="89"/>
      <c r="B166" s="182"/>
      <c r="C166" s="149"/>
      <c r="D166" s="95"/>
      <c r="E166" s="149"/>
      <c r="F166" s="149"/>
      <c r="G166" s="95"/>
      <c r="H166" s="149"/>
      <c r="I166" s="95"/>
      <c r="J166" s="95"/>
      <c r="K166" s="113"/>
      <c r="L166" s="113"/>
      <c r="M166" s="100"/>
      <c r="N166" s="127"/>
      <c r="O166" s="128"/>
      <c r="P166" s="95"/>
      <c r="Q166" s="137"/>
      <c r="R166" s="129"/>
      <c r="S166" s="95"/>
      <c r="T166" s="95"/>
      <c r="V166" s="107"/>
    </row>
    <row r="167" ht="15.75" customHeight="1">
      <c r="A167" s="89"/>
      <c r="B167" s="182"/>
      <c r="C167" s="149"/>
      <c r="D167" s="95"/>
      <c r="E167" s="149"/>
      <c r="F167" s="149"/>
      <c r="G167" s="95"/>
      <c r="H167" s="149"/>
      <c r="I167" s="95"/>
      <c r="J167" s="95"/>
      <c r="K167" s="99"/>
      <c r="L167" s="99"/>
      <c r="M167" s="100"/>
      <c r="N167" s="127"/>
      <c r="O167" s="128"/>
      <c r="P167" s="95"/>
      <c r="Q167" s="137"/>
      <c r="R167" s="129"/>
      <c r="S167" s="95"/>
      <c r="T167" s="95"/>
      <c r="V167" s="107"/>
    </row>
    <row r="168" ht="15.75" customHeight="1">
      <c r="A168" s="89"/>
      <c r="B168" s="182"/>
      <c r="C168" s="149"/>
      <c r="D168" s="95"/>
      <c r="E168" s="149"/>
      <c r="F168" s="149"/>
      <c r="G168" s="95"/>
      <c r="H168" s="149"/>
      <c r="I168" s="95"/>
      <c r="J168" s="95"/>
      <c r="K168" s="113"/>
      <c r="L168" s="113"/>
      <c r="M168" s="100"/>
      <c r="N168" s="127"/>
      <c r="O168" s="128"/>
      <c r="P168" s="95"/>
      <c r="Q168" s="137"/>
      <c r="R168" s="129"/>
      <c r="S168" s="95"/>
      <c r="T168" s="95"/>
      <c r="V168" s="107"/>
    </row>
    <row r="169" ht="15.75" customHeight="1">
      <c r="A169" s="89"/>
      <c r="B169" s="182"/>
      <c r="C169" s="107"/>
      <c r="D169" s="95"/>
      <c r="E169" s="149"/>
      <c r="F169" s="149"/>
      <c r="G169" s="95"/>
      <c r="H169" s="149"/>
      <c r="I169" s="95"/>
      <c r="J169" s="95"/>
      <c r="K169" s="99"/>
      <c r="L169" s="99"/>
      <c r="M169" s="100"/>
      <c r="N169" s="127"/>
      <c r="O169" s="128"/>
      <c r="P169" s="95"/>
      <c r="Q169" s="137"/>
      <c r="R169" s="129"/>
      <c r="S169" s="95"/>
      <c r="T169" s="95"/>
      <c r="V169" s="107"/>
    </row>
    <row r="170" ht="15.75" customHeight="1">
      <c r="A170" s="89"/>
      <c r="B170" s="182"/>
      <c r="C170" s="149"/>
      <c r="D170" s="95"/>
      <c r="E170" s="149"/>
      <c r="F170" s="149"/>
      <c r="G170" s="95"/>
      <c r="H170" s="149"/>
      <c r="I170" s="95"/>
      <c r="J170" s="95"/>
      <c r="K170" s="113"/>
      <c r="L170" s="113"/>
      <c r="M170" s="100"/>
      <c r="N170" s="127"/>
      <c r="O170" s="128"/>
      <c r="P170" s="95"/>
      <c r="Q170" s="137"/>
      <c r="R170" s="129"/>
      <c r="S170" s="95"/>
      <c r="T170" s="95"/>
      <c r="V170" s="107"/>
    </row>
    <row r="171" ht="15.75" customHeight="1">
      <c r="A171" s="89"/>
      <c r="B171" s="182"/>
      <c r="C171" s="149"/>
      <c r="D171" s="95"/>
      <c r="E171" s="149"/>
      <c r="F171" s="149"/>
      <c r="G171" s="95"/>
      <c r="H171" s="149"/>
      <c r="I171" s="95"/>
      <c r="J171" s="95"/>
      <c r="K171" s="99"/>
      <c r="L171" s="99"/>
      <c r="M171" s="100"/>
      <c r="N171" s="127"/>
      <c r="O171" s="128"/>
      <c r="P171" s="95"/>
      <c r="Q171" s="137"/>
      <c r="R171" s="129"/>
      <c r="S171" s="95"/>
      <c r="T171" s="95"/>
      <c r="V171" s="107"/>
    </row>
    <row r="172" ht="15.75" customHeight="1">
      <c r="A172" s="89"/>
      <c r="B172" s="182"/>
      <c r="C172" s="149"/>
      <c r="D172" s="95"/>
      <c r="E172" s="149"/>
      <c r="F172" s="149"/>
      <c r="G172" s="95"/>
      <c r="H172" s="149"/>
      <c r="I172" s="95"/>
      <c r="J172" s="95"/>
      <c r="K172" s="113"/>
      <c r="L172" s="113"/>
      <c r="M172" s="100"/>
      <c r="N172" s="127"/>
      <c r="O172" s="128"/>
      <c r="P172" s="95"/>
      <c r="Q172" s="137"/>
      <c r="R172" s="129"/>
      <c r="S172" s="95"/>
      <c r="T172" s="95"/>
      <c r="V172" s="107"/>
    </row>
    <row r="173" ht="15.75" customHeight="1">
      <c r="A173" s="89"/>
      <c r="B173" s="182"/>
      <c r="C173" s="149"/>
      <c r="D173" s="95"/>
      <c r="E173" s="149"/>
      <c r="F173" s="149"/>
      <c r="G173" s="95"/>
      <c r="H173" s="149"/>
      <c r="I173" s="95"/>
      <c r="J173" s="95"/>
      <c r="K173" s="99"/>
      <c r="L173" s="99"/>
      <c r="M173" s="100"/>
      <c r="N173" s="127"/>
      <c r="O173" s="128"/>
      <c r="P173" s="95"/>
      <c r="Q173" s="137"/>
      <c r="R173" s="129"/>
      <c r="S173" s="95"/>
      <c r="T173" s="95"/>
      <c r="V173" s="107"/>
    </row>
    <row r="174" ht="15.75" customHeight="1">
      <c r="A174" s="89"/>
      <c r="B174" s="182"/>
      <c r="C174" s="149"/>
      <c r="D174" s="95"/>
      <c r="E174" s="149"/>
      <c r="F174" s="149"/>
      <c r="G174" s="95"/>
      <c r="H174" s="149"/>
      <c r="I174" s="95"/>
      <c r="J174" s="95"/>
      <c r="K174" s="113"/>
      <c r="L174" s="113"/>
      <c r="M174" s="100"/>
      <c r="N174" s="127"/>
      <c r="O174" s="128"/>
      <c r="P174" s="95"/>
      <c r="Q174" s="137"/>
      <c r="R174" s="129"/>
      <c r="S174" s="95"/>
      <c r="T174" s="95"/>
      <c r="V174" s="107"/>
    </row>
    <row r="175" ht="15.75" customHeight="1">
      <c r="A175" s="89"/>
      <c r="B175" s="182"/>
      <c r="C175" s="107"/>
      <c r="D175" s="95"/>
      <c r="E175" s="149"/>
      <c r="F175" s="149"/>
      <c r="G175" s="95"/>
      <c r="H175" s="149"/>
      <c r="I175" s="95"/>
      <c r="J175" s="95"/>
      <c r="K175" s="99"/>
      <c r="L175" s="99"/>
      <c r="M175" s="100"/>
      <c r="N175" s="127"/>
      <c r="O175" s="128"/>
      <c r="P175" s="95"/>
      <c r="Q175" s="137"/>
      <c r="R175" s="129"/>
      <c r="S175" s="95"/>
      <c r="T175" s="95"/>
      <c r="V175" s="107"/>
    </row>
    <row r="176" ht="15.75" customHeight="1">
      <c r="A176" s="89"/>
      <c r="B176" s="182"/>
      <c r="C176" s="149"/>
      <c r="D176" s="95"/>
      <c r="E176" s="149"/>
      <c r="F176" s="149"/>
      <c r="G176" s="95"/>
      <c r="H176" s="149"/>
      <c r="I176" s="95"/>
      <c r="J176" s="95"/>
      <c r="K176" s="113"/>
      <c r="L176" s="113"/>
      <c r="M176" s="100"/>
      <c r="N176" s="127"/>
      <c r="O176" s="128"/>
      <c r="P176" s="95"/>
      <c r="Q176" s="137"/>
      <c r="R176" s="129"/>
      <c r="S176" s="95"/>
      <c r="T176" s="95"/>
      <c r="V176" s="107"/>
    </row>
    <row r="177" ht="15.75" customHeight="1">
      <c r="A177" s="89"/>
      <c r="B177" s="182"/>
      <c r="C177" s="149"/>
      <c r="D177" s="95"/>
      <c r="E177" s="149"/>
      <c r="F177" s="149"/>
      <c r="G177" s="95"/>
      <c r="H177" s="149"/>
      <c r="I177" s="95"/>
      <c r="J177" s="95"/>
      <c r="K177" s="99"/>
      <c r="L177" s="99"/>
      <c r="M177" s="100"/>
      <c r="N177" s="127"/>
      <c r="O177" s="128"/>
      <c r="P177" s="95"/>
      <c r="Q177" s="137"/>
      <c r="R177" s="129"/>
      <c r="S177" s="95"/>
      <c r="T177" s="95"/>
      <c r="V177" s="107"/>
    </row>
    <row r="178" ht="15.75" customHeight="1">
      <c r="A178" s="89"/>
      <c r="B178" s="182"/>
      <c r="C178" s="149"/>
      <c r="D178" s="95"/>
      <c r="E178" s="149"/>
      <c r="F178" s="149"/>
      <c r="G178" s="95"/>
      <c r="H178" s="149"/>
      <c r="I178" s="95"/>
      <c r="J178" s="95"/>
      <c r="K178" s="113"/>
      <c r="L178" s="113"/>
      <c r="M178" s="100"/>
      <c r="N178" s="127"/>
      <c r="O178" s="128"/>
      <c r="P178" s="95"/>
      <c r="Q178" s="137"/>
      <c r="R178" s="129"/>
      <c r="S178" s="95"/>
      <c r="T178" s="95"/>
      <c r="V178" s="107"/>
    </row>
    <row r="179" ht="15.75" customHeight="1">
      <c r="A179" s="89"/>
      <c r="B179" s="182"/>
      <c r="C179" s="149"/>
      <c r="D179" s="95"/>
      <c r="E179" s="149"/>
      <c r="F179" s="149"/>
      <c r="G179" s="95"/>
      <c r="H179" s="149"/>
      <c r="I179" s="95"/>
      <c r="J179" s="95"/>
      <c r="K179" s="99"/>
      <c r="L179" s="99"/>
      <c r="M179" s="100"/>
      <c r="N179" s="127"/>
      <c r="O179" s="128"/>
      <c r="P179" s="95"/>
      <c r="Q179" s="137"/>
      <c r="R179" s="129"/>
      <c r="S179" s="95"/>
      <c r="T179" s="95"/>
      <c r="V179" s="107"/>
    </row>
    <row r="180" ht="15.75" customHeight="1">
      <c r="A180" s="89"/>
      <c r="B180" s="182"/>
      <c r="C180" s="149"/>
      <c r="D180" s="95"/>
      <c r="E180" s="149"/>
      <c r="F180" s="149"/>
      <c r="G180" s="95"/>
      <c r="H180" s="149"/>
      <c r="I180" s="95"/>
      <c r="J180" s="95"/>
      <c r="K180" s="113"/>
      <c r="L180" s="113"/>
      <c r="M180" s="100"/>
      <c r="N180" s="127"/>
      <c r="O180" s="128"/>
      <c r="P180" s="95"/>
      <c r="Q180" s="137"/>
      <c r="R180" s="129"/>
      <c r="S180" s="95"/>
      <c r="T180" s="95"/>
      <c r="V180" s="107"/>
    </row>
    <row r="181" ht="15.75" customHeight="1">
      <c r="A181" s="89"/>
      <c r="B181" s="182"/>
      <c r="C181" s="107"/>
      <c r="D181" s="95"/>
      <c r="E181" s="149"/>
      <c r="F181" s="149"/>
      <c r="G181" s="95"/>
      <c r="H181" s="149"/>
      <c r="I181" s="95"/>
      <c r="J181" s="95"/>
      <c r="K181" s="99"/>
      <c r="L181" s="99"/>
      <c r="M181" s="100"/>
      <c r="N181" s="127"/>
      <c r="O181" s="128"/>
      <c r="P181" s="95"/>
      <c r="Q181" s="137"/>
      <c r="R181" s="129"/>
      <c r="S181" s="95"/>
      <c r="T181" s="95"/>
      <c r="V181" s="107"/>
    </row>
    <row r="182" ht="15.75" customHeight="1">
      <c r="A182" s="89"/>
      <c r="B182" s="182"/>
      <c r="C182" s="149"/>
      <c r="D182" s="95"/>
      <c r="E182" s="149"/>
      <c r="F182" s="149"/>
      <c r="G182" s="95"/>
      <c r="H182" s="149"/>
      <c r="I182" s="95"/>
      <c r="J182" s="95"/>
      <c r="K182" s="113"/>
      <c r="L182" s="113"/>
      <c r="M182" s="100"/>
      <c r="N182" s="127"/>
      <c r="O182" s="128"/>
      <c r="P182" s="95"/>
      <c r="Q182" s="137"/>
      <c r="R182" s="129"/>
      <c r="S182" s="95"/>
      <c r="T182" s="95"/>
      <c r="V182" s="107"/>
    </row>
    <row r="183" ht="15.75" customHeight="1">
      <c r="A183" s="89"/>
      <c r="B183" s="182"/>
      <c r="C183" s="149"/>
      <c r="D183" s="95"/>
      <c r="E183" s="149"/>
      <c r="F183" s="149"/>
      <c r="G183" s="95"/>
      <c r="H183" s="149"/>
      <c r="I183" s="95"/>
      <c r="J183" s="95"/>
      <c r="K183" s="99"/>
      <c r="L183" s="99"/>
      <c r="M183" s="100"/>
      <c r="N183" s="127"/>
      <c r="O183" s="128"/>
      <c r="P183" s="95"/>
      <c r="Q183" s="137"/>
      <c r="R183" s="129"/>
      <c r="S183" s="95"/>
      <c r="T183" s="95"/>
      <c r="V183" s="107"/>
    </row>
    <row r="184" ht="15.75" customHeight="1">
      <c r="A184" s="89"/>
      <c r="B184" s="182"/>
      <c r="C184" s="149"/>
      <c r="D184" s="95"/>
      <c r="E184" s="149"/>
      <c r="F184" s="149"/>
      <c r="G184" s="95"/>
      <c r="H184" s="149"/>
      <c r="I184" s="95"/>
      <c r="J184" s="95"/>
      <c r="K184" s="113"/>
      <c r="L184" s="113"/>
      <c r="M184" s="100"/>
      <c r="N184" s="127"/>
      <c r="O184" s="128"/>
      <c r="P184" s="95"/>
      <c r="Q184" s="137"/>
      <c r="R184" s="129"/>
      <c r="S184" s="95"/>
      <c r="T184" s="95"/>
      <c r="V184" s="107"/>
    </row>
    <row r="185" ht="15.75" customHeight="1">
      <c r="A185" s="89"/>
      <c r="B185" s="182"/>
      <c r="C185" s="149"/>
      <c r="D185" s="95"/>
      <c r="E185" s="149"/>
      <c r="F185" s="149"/>
      <c r="G185" s="95"/>
      <c r="H185" s="149"/>
      <c r="I185" s="95"/>
      <c r="J185" s="95"/>
      <c r="K185" s="99"/>
      <c r="L185" s="99"/>
      <c r="M185" s="100"/>
      <c r="N185" s="127"/>
      <c r="O185" s="128"/>
      <c r="P185" s="95"/>
      <c r="Q185" s="137"/>
      <c r="R185" s="129"/>
      <c r="S185" s="95"/>
      <c r="T185" s="95"/>
      <c r="V185" s="107"/>
    </row>
    <row r="186" ht="15.75" customHeight="1">
      <c r="A186" s="89"/>
      <c r="B186" s="182"/>
      <c r="C186" s="149"/>
      <c r="D186" s="95"/>
      <c r="E186" s="149"/>
      <c r="F186" s="149"/>
      <c r="G186" s="95"/>
      <c r="H186" s="149"/>
      <c r="I186" s="95"/>
      <c r="J186" s="95"/>
      <c r="K186" s="113"/>
      <c r="L186" s="113"/>
      <c r="M186" s="100"/>
      <c r="N186" s="127"/>
      <c r="O186" s="128"/>
      <c r="P186" s="95"/>
      <c r="Q186" s="137"/>
      <c r="R186" s="129"/>
      <c r="S186" s="95"/>
      <c r="T186" s="95"/>
      <c r="V186" s="107"/>
    </row>
    <row r="187" ht="15.75" customHeight="1">
      <c r="A187" s="89"/>
      <c r="B187" s="182"/>
      <c r="C187" s="107"/>
      <c r="D187" s="95"/>
      <c r="E187" s="149"/>
      <c r="F187" s="149"/>
      <c r="G187" s="95"/>
      <c r="H187" s="149"/>
      <c r="I187" s="95"/>
      <c r="J187" s="95"/>
      <c r="K187" s="99"/>
      <c r="L187" s="99"/>
      <c r="M187" s="100"/>
      <c r="N187" s="127"/>
      <c r="O187" s="128"/>
      <c r="P187" s="95"/>
      <c r="Q187" s="137"/>
      <c r="R187" s="129"/>
      <c r="S187" s="95"/>
      <c r="T187" s="95"/>
      <c r="V187" s="107"/>
    </row>
    <row r="188" ht="15.75" customHeight="1">
      <c r="A188" s="89"/>
      <c r="B188" s="182"/>
      <c r="C188" s="149"/>
      <c r="D188" s="95"/>
      <c r="E188" s="149"/>
      <c r="F188" s="149"/>
      <c r="G188" s="95"/>
      <c r="H188" s="149"/>
      <c r="I188" s="95"/>
      <c r="J188" s="95"/>
      <c r="K188" s="113"/>
      <c r="L188" s="113"/>
      <c r="M188" s="100"/>
      <c r="N188" s="127"/>
      <c r="O188" s="128"/>
      <c r="P188" s="95"/>
      <c r="Q188" s="137"/>
      <c r="R188" s="129"/>
      <c r="S188" s="95"/>
      <c r="T188" s="95"/>
      <c r="V188" s="107"/>
    </row>
    <row r="189" ht="15.75" customHeight="1">
      <c r="A189" s="89"/>
      <c r="B189" s="182"/>
      <c r="C189" s="149"/>
      <c r="D189" s="95"/>
      <c r="E189" s="149"/>
      <c r="F189" s="149"/>
      <c r="G189" s="95"/>
      <c r="H189" s="149"/>
      <c r="I189" s="95"/>
      <c r="J189" s="95"/>
      <c r="K189" s="99"/>
      <c r="L189" s="99"/>
      <c r="M189" s="100"/>
      <c r="N189" s="127"/>
      <c r="O189" s="128"/>
      <c r="P189" s="95"/>
      <c r="Q189" s="137"/>
      <c r="R189" s="129"/>
      <c r="S189" s="95"/>
      <c r="T189" s="95"/>
      <c r="V189" s="107"/>
    </row>
    <row r="190" ht="15.75" customHeight="1">
      <c r="A190" s="89"/>
      <c r="B190" s="182"/>
      <c r="C190" s="149"/>
      <c r="D190" s="95"/>
      <c r="E190" s="149"/>
      <c r="F190" s="149"/>
      <c r="G190" s="95"/>
      <c r="H190" s="149"/>
      <c r="I190" s="95"/>
      <c r="J190" s="95"/>
      <c r="K190" s="113"/>
      <c r="L190" s="113"/>
      <c r="M190" s="100"/>
      <c r="N190" s="127"/>
      <c r="O190" s="128"/>
      <c r="P190" s="95"/>
      <c r="Q190" s="137"/>
      <c r="R190" s="129"/>
      <c r="S190" s="95"/>
      <c r="T190" s="95"/>
      <c r="V190" s="107"/>
    </row>
    <row r="191" ht="15.75" customHeight="1">
      <c r="A191" s="89"/>
      <c r="B191" s="182"/>
      <c r="C191" s="149"/>
      <c r="D191" s="95"/>
      <c r="E191" s="149"/>
      <c r="F191" s="149"/>
      <c r="G191" s="95"/>
      <c r="H191" s="149"/>
      <c r="I191" s="95"/>
      <c r="J191" s="95"/>
      <c r="K191" s="99"/>
      <c r="L191" s="99"/>
      <c r="M191" s="100"/>
      <c r="N191" s="127"/>
      <c r="O191" s="128"/>
      <c r="P191" s="95"/>
      <c r="Q191" s="137"/>
      <c r="R191" s="129"/>
      <c r="S191" s="95"/>
      <c r="T191" s="95"/>
      <c r="V191" s="107"/>
    </row>
    <row r="192" ht="15.75" customHeight="1">
      <c r="A192" s="89"/>
      <c r="B192" s="182"/>
      <c r="C192" s="149"/>
      <c r="D192" s="95"/>
      <c r="E192" s="149"/>
      <c r="F192" s="149"/>
      <c r="G192" s="95"/>
      <c r="H192" s="149"/>
      <c r="I192" s="95"/>
      <c r="J192" s="95"/>
      <c r="K192" s="113"/>
      <c r="L192" s="113"/>
      <c r="M192" s="100"/>
      <c r="N192" s="127"/>
      <c r="O192" s="128"/>
      <c r="P192" s="95"/>
      <c r="Q192" s="137"/>
      <c r="R192" s="129"/>
      <c r="S192" s="95"/>
      <c r="T192" s="95"/>
      <c r="V192" s="107"/>
    </row>
    <row r="193" ht="15.75" customHeight="1">
      <c r="A193" s="89"/>
      <c r="B193" s="182"/>
      <c r="C193" s="107"/>
      <c r="D193" s="95"/>
      <c r="E193" s="149"/>
      <c r="F193" s="149"/>
      <c r="G193" s="95"/>
      <c r="H193" s="149"/>
      <c r="I193" s="95"/>
      <c r="J193" s="95"/>
      <c r="K193" s="99"/>
      <c r="L193" s="99"/>
      <c r="M193" s="100"/>
      <c r="N193" s="127"/>
      <c r="O193" s="128"/>
      <c r="P193" s="95"/>
      <c r="Q193" s="137"/>
      <c r="R193" s="129"/>
      <c r="S193" s="95"/>
      <c r="T193" s="95"/>
      <c r="V193" s="107"/>
    </row>
    <row r="194" ht="15.75" customHeight="1">
      <c r="A194" s="89"/>
      <c r="B194" s="182"/>
      <c r="C194" s="149"/>
      <c r="D194" s="95"/>
      <c r="E194" s="149"/>
      <c r="F194" s="149"/>
      <c r="G194" s="95"/>
      <c r="H194" s="149"/>
      <c r="I194" s="95"/>
      <c r="J194" s="95"/>
      <c r="K194" s="113"/>
      <c r="L194" s="113"/>
      <c r="M194" s="100"/>
      <c r="N194" s="127"/>
      <c r="O194" s="128"/>
      <c r="P194" s="95"/>
      <c r="Q194" s="137"/>
      <c r="R194" s="129"/>
      <c r="S194" s="95"/>
      <c r="T194" s="95"/>
      <c r="V194" s="107"/>
    </row>
    <row r="195" ht="15.75" customHeight="1">
      <c r="A195" s="89"/>
      <c r="B195" s="182"/>
      <c r="C195" s="149"/>
      <c r="D195" s="95"/>
      <c r="E195" s="149"/>
      <c r="F195" s="149"/>
      <c r="G195" s="95"/>
      <c r="H195" s="149"/>
      <c r="I195" s="95"/>
      <c r="J195" s="95"/>
      <c r="K195" s="99"/>
      <c r="L195" s="99"/>
      <c r="M195" s="100"/>
      <c r="N195" s="127"/>
      <c r="O195" s="128"/>
      <c r="P195" s="95"/>
      <c r="Q195" s="137"/>
      <c r="R195" s="129"/>
      <c r="S195" s="95"/>
      <c r="T195" s="95"/>
      <c r="V195" s="107"/>
    </row>
    <row r="196" ht="15.75" customHeight="1">
      <c r="A196" s="89"/>
      <c r="B196" s="182"/>
      <c r="C196" s="149"/>
      <c r="D196" s="95"/>
      <c r="E196" s="149"/>
      <c r="F196" s="149"/>
      <c r="G196" s="95"/>
      <c r="H196" s="149"/>
      <c r="I196" s="95"/>
      <c r="J196" s="95"/>
      <c r="K196" s="113"/>
      <c r="L196" s="113"/>
      <c r="M196" s="100"/>
      <c r="N196" s="127"/>
      <c r="O196" s="128"/>
      <c r="P196" s="95"/>
      <c r="Q196" s="137"/>
      <c r="R196" s="129"/>
      <c r="S196" s="95"/>
      <c r="T196" s="95"/>
      <c r="V196" s="107"/>
    </row>
    <row r="197" ht="15.75" customHeight="1">
      <c r="A197" s="89"/>
      <c r="B197" s="182"/>
      <c r="C197" s="149"/>
      <c r="D197" s="95"/>
      <c r="E197" s="149"/>
      <c r="F197" s="149"/>
      <c r="G197" s="95"/>
      <c r="H197" s="149"/>
      <c r="I197" s="95"/>
      <c r="J197" s="95"/>
      <c r="K197" s="99"/>
      <c r="L197" s="99"/>
      <c r="M197" s="100"/>
      <c r="N197" s="127"/>
      <c r="O197" s="128"/>
      <c r="P197" s="95"/>
      <c r="Q197" s="137"/>
      <c r="R197" s="129"/>
      <c r="S197" s="95"/>
      <c r="T197" s="95"/>
      <c r="V197" s="107"/>
    </row>
    <row r="198" ht="15.75" customHeight="1">
      <c r="A198" s="89"/>
      <c r="B198" s="182"/>
      <c r="C198" s="149"/>
      <c r="D198" s="95"/>
      <c r="E198" s="149"/>
      <c r="F198" s="149"/>
      <c r="G198" s="95"/>
      <c r="H198" s="149"/>
      <c r="I198" s="95"/>
      <c r="J198" s="95"/>
      <c r="K198" s="113"/>
      <c r="L198" s="113"/>
      <c r="M198" s="100"/>
      <c r="N198" s="127"/>
      <c r="O198" s="128"/>
      <c r="P198" s="95"/>
      <c r="Q198" s="137"/>
      <c r="R198" s="129"/>
      <c r="S198" s="95"/>
      <c r="T198" s="95"/>
      <c r="V198" s="107"/>
    </row>
    <row r="199" ht="15.75" customHeight="1">
      <c r="A199" s="89"/>
      <c r="B199" s="182"/>
      <c r="C199" s="107"/>
      <c r="D199" s="95"/>
      <c r="E199" s="149"/>
      <c r="F199" s="149"/>
      <c r="G199" s="95"/>
      <c r="H199" s="149"/>
      <c r="I199" s="95"/>
      <c r="J199" s="95"/>
      <c r="K199" s="99"/>
      <c r="L199" s="99"/>
      <c r="M199" s="100"/>
      <c r="N199" s="127"/>
      <c r="O199" s="128"/>
      <c r="P199" s="95"/>
      <c r="Q199" s="137"/>
      <c r="R199" s="129"/>
      <c r="S199" s="95"/>
      <c r="T199" s="95"/>
      <c r="V199" s="107"/>
    </row>
    <row r="200" ht="15.75" customHeight="1">
      <c r="A200" s="89"/>
      <c r="B200" s="182"/>
      <c r="C200" s="149"/>
      <c r="D200" s="95"/>
      <c r="E200" s="149"/>
      <c r="F200" s="149"/>
      <c r="G200" s="95"/>
      <c r="H200" s="149"/>
      <c r="I200" s="95"/>
      <c r="J200" s="95"/>
      <c r="K200" s="113"/>
      <c r="L200" s="113"/>
      <c r="M200" s="100"/>
      <c r="N200" s="127"/>
      <c r="O200" s="128"/>
      <c r="P200" s="95"/>
      <c r="Q200" s="137"/>
      <c r="R200" s="129"/>
      <c r="S200" s="95"/>
      <c r="T200" s="95"/>
      <c r="V200" s="107"/>
    </row>
    <row r="201" ht="15.75" customHeight="1">
      <c r="A201" s="89"/>
      <c r="B201" s="182"/>
      <c r="C201" s="149"/>
      <c r="D201" s="95"/>
      <c r="E201" s="149"/>
      <c r="F201" s="149"/>
      <c r="G201" s="95"/>
      <c r="H201" s="149"/>
      <c r="I201" s="95"/>
      <c r="J201" s="95"/>
      <c r="K201" s="99"/>
      <c r="L201" s="99"/>
      <c r="M201" s="100"/>
      <c r="N201" s="127"/>
      <c r="O201" s="128"/>
      <c r="P201" s="95"/>
      <c r="Q201" s="137"/>
      <c r="R201" s="129"/>
      <c r="S201" s="95"/>
      <c r="T201" s="95"/>
      <c r="V201" s="107"/>
    </row>
    <row r="202" ht="15.75" customHeight="1">
      <c r="A202" s="89"/>
      <c r="B202" s="182"/>
      <c r="C202" s="149"/>
      <c r="D202" s="95"/>
      <c r="E202" s="149"/>
      <c r="F202" s="149"/>
      <c r="G202" s="95"/>
      <c r="H202" s="149"/>
      <c r="I202" s="95"/>
      <c r="J202" s="95"/>
      <c r="K202" s="113"/>
      <c r="L202" s="113"/>
      <c r="M202" s="100"/>
      <c r="N202" s="127"/>
      <c r="O202" s="128"/>
      <c r="P202" s="95"/>
      <c r="Q202" s="137"/>
      <c r="R202" s="129"/>
      <c r="S202" s="95"/>
      <c r="T202" s="95"/>
      <c r="V202" s="107"/>
    </row>
    <row r="203" ht="15.75" customHeight="1">
      <c r="A203" s="89"/>
      <c r="B203" s="182"/>
      <c r="C203" s="149"/>
      <c r="D203" s="95"/>
      <c r="E203" s="149"/>
      <c r="F203" s="149"/>
      <c r="G203" s="95"/>
      <c r="H203" s="149"/>
      <c r="I203" s="95"/>
      <c r="J203" s="95"/>
      <c r="K203" s="99"/>
      <c r="L203" s="99"/>
      <c r="M203" s="100"/>
      <c r="N203" s="127"/>
      <c r="O203" s="128"/>
      <c r="P203" s="95"/>
      <c r="Q203" s="137"/>
      <c r="R203" s="129"/>
      <c r="S203" s="95"/>
      <c r="T203" s="95"/>
      <c r="V203" s="107"/>
    </row>
    <row r="204" ht="15.75" customHeight="1">
      <c r="A204" s="89"/>
      <c r="B204" s="182"/>
      <c r="C204" s="149"/>
      <c r="D204" s="95"/>
      <c r="E204" s="149"/>
      <c r="F204" s="149"/>
      <c r="G204" s="95"/>
      <c r="H204" s="149"/>
      <c r="I204" s="95"/>
      <c r="J204" s="95"/>
      <c r="K204" s="113"/>
      <c r="L204" s="113"/>
      <c r="M204" s="100"/>
      <c r="N204" s="127"/>
      <c r="O204" s="128"/>
      <c r="P204" s="95"/>
      <c r="Q204" s="137"/>
      <c r="R204" s="129"/>
      <c r="S204" s="95"/>
      <c r="T204" s="95"/>
      <c r="V204" s="107"/>
    </row>
    <row r="205" ht="15.75" customHeight="1">
      <c r="A205" s="89"/>
      <c r="B205" s="182"/>
      <c r="C205" s="107"/>
      <c r="D205" s="95"/>
      <c r="E205" s="149"/>
      <c r="F205" s="149"/>
      <c r="G205" s="95"/>
      <c r="H205" s="149"/>
      <c r="I205" s="95"/>
      <c r="J205" s="95"/>
      <c r="K205" s="99"/>
      <c r="L205" s="99"/>
      <c r="M205" s="100"/>
      <c r="N205" s="127"/>
      <c r="O205" s="128"/>
      <c r="P205" s="95"/>
      <c r="Q205" s="137"/>
      <c r="R205" s="129"/>
      <c r="S205" s="95"/>
      <c r="T205" s="95"/>
      <c r="V205" s="107"/>
    </row>
    <row r="206" ht="15.75" customHeight="1">
      <c r="A206" s="89"/>
      <c r="B206" s="182"/>
      <c r="C206" s="149"/>
      <c r="D206" s="95"/>
      <c r="E206" s="149"/>
      <c r="F206" s="149"/>
      <c r="G206" s="95"/>
      <c r="H206" s="149"/>
      <c r="I206" s="95"/>
      <c r="J206" s="95"/>
      <c r="K206" s="113"/>
      <c r="L206" s="113"/>
      <c r="M206" s="100"/>
      <c r="N206" s="127"/>
      <c r="O206" s="128"/>
      <c r="P206" s="95"/>
      <c r="Q206" s="137"/>
      <c r="R206" s="129"/>
      <c r="S206" s="95"/>
      <c r="T206" s="95"/>
      <c r="V206" s="107"/>
    </row>
    <row r="207" ht="15.75" customHeight="1">
      <c r="A207" s="89"/>
      <c r="B207" s="182"/>
      <c r="C207" s="149"/>
      <c r="D207" s="95"/>
      <c r="E207" s="149"/>
      <c r="F207" s="149"/>
      <c r="G207" s="95"/>
      <c r="H207" s="149"/>
      <c r="I207" s="95"/>
      <c r="J207" s="95"/>
      <c r="K207" s="99"/>
      <c r="L207" s="99"/>
      <c r="M207" s="100"/>
      <c r="N207" s="127"/>
      <c r="O207" s="128"/>
      <c r="P207" s="95"/>
      <c r="Q207" s="137"/>
      <c r="R207" s="129"/>
      <c r="S207" s="95"/>
      <c r="T207" s="95"/>
      <c r="V207" s="107"/>
    </row>
    <row r="208" ht="15.75" customHeight="1">
      <c r="A208" s="89"/>
      <c r="B208" s="182"/>
      <c r="C208" s="149"/>
      <c r="D208" s="95"/>
      <c r="E208" s="149"/>
      <c r="F208" s="149"/>
      <c r="G208" s="95"/>
      <c r="H208" s="149"/>
      <c r="I208" s="95"/>
      <c r="J208" s="95"/>
      <c r="K208" s="113"/>
      <c r="L208" s="113"/>
      <c r="M208" s="100"/>
      <c r="N208" s="127"/>
      <c r="O208" s="128"/>
      <c r="P208" s="95"/>
      <c r="Q208" s="137"/>
      <c r="R208" s="129"/>
      <c r="S208" s="95"/>
      <c r="T208" s="95"/>
      <c r="V208" s="107"/>
    </row>
    <row r="209" ht="15.75" customHeight="1">
      <c r="A209" s="89"/>
      <c r="B209" s="182"/>
      <c r="C209" s="149"/>
      <c r="D209" s="95"/>
      <c r="E209" s="149"/>
      <c r="F209" s="149"/>
      <c r="G209" s="95"/>
      <c r="H209" s="149"/>
      <c r="I209" s="95"/>
      <c r="J209" s="95"/>
      <c r="K209" s="99"/>
      <c r="L209" s="99"/>
      <c r="M209" s="100"/>
      <c r="N209" s="127"/>
      <c r="O209" s="128"/>
      <c r="P209" s="95"/>
      <c r="Q209" s="137"/>
      <c r="R209" s="129"/>
      <c r="S209" s="95"/>
      <c r="T209" s="95"/>
      <c r="V209" s="107"/>
    </row>
    <row r="210" ht="15.75" customHeight="1">
      <c r="A210" s="89"/>
      <c r="B210" s="182"/>
      <c r="C210" s="149"/>
      <c r="D210" s="95"/>
      <c r="E210" s="149"/>
      <c r="F210" s="149"/>
      <c r="G210" s="95"/>
      <c r="H210" s="149"/>
      <c r="I210" s="95"/>
      <c r="J210" s="95"/>
      <c r="K210" s="113"/>
      <c r="L210" s="113"/>
      <c r="M210" s="100"/>
      <c r="N210" s="127"/>
      <c r="O210" s="128"/>
      <c r="P210" s="95"/>
      <c r="Q210" s="137"/>
      <c r="R210" s="129"/>
      <c r="S210" s="95"/>
      <c r="T210" s="95"/>
      <c r="V210" s="107"/>
    </row>
    <row r="211" ht="15.75" customHeight="1">
      <c r="A211" s="89"/>
      <c r="B211" s="182"/>
      <c r="C211" s="107"/>
      <c r="D211" s="95"/>
      <c r="E211" s="149"/>
      <c r="F211" s="149"/>
      <c r="G211" s="95"/>
      <c r="H211" s="149"/>
      <c r="I211" s="95"/>
      <c r="J211" s="95"/>
      <c r="K211" s="99"/>
      <c r="L211" s="99"/>
      <c r="M211" s="100"/>
      <c r="N211" s="127"/>
      <c r="O211" s="128"/>
      <c r="P211" s="95"/>
      <c r="Q211" s="137"/>
      <c r="R211" s="129"/>
      <c r="S211" s="95"/>
      <c r="T211" s="95"/>
      <c r="V211" s="107"/>
    </row>
    <row r="212" ht="15.75" customHeight="1">
      <c r="A212" s="89"/>
      <c r="B212" s="182"/>
      <c r="C212" s="149"/>
      <c r="D212" s="95"/>
      <c r="E212" s="149"/>
      <c r="F212" s="149"/>
      <c r="G212" s="95"/>
      <c r="H212" s="149"/>
      <c r="I212" s="95"/>
      <c r="J212" s="95"/>
      <c r="K212" s="113"/>
      <c r="L212" s="113"/>
      <c r="M212" s="100"/>
      <c r="N212" s="127"/>
      <c r="O212" s="128"/>
      <c r="P212" s="95"/>
      <c r="Q212" s="137"/>
      <c r="R212" s="129"/>
      <c r="S212" s="95"/>
      <c r="T212" s="95"/>
      <c r="V212" s="107"/>
    </row>
    <row r="213" ht="15.75" customHeight="1">
      <c r="A213" s="89"/>
      <c r="B213" s="182"/>
      <c r="C213" s="149"/>
      <c r="D213" s="95"/>
      <c r="E213" s="149"/>
      <c r="F213" s="149"/>
      <c r="G213" s="95"/>
      <c r="H213" s="149"/>
      <c r="I213" s="95"/>
      <c r="J213" s="95"/>
      <c r="K213" s="99"/>
      <c r="L213" s="99"/>
      <c r="M213" s="100"/>
      <c r="N213" s="127"/>
      <c r="O213" s="128"/>
      <c r="P213" s="95"/>
      <c r="Q213" s="137"/>
      <c r="R213" s="129"/>
      <c r="S213" s="95"/>
      <c r="T213" s="95"/>
      <c r="V213" s="107"/>
    </row>
    <row r="214" ht="15.75" customHeight="1">
      <c r="A214" s="89"/>
      <c r="B214" s="182"/>
      <c r="C214" s="149"/>
      <c r="D214" s="95"/>
      <c r="E214" s="149"/>
      <c r="F214" s="149"/>
      <c r="G214" s="95"/>
      <c r="H214" s="149"/>
      <c r="I214" s="95"/>
      <c r="J214" s="95"/>
      <c r="K214" s="113"/>
      <c r="L214" s="113"/>
      <c r="M214" s="100"/>
      <c r="N214" s="127"/>
      <c r="O214" s="128"/>
      <c r="P214" s="95"/>
      <c r="Q214" s="137"/>
      <c r="R214" s="129"/>
      <c r="S214" s="95"/>
      <c r="T214" s="95"/>
      <c r="V214" s="107"/>
    </row>
    <row r="215" ht="15.75" customHeight="1">
      <c r="A215" s="89"/>
      <c r="B215" s="182"/>
      <c r="C215" s="149"/>
      <c r="D215" s="95"/>
      <c r="E215" s="149"/>
      <c r="F215" s="149"/>
      <c r="G215" s="95"/>
      <c r="H215" s="149"/>
      <c r="I215" s="95"/>
      <c r="J215" s="95"/>
      <c r="K215" s="99"/>
      <c r="L215" s="99"/>
      <c r="M215" s="100"/>
      <c r="N215" s="127"/>
      <c r="O215" s="128"/>
      <c r="P215" s="95"/>
      <c r="Q215" s="137"/>
      <c r="R215" s="129"/>
      <c r="S215" s="95"/>
      <c r="T215" s="95"/>
      <c r="V215" s="107"/>
    </row>
    <row r="216" ht="15.75" customHeight="1">
      <c r="A216" s="89"/>
      <c r="B216" s="182"/>
      <c r="C216" s="149"/>
      <c r="D216" s="95"/>
      <c r="E216" s="149"/>
      <c r="F216" s="149"/>
      <c r="G216" s="95"/>
      <c r="H216" s="149"/>
      <c r="I216" s="95"/>
      <c r="J216" s="95"/>
      <c r="K216" s="113"/>
      <c r="L216" s="113"/>
      <c r="M216" s="100"/>
      <c r="N216" s="127"/>
      <c r="O216" s="128"/>
      <c r="P216" s="95"/>
      <c r="Q216" s="137"/>
      <c r="R216" s="129"/>
      <c r="S216" s="95"/>
      <c r="T216" s="95"/>
      <c r="V216" s="107"/>
    </row>
    <row r="217" ht="15.75" customHeight="1">
      <c r="A217" s="89"/>
      <c r="B217" s="182"/>
      <c r="C217" s="107"/>
      <c r="D217" s="95"/>
      <c r="E217" s="149"/>
      <c r="F217" s="149"/>
      <c r="G217" s="95"/>
      <c r="H217" s="149"/>
      <c r="I217" s="95"/>
      <c r="J217" s="95"/>
      <c r="K217" s="99"/>
      <c r="L217" s="99"/>
      <c r="M217" s="100"/>
      <c r="N217" s="127"/>
      <c r="O217" s="128"/>
      <c r="P217" s="95"/>
      <c r="Q217" s="137"/>
      <c r="R217" s="129"/>
      <c r="S217" s="95"/>
      <c r="T217" s="95"/>
      <c r="V217" s="107"/>
    </row>
    <row r="218" ht="15.75" customHeight="1">
      <c r="A218" s="89"/>
      <c r="B218" s="182"/>
      <c r="C218" s="149"/>
      <c r="D218" s="95"/>
      <c r="E218" s="149"/>
      <c r="F218" s="149"/>
      <c r="G218" s="95"/>
      <c r="H218" s="149"/>
      <c r="I218" s="95"/>
      <c r="J218" s="95"/>
      <c r="K218" s="113"/>
      <c r="L218" s="113"/>
      <c r="M218" s="100"/>
      <c r="N218" s="127"/>
      <c r="O218" s="128"/>
      <c r="P218" s="95"/>
      <c r="Q218" s="137"/>
      <c r="R218" s="129"/>
      <c r="S218" s="95"/>
      <c r="T218" s="95"/>
      <c r="V218" s="107"/>
    </row>
    <row r="219" ht="15.75" customHeight="1">
      <c r="A219" s="89"/>
      <c r="B219" s="182"/>
      <c r="C219" s="149"/>
      <c r="D219" s="95"/>
      <c r="E219" s="149"/>
      <c r="F219" s="149"/>
      <c r="G219" s="95"/>
      <c r="H219" s="149"/>
      <c r="I219" s="95"/>
      <c r="J219" s="95"/>
      <c r="K219" s="99"/>
      <c r="L219" s="99"/>
      <c r="M219" s="100"/>
      <c r="N219" s="127"/>
      <c r="O219" s="128"/>
      <c r="P219" s="95"/>
      <c r="Q219" s="137"/>
      <c r="R219" s="129"/>
      <c r="S219" s="95"/>
      <c r="T219" s="95"/>
      <c r="V219" s="107"/>
    </row>
    <row r="220" ht="15.75" customHeight="1">
      <c r="A220" s="89"/>
      <c r="B220" s="182"/>
      <c r="C220" s="149"/>
      <c r="D220" s="95"/>
      <c r="E220" s="149"/>
      <c r="F220" s="149"/>
      <c r="G220" s="95"/>
      <c r="H220" s="149"/>
      <c r="I220" s="95"/>
      <c r="J220" s="95"/>
      <c r="K220" s="113"/>
      <c r="L220" s="113"/>
      <c r="M220" s="100"/>
      <c r="N220" s="127"/>
      <c r="O220" s="128"/>
      <c r="P220" s="95"/>
      <c r="Q220" s="137"/>
      <c r="R220" s="129"/>
      <c r="S220" s="95"/>
      <c r="T220" s="95"/>
      <c r="V220" s="107"/>
    </row>
    <row r="221" ht="15.75" customHeight="1">
      <c r="A221" s="89"/>
      <c r="B221" s="182"/>
      <c r="C221" s="149"/>
      <c r="D221" s="95"/>
      <c r="E221" s="149"/>
      <c r="F221" s="149"/>
      <c r="G221" s="95"/>
      <c r="H221" s="149"/>
      <c r="I221" s="95"/>
      <c r="J221" s="95"/>
      <c r="K221" s="99"/>
      <c r="L221" s="99"/>
      <c r="M221" s="100"/>
      <c r="N221" s="127"/>
      <c r="O221" s="128"/>
      <c r="P221" s="95"/>
      <c r="Q221" s="137"/>
      <c r="R221" s="129"/>
      <c r="S221" s="95"/>
      <c r="T221" s="95"/>
      <c r="V221" s="107"/>
    </row>
    <row r="222" ht="15.75" customHeight="1">
      <c r="A222" s="89"/>
      <c r="B222" s="182"/>
      <c r="C222" s="149"/>
      <c r="D222" s="95"/>
      <c r="E222" s="149"/>
      <c r="F222" s="149"/>
      <c r="G222" s="95"/>
      <c r="H222" s="149"/>
      <c r="I222" s="95"/>
      <c r="J222" s="95"/>
      <c r="K222" s="113"/>
      <c r="L222" s="113"/>
      <c r="M222" s="100"/>
      <c r="N222" s="127"/>
      <c r="O222" s="128"/>
      <c r="P222" s="95"/>
      <c r="Q222" s="137"/>
      <c r="R222" s="129"/>
      <c r="S222" s="95"/>
      <c r="T222" s="95"/>
      <c r="V222" s="107"/>
    </row>
    <row r="223" ht="15.75" customHeight="1">
      <c r="A223" s="89"/>
      <c r="B223" s="182"/>
      <c r="C223" s="107"/>
      <c r="D223" s="95"/>
      <c r="E223" s="149"/>
      <c r="F223" s="149"/>
      <c r="G223" s="95"/>
      <c r="H223" s="149"/>
      <c r="I223" s="95"/>
      <c r="J223" s="95"/>
      <c r="K223" s="99"/>
      <c r="L223" s="99"/>
      <c r="M223" s="100"/>
      <c r="N223" s="127"/>
      <c r="O223" s="128"/>
      <c r="P223" s="95"/>
      <c r="Q223" s="137"/>
      <c r="R223" s="129"/>
      <c r="S223" s="95"/>
      <c r="T223" s="95"/>
      <c r="V223" s="107"/>
    </row>
    <row r="224" ht="15.75" customHeight="1">
      <c r="A224" s="89"/>
      <c r="B224" s="182"/>
      <c r="C224" s="149"/>
      <c r="D224" s="95"/>
      <c r="E224" s="149"/>
      <c r="F224" s="149"/>
      <c r="G224" s="95"/>
      <c r="H224" s="149"/>
      <c r="I224" s="95"/>
      <c r="J224" s="95"/>
      <c r="K224" s="113"/>
      <c r="L224" s="113"/>
      <c r="M224" s="100"/>
      <c r="N224" s="127"/>
      <c r="O224" s="128"/>
      <c r="P224" s="95"/>
      <c r="Q224" s="137"/>
      <c r="R224" s="129"/>
      <c r="S224" s="95"/>
      <c r="T224" s="95"/>
      <c r="V224" s="107"/>
    </row>
    <row r="225" ht="15.75" customHeight="1">
      <c r="A225" s="89"/>
      <c r="B225" s="182"/>
      <c r="C225" s="149"/>
      <c r="D225" s="95"/>
      <c r="E225" s="149"/>
      <c r="F225" s="149"/>
      <c r="G225" s="95"/>
      <c r="H225" s="149"/>
      <c r="I225" s="95"/>
      <c r="J225" s="95"/>
      <c r="K225" s="99"/>
      <c r="L225" s="99"/>
      <c r="M225" s="100"/>
      <c r="N225" s="127"/>
      <c r="O225" s="128"/>
      <c r="P225" s="95"/>
      <c r="Q225" s="137"/>
      <c r="R225" s="129"/>
      <c r="S225" s="95"/>
      <c r="T225" s="95"/>
      <c r="V225" s="107"/>
    </row>
    <row r="226" ht="15.75" customHeight="1">
      <c r="A226" s="89"/>
      <c r="B226" s="182"/>
      <c r="C226" s="149"/>
      <c r="D226" s="95"/>
      <c r="E226" s="149"/>
      <c r="F226" s="149"/>
      <c r="G226" s="95"/>
      <c r="H226" s="149"/>
      <c r="I226" s="95"/>
      <c r="J226" s="95"/>
      <c r="K226" s="113"/>
      <c r="L226" s="113"/>
      <c r="M226" s="100"/>
      <c r="N226" s="127"/>
      <c r="O226" s="128"/>
      <c r="P226" s="95"/>
      <c r="Q226" s="137"/>
      <c r="R226" s="129"/>
      <c r="S226" s="95"/>
      <c r="T226" s="95"/>
      <c r="V226" s="107"/>
    </row>
    <row r="227" ht="15.75" customHeight="1">
      <c r="A227" s="89"/>
      <c r="B227" s="182"/>
      <c r="C227" s="149"/>
      <c r="D227" s="95"/>
      <c r="E227" s="149"/>
      <c r="F227" s="149"/>
      <c r="G227" s="95"/>
      <c r="H227" s="149"/>
      <c r="I227" s="95"/>
      <c r="J227" s="95"/>
      <c r="K227" s="99"/>
      <c r="L227" s="99"/>
      <c r="M227" s="100"/>
      <c r="N227" s="127"/>
      <c r="O227" s="128"/>
      <c r="P227" s="95"/>
      <c r="Q227" s="137"/>
      <c r="R227" s="129"/>
      <c r="S227" s="95"/>
      <c r="T227" s="95"/>
      <c r="V227" s="107"/>
    </row>
    <row r="228" ht="15.75" customHeight="1">
      <c r="A228" s="89"/>
      <c r="B228" s="182"/>
      <c r="C228" s="149"/>
      <c r="D228" s="95"/>
      <c r="E228" s="149"/>
      <c r="F228" s="149"/>
      <c r="G228" s="95"/>
      <c r="H228" s="149"/>
      <c r="I228" s="95"/>
      <c r="J228" s="95"/>
      <c r="K228" s="113"/>
      <c r="L228" s="113"/>
      <c r="M228" s="100"/>
      <c r="N228" s="127"/>
      <c r="O228" s="128"/>
      <c r="P228" s="95"/>
      <c r="Q228" s="137"/>
      <c r="R228" s="129"/>
      <c r="S228" s="95"/>
      <c r="T228" s="95"/>
      <c r="V228" s="107"/>
    </row>
    <row r="229" ht="15.75" customHeight="1">
      <c r="A229" s="89"/>
      <c r="B229" s="182"/>
      <c r="C229" s="107"/>
      <c r="D229" s="95"/>
      <c r="E229" s="149"/>
      <c r="F229" s="149"/>
      <c r="G229" s="95"/>
      <c r="H229" s="149"/>
      <c r="I229" s="95"/>
      <c r="J229" s="95"/>
      <c r="K229" s="99"/>
      <c r="L229" s="99"/>
      <c r="M229" s="100"/>
      <c r="N229" s="127"/>
      <c r="O229" s="128"/>
      <c r="P229" s="95"/>
      <c r="Q229" s="137"/>
      <c r="R229" s="129"/>
      <c r="S229" s="95"/>
      <c r="T229" s="95"/>
      <c r="V229" s="107"/>
    </row>
    <row r="230" ht="15.75" customHeight="1">
      <c r="A230" s="89"/>
      <c r="B230" s="182"/>
      <c r="C230" s="149"/>
      <c r="D230" s="95"/>
      <c r="E230" s="149"/>
      <c r="F230" s="149"/>
      <c r="G230" s="95"/>
      <c r="H230" s="149"/>
      <c r="I230" s="95"/>
      <c r="J230" s="95"/>
      <c r="K230" s="113"/>
      <c r="L230" s="113"/>
      <c r="M230" s="100"/>
      <c r="N230" s="127"/>
      <c r="O230" s="128"/>
      <c r="P230" s="95"/>
      <c r="Q230" s="137"/>
      <c r="R230" s="129"/>
      <c r="S230" s="95"/>
      <c r="T230" s="95"/>
      <c r="V230" s="107"/>
    </row>
    <row r="231" ht="15.75" customHeight="1">
      <c r="A231" s="89"/>
      <c r="B231" s="182"/>
      <c r="C231" s="149"/>
      <c r="D231" s="95"/>
      <c r="E231" s="149"/>
      <c r="F231" s="149"/>
      <c r="G231" s="95"/>
      <c r="H231" s="149"/>
      <c r="I231" s="95"/>
      <c r="J231" s="95"/>
      <c r="K231" s="99"/>
      <c r="L231" s="99"/>
      <c r="M231" s="100"/>
      <c r="N231" s="127"/>
      <c r="O231" s="128"/>
      <c r="P231" s="95"/>
      <c r="Q231" s="137"/>
      <c r="R231" s="129"/>
      <c r="S231" s="95"/>
      <c r="T231" s="95"/>
      <c r="V231" s="107"/>
    </row>
    <row r="232" ht="15.75" customHeight="1">
      <c r="A232" s="89"/>
      <c r="B232" s="182"/>
      <c r="C232" s="149"/>
      <c r="D232" s="95"/>
      <c r="E232" s="149"/>
      <c r="F232" s="149"/>
      <c r="G232" s="95"/>
      <c r="H232" s="149"/>
      <c r="I232" s="95"/>
      <c r="J232" s="95"/>
      <c r="K232" s="113"/>
      <c r="L232" s="113"/>
      <c r="M232" s="100"/>
      <c r="N232" s="127"/>
      <c r="O232" s="128"/>
      <c r="P232" s="95"/>
      <c r="Q232" s="137"/>
      <c r="R232" s="129"/>
      <c r="S232" s="95"/>
      <c r="T232" s="95"/>
      <c r="V232" s="107"/>
    </row>
    <row r="233" ht="15.75" customHeight="1">
      <c r="A233" s="89"/>
      <c r="B233" s="182"/>
      <c r="C233" s="149"/>
      <c r="D233" s="95"/>
      <c r="E233" s="149"/>
      <c r="F233" s="149"/>
      <c r="G233" s="95"/>
      <c r="H233" s="149"/>
      <c r="I233" s="95"/>
      <c r="J233" s="95"/>
      <c r="K233" s="99"/>
      <c r="L233" s="99"/>
      <c r="M233" s="100"/>
      <c r="N233" s="127"/>
      <c r="O233" s="128"/>
      <c r="P233" s="95"/>
      <c r="Q233" s="137"/>
      <c r="R233" s="129"/>
      <c r="S233" s="95"/>
      <c r="T233" s="95"/>
      <c r="V233" s="107"/>
    </row>
    <row r="234" ht="15.75" customHeight="1">
      <c r="A234" s="89"/>
      <c r="B234" s="182"/>
      <c r="C234" s="149"/>
      <c r="D234" s="95"/>
      <c r="E234" s="149"/>
      <c r="F234" s="149"/>
      <c r="G234" s="95"/>
      <c r="H234" s="149"/>
      <c r="I234" s="95"/>
      <c r="J234" s="95"/>
      <c r="K234" s="113"/>
      <c r="L234" s="113"/>
      <c r="M234" s="100"/>
      <c r="N234" s="127"/>
      <c r="O234" s="128"/>
      <c r="P234" s="95"/>
      <c r="Q234" s="137"/>
      <c r="R234" s="129"/>
      <c r="S234" s="95"/>
      <c r="T234" s="95"/>
      <c r="V234" s="107"/>
    </row>
    <row r="235" ht="15.75" customHeight="1">
      <c r="A235" s="89"/>
      <c r="B235" s="182"/>
      <c r="C235" s="107"/>
      <c r="D235" s="95"/>
      <c r="E235" s="149"/>
      <c r="F235" s="149"/>
      <c r="G235" s="95"/>
      <c r="H235" s="149"/>
      <c r="I235" s="95"/>
      <c r="J235" s="95"/>
      <c r="K235" s="99"/>
      <c r="L235" s="99"/>
      <c r="M235" s="100"/>
      <c r="N235" s="127"/>
      <c r="O235" s="128"/>
      <c r="P235" s="95"/>
      <c r="Q235" s="137"/>
      <c r="R235" s="129"/>
      <c r="S235" s="95"/>
      <c r="T235" s="95"/>
      <c r="V235" s="107"/>
    </row>
    <row r="236" ht="15.75" customHeight="1">
      <c r="A236" s="89"/>
      <c r="B236" s="182"/>
      <c r="C236" s="149"/>
      <c r="D236" s="95"/>
      <c r="E236" s="149"/>
      <c r="F236" s="149"/>
      <c r="G236" s="95"/>
      <c r="H236" s="149"/>
      <c r="I236" s="95"/>
      <c r="J236" s="95"/>
      <c r="K236" s="113"/>
      <c r="L236" s="113"/>
      <c r="M236" s="100"/>
      <c r="N236" s="127"/>
      <c r="O236" s="128"/>
      <c r="P236" s="95"/>
      <c r="Q236" s="137"/>
      <c r="R236" s="129"/>
      <c r="S236" s="95"/>
      <c r="T236" s="95"/>
      <c r="V236" s="107"/>
    </row>
    <row r="237" ht="15.75" customHeight="1">
      <c r="A237" s="89"/>
      <c r="B237" s="182"/>
      <c r="C237" s="149"/>
      <c r="D237" s="95"/>
      <c r="E237" s="149"/>
      <c r="F237" s="149"/>
      <c r="G237" s="95"/>
      <c r="H237" s="149"/>
      <c r="I237" s="95"/>
      <c r="J237" s="95"/>
      <c r="K237" s="99"/>
      <c r="L237" s="99"/>
      <c r="M237" s="100"/>
      <c r="N237" s="127"/>
      <c r="O237" s="128"/>
      <c r="P237" s="95"/>
      <c r="Q237" s="137"/>
      <c r="R237" s="129"/>
      <c r="S237" s="95"/>
      <c r="T237" s="95"/>
      <c r="V237" s="107"/>
    </row>
    <row r="238" ht="15.75" customHeight="1">
      <c r="A238" s="89"/>
      <c r="B238" s="182"/>
      <c r="C238" s="149"/>
      <c r="D238" s="95"/>
      <c r="E238" s="149"/>
      <c r="F238" s="149"/>
      <c r="G238" s="95"/>
      <c r="H238" s="149"/>
      <c r="I238" s="95"/>
      <c r="J238" s="95"/>
      <c r="K238" s="113"/>
      <c r="L238" s="113"/>
      <c r="M238" s="100"/>
      <c r="N238" s="127"/>
      <c r="O238" s="128"/>
      <c r="P238" s="95"/>
      <c r="Q238" s="137"/>
      <c r="R238" s="129"/>
      <c r="S238" s="95"/>
      <c r="T238" s="95"/>
      <c r="V238" s="107"/>
    </row>
    <row r="239" ht="15.75" customHeight="1">
      <c r="A239" s="89"/>
      <c r="B239" s="182"/>
      <c r="C239" s="149"/>
      <c r="D239" s="95"/>
      <c r="E239" s="149"/>
      <c r="F239" s="149"/>
      <c r="G239" s="95"/>
      <c r="H239" s="149"/>
      <c r="I239" s="95"/>
      <c r="J239" s="95"/>
      <c r="K239" s="99"/>
      <c r="L239" s="99"/>
      <c r="M239" s="100"/>
      <c r="N239" s="127"/>
      <c r="O239" s="128"/>
      <c r="P239" s="95"/>
      <c r="Q239" s="137"/>
      <c r="R239" s="129"/>
      <c r="S239" s="95"/>
      <c r="T239" s="95"/>
      <c r="V239" s="107"/>
    </row>
    <row r="240" ht="15.75" customHeight="1">
      <c r="A240" s="89"/>
      <c r="B240" s="182"/>
      <c r="C240" s="149"/>
      <c r="D240" s="95"/>
      <c r="E240" s="149"/>
      <c r="F240" s="149"/>
      <c r="G240" s="95"/>
      <c r="H240" s="149"/>
      <c r="I240" s="95"/>
      <c r="J240" s="95"/>
      <c r="K240" s="113"/>
      <c r="L240" s="113"/>
      <c r="M240" s="100"/>
      <c r="N240" s="127"/>
      <c r="O240" s="128"/>
      <c r="P240" s="95"/>
      <c r="Q240" s="137"/>
      <c r="R240" s="129"/>
      <c r="S240" s="95"/>
      <c r="T240" s="95"/>
      <c r="V240" s="107"/>
    </row>
    <row r="241" ht="15.75" customHeight="1">
      <c r="A241" s="89"/>
      <c r="B241" s="182"/>
      <c r="C241" s="107"/>
      <c r="D241" s="95"/>
      <c r="E241" s="149"/>
      <c r="F241" s="149"/>
      <c r="G241" s="95"/>
      <c r="H241" s="149"/>
      <c r="I241" s="95"/>
      <c r="J241" s="95"/>
      <c r="K241" s="99"/>
      <c r="L241" s="99"/>
      <c r="M241" s="100"/>
      <c r="N241" s="127"/>
      <c r="O241" s="128"/>
      <c r="P241" s="95"/>
      <c r="Q241" s="137"/>
      <c r="R241" s="129"/>
      <c r="S241" s="95"/>
      <c r="T241" s="95"/>
      <c r="V241" s="107"/>
    </row>
    <row r="242" ht="15.75" customHeight="1">
      <c r="A242" s="89"/>
      <c r="B242" s="182"/>
      <c r="C242" s="149"/>
      <c r="D242" s="95"/>
      <c r="E242" s="149"/>
      <c r="F242" s="149"/>
      <c r="G242" s="95"/>
      <c r="H242" s="149"/>
      <c r="I242" s="95"/>
      <c r="J242" s="95"/>
      <c r="K242" s="113"/>
      <c r="L242" s="113"/>
      <c r="M242" s="100"/>
      <c r="N242" s="127"/>
      <c r="O242" s="128"/>
      <c r="P242" s="95"/>
      <c r="Q242" s="137"/>
      <c r="R242" s="129"/>
      <c r="S242" s="95"/>
      <c r="T242" s="95"/>
      <c r="V242" s="107"/>
    </row>
    <row r="243" ht="15.75" customHeight="1">
      <c r="A243" s="89"/>
      <c r="B243" s="182"/>
      <c r="C243" s="149"/>
      <c r="D243" s="95"/>
      <c r="E243" s="149"/>
      <c r="F243" s="149"/>
      <c r="G243" s="95"/>
      <c r="H243" s="149"/>
      <c r="I243" s="95"/>
      <c r="J243" s="95"/>
      <c r="K243" s="99"/>
      <c r="L243" s="99"/>
      <c r="M243" s="100"/>
      <c r="N243" s="127"/>
      <c r="O243" s="128"/>
      <c r="P243" s="95"/>
      <c r="Q243" s="137"/>
      <c r="R243" s="129"/>
      <c r="S243" s="95"/>
      <c r="T243" s="95"/>
      <c r="V243" s="107"/>
    </row>
    <row r="244" ht="15.75" customHeight="1">
      <c r="A244" s="89"/>
      <c r="B244" s="182"/>
      <c r="C244" s="149"/>
      <c r="D244" s="95"/>
      <c r="E244" s="149"/>
      <c r="F244" s="149"/>
      <c r="G244" s="95"/>
      <c r="H244" s="149"/>
      <c r="I244" s="95"/>
      <c r="J244" s="95"/>
      <c r="K244" s="154"/>
      <c r="L244" s="154"/>
      <c r="M244" s="100"/>
      <c r="N244" s="127"/>
      <c r="O244" s="128"/>
      <c r="P244" s="95"/>
      <c r="Q244" s="137"/>
      <c r="R244" s="129"/>
      <c r="S244" s="95"/>
      <c r="T244" s="95"/>
      <c r="V244" s="107"/>
    </row>
    <row r="245" ht="15.75" customHeight="1">
      <c r="A245" s="89"/>
      <c r="B245" s="182"/>
      <c r="C245" s="149"/>
      <c r="D245" s="95"/>
      <c r="E245" s="149"/>
      <c r="F245" s="149"/>
      <c r="G245" s="95"/>
      <c r="H245" s="149"/>
      <c r="I245" s="95"/>
      <c r="J245" s="95"/>
      <c r="K245" s="156"/>
      <c r="L245" s="156"/>
      <c r="M245" s="100"/>
      <c r="N245" s="127"/>
      <c r="O245" s="128"/>
      <c r="P245" s="95"/>
      <c r="Q245" s="137"/>
      <c r="R245" s="129"/>
      <c r="S245" s="95"/>
      <c r="T245" s="95"/>
      <c r="V245" s="107"/>
    </row>
    <row r="246" ht="15.75" customHeight="1">
      <c r="A246" s="89"/>
      <c r="B246" s="182"/>
      <c r="C246" s="149"/>
      <c r="D246" s="95"/>
      <c r="E246" s="149"/>
      <c r="F246" s="149"/>
      <c r="G246" s="95"/>
      <c r="H246" s="149"/>
      <c r="I246" s="95"/>
      <c r="J246" s="95"/>
      <c r="K246" s="154"/>
      <c r="L246" s="154"/>
      <c r="M246" s="100"/>
      <c r="N246" s="127"/>
      <c r="O246" s="128"/>
      <c r="P246" s="95"/>
      <c r="Q246" s="137"/>
      <c r="R246" s="129"/>
      <c r="S246" s="95"/>
      <c r="T246" s="95"/>
      <c r="V246" s="107"/>
    </row>
    <row r="247" ht="15.75" customHeight="1">
      <c r="A247" s="89"/>
      <c r="B247" s="182"/>
      <c r="C247" s="107"/>
      <c r="D247" s="95"/>
      <c r="E247" s="149"/>
      <c r="F247" s="149"/>
      <c r="G247" s="95"/>
      <c r="H247" s="149"/>
      <c r="I247" s="95"/>
      <c r="J247" s="95"/>
      <c r="K247" s="156"/>
      <c r="L247" s="156"/>
      <c r="M247" s="100"/>
      <c r="N247" s="127"/>
      <c r="O247" s="128"/>
      <c r="P247" s="95"/>
      <c r="Q247" s="137"/>
      <c r="R247" s="129"/>
      <c r="S247" s="95"/>
      <c r="T247" s="95"/>
      <c r="V247" s="107"/>
    </row>
    <row r="248" ht="15.75" customHeight="1">
      <c r="A248" s="89"/>
      <c r="B248" s="182"/>
      <c r="C248" s="149"/>
      <c r="D248" s="95"/>
      <c r="E248" s="149"/>
      <c r="F248" s="149"/>
      <c r="G248" s="95"/>
      <c r="H248" s="149"/>
      <c r="I248" s="95"/>
      <c r="J248" s="95"/>
      <c r="K248" s="154"/>
      <c r="L248" s="154"/>
      <c r="M248" s="100"/>
      <c r="N248" s="127"/>
      <c r="O248" s="128"/>
      <c r="P248" s="95"/>
      <c r="Q248" s="137"/>
      <c r="R248" s="129"/>
      <c r="S248" s="95"/>
      <c r="T248" s="95"/>
      <c r="V248" s="107"/>
    </row>
    <row r="249" ht="15.75" customHeight="1">
      <c r="A249" s="89"/>
      <c r="B249" s="182"/>
      <c r="C249" s="149"/>
      <c r="D249" s="95"/>
      <c r="E249" s="149"/>
      <c r="F249" s="149"/>
      <c r="G249" s="95"/>
      <c r="H249" s="149"/>
      <c r="I249" s="95"/>
      <c r="J249" s="95"/>
      <c r="K249" s="156"/>
      <c r="L249" s="156"/>
      <c r="M249" s="100"/>
      <c r="N249" s="127"/>
      <c r="O249" s="128"/>
      <c r="P249" s="95"/>
      <c r="Q249" s="137"/>
      <c r="R249" s="129"/>
      <c r="S249" s="95"/>
      <c r="T249" s="95"/>
      <c r="V249" s="107"/>
    </row>
    <row r="250" ht="15.75" customHeight="1">
      <c r="A250" s="89"/>
      <c r="B250" s="182"/>
      <c r="C250" s="149"/>
      <c r="D250" s="95"/>
      <c r="E250" s="149"/>
      <c r="F250" s="149"/>
      <c r="G250" s="95"/>
      <c r="H250" s="149"/>
      <c r="I250" s="95"/>
      <c r="J250" s="95"/>
      <c r="K250" s="154"/>
      <c r="L250" s="154"/>
      <c r="M250" s="100"/>
      <c r="N250" s="127"/>
      <c r="O250" s="128"/>
      <c r="P250" s="95"/>
      <c r="Q250" s="137"/>
      <c r="R250" s="129"/>
      <c r="S250" s="95"/>
      <c r="T250" s="95"/>
      <c r="V250" s="107"/>
    </row>
    <row r="251" ht="15.75" customHeight="1">
      <c r="A251" s="89"/>
      <c r="B251" s="182"/>
      <c r="C251" s="149"/>
      <c r="D251" s="95"/>
      <c r="E251" s="149"/>
      <c r="F251" s="149"/>
      <c r="G251" s="95"/>
      <c r="H251" s="149"/>
      <c r="I251" s="95"/>
      <c r="J251" s="95"/>
      <c r="K251" s="156"/>
      <c r="L251" s="156"/>
      <c r="M251" s="100"/>
      <c r="N251" s="127"/>
      <c r="O251" s="128"/>
      <c r="P251" s="95"/>
      <c r="Q251" s="137"/>
      <c r="R251" s="129"/>
      <c r="S251" s="95"/>
      <c r="T251" s="95"/>
      <c r="V251" s="107"/>
    </row>
    <row r="252" ht="15.75" customHeight="1">
      <c r="A252" s="89"/>
      <c r="B252" s="182"/>
      <c r="C252" s="149"/>
      <c r="D252" s="95"/>
      <c r="E252" s="149"/>
      <c r="F252" s="149"/>
      <c r="G252" s="95"/>
      <c r="H252" s="149"/>
      <c r="I252" s="95"/>
      <c r="J252" s="95"/>
      <c r="K252" s="154"/>
      <c r="L252" s="154"/>
      <c r="M252" s="100"/>
      <c r="N252" s="127"/>
      <c r="O252" s="128"/>
      <c r="P252" s="95"/>
      <c r="Q252" s="137"/>
      <c r="R252" s="129"/>
      <c r="S252" s="95"/>
      <c r="T252" s="95"/>
      <c r="V252" s="107"/>
    </row>
    <row r="253" ht="15.75" customHeight="1">
      <c r="A253" s="89"/>
      <c r="B253" s="182"/>
      <c r="C253" s="107"/>
      <c r="D253" s="95"/>
      <c r="E253" s="149"/>
      <c r="F253" s="149"/>
      <c r="G253" s="95"/>
      <c r="H253" s="149"/>
      <c r="I253" s="95"/>
      <c r="J253" s="95"/>
      <c r="K253" s="156"/>
      <c r="L253" s="156"/>
      <c r="M253" s="100"/>
      <c r="N253" s="127"/>
      <c r="O253" s="128"/>
      <c r="P253" s="95"/>
      <c r="Q253" s="137"/>
      <c r="R253" s="129"/>
      <c r="S253" s="95"/>
      <c r="T253" s="95"/>
      <c r="V253" s="107"/>
    </row>
    <row r="254" ht="15.75" customHeight="1">
      <c r="A254" s="89"/>
      <c r="B254" s="182"/>
      <c r="C254" s="149"/>
      <c r="D254" s="95"/>
      <c r="E254" s="149"/>
      <c r="F254" s="149"/>
      <c r="G254" s="95"/>
      <c r="H254" s="149"/>
      <c r="I254" s="95"/>
      <c r="J254" s="95"/>
      <c r="K254" s="154"/>
      <c r="L254" s="154"/>
      <c r="M254" s="100"/>
      <c r="N254" s="127"/>
      <c r="O254" s="128"/>
      <c r="P254" s="95"/>
      <c r="Q254" s="137"/>
      <c r="R254" s="129"/>
      <c r="S254" s="95"/>
      <c r="T254" s="95"/>
      <c r="V254" s="107"/>
    </row>
    <row r="255" ht="15.75" customHeight="1">
      <c r="A255" s="89"/>
      <c r="B255" s="182"/>
      <c r="C255" s="149"/>
      <c r="D255" s="95"/>
      <c r="E255" s="149"/>
      <c r="F255" s="149"/>
      <c r="G255" s="95"/>
      <c r="H255" s="149"/>
      <c r="I255" s="95"/>
      <c r="J255" s="95"/>
      <c r="K255" s="156"/>
      <c r="L255" s="156"/>
      <c r="M255" s="100"/>
      <c r="N255" s="127"/>
      <c r="O255" s="128"/>
      <c r="P255" s="95"/>
      <c r="Q255" s="137"/>
      <c r="R255" s="129"/>
      <c r="S255" s="95"/>
      <c r="T255" s="95"/>
      <c r="V255" s="107"/>
    </row>
    <row r="256" ht="15.75" customHeight="1">
      <c r="A256" s="89"/>
      <c r="B256" s="182"/>
      <c r="C256" s="149"/>
      <c r="D256" s="95"/>
      <c r="E256" s="149"/>
      <c r="F256" s="149"/>
      <c r="G256" s="95"/>
      <c r="H256" s="149"/>
      <c r="I256" s="95"/>
      <c r="J256" s="95"/>
      <c r="K256" s="154"/>
      <c r="L256" s="154"/>
      <c r="M256" s="100"/>
      <c r="N256" s="127"/>
      <c r="O256" s="128"/>
      <c r="P256" s="95"/>
      <c r="Q256" s="137"/>
      <c r="R256" s="129"/>
      <c r="S256" s="95"/>
      <c r="T256" s="95"/>
      <c r="V256" s="107"/>
    </row>
    <row r="257" ht="15.75" customHeight="1">
      <c r="A257" s="89"/>
      <c r="B257" s="182"/>
      <c r="C257" s="149"/>
      <c r="D257" s="95"/>
      <c r="E257" s="149"/>
      <c r="F257" s="149"/>
      <c r="G257" s="95"/>
      <c r="H257" s="149"/>
      <c r="I257" s="95"/>
      <c r="J257" s="95"/>
      <c r="K257" s="156"/>
      <c r="L257" s="156"/>
      <c r="M257" s="100"/>
      <c r="N257" s="127"/>
      <c r="O257" s="128"/>
      <c r="P257" s="95"/>
      <c r="Q257" s="137"/>
      <c r="R257" s="129"/>
      <c r="S257" s="95"/>
      <c r="T257" s="95"/>
      <c r="V257" s="107"/>
    </row>
    <row r="258" ht="15.75" customHeight="1">
      <c r="A258" s="89"/>
      <c r="B258" s="182"/>
      <c r="C258" s="149"/>
      <c r="D258" s="95"/>
      <c r="E258" s="149"/>
      <c r="F258" s="149"/>
      <c r="G258" s="95"/>
      <c r="H258" s="149"/>
      <c r="I258" s="95"/>
      <c r="J258" s="95"/>
      <c r="K258" s="154"/>
      <c r="L258" s="154"/>
      <c r="M258" s="100"/>
      <c r="N258" s="127"/>
      <c r="O258" s="128"/>
      <c r="P258" s="95"/>
      <c r="Q258" s="137"/>
      <c r="R258" s="129"/>
      <c r="S258" s="95"/>
      <c r="T258" s="95"/>
      <c r="V258" s="107"/>
    </row>
    <row r="259" ht="15.75" customHeight="1">
      <c r="A259" s="89"/>
      <c r="B259" s="182"/>
      <c r="C259" s="107"/>
      <c r="D259" s="95"/>
      <c r="E259" s="149"/>
      <c r="F259" s="149"/>
      <c r="G259" s="95"/>
      <c r="H259" s="149"/>
      <c r="I259" s="95"/>
      <c r="J259" s="95"/>
      <c r="K259" s="156"/>
      <c r="L259" s="156"/>
      <c r="M259" s="100"/>
      <c r="N259" s="127"/>
      <c r="O259" s="128"/>
      <c r="P259" s="95"/>
      <c r="Q259" s="137"/>
      <c r="R259" s="129"/>
      <c r="S259" s="95"/>
      <c r="T259" s="95"/>
      <c r="V259" s="107"/>
    </row>
    <row r="260" ht="15.75" customHeight="1">
      <c r="A260" s="89"/>
      <c r="B260" s="182"/>
      <c r="C260" s="149"/>
      <c r="D260" s="95"/>
      <c r="E260" s="149"/>
      <c r="F260" s="149"/>
      <c r="G260" s="95"/>
      <c r="H260" s="149"/>
      <c r="I260" s="95"/>
      <c r="J260" s="95"/>
      <c r="K260" s="154"/>
      <c r="L260" s="154"/>
      <c r="M260" s="100"/>
      <c r="N260" s="127"/>
      <c r="O260" s="128"/>
      <c r="P260" s="95"/>
      <c r="Q260" s="137"/>
      <c r="R260" s="129"/>
      <c r="S260" s="95"/>
      <c r="T260" s="95"/>
      <c r="V260" s="107"/>
    </row>
    <row r="261" ht="15.75" customHeight="1">
      <c r="A261" s="89"/>
      <c r="B261" s="182"/>
      <c r="C261" s="149"/>
      <c r="D261" s="95"/>
      <c r="E261" s="149"/>
      <c r="F261" s="149"/>
      <c r="G261" s="95"/>
      <c r="H261" s="149"/>
      <c r="I261" s="95"/>
      <c r="J261" s="95"/>
      <c r="K261" s="156"/>
      <c r="L261" s="156"/>
      <c r="M261" s="100"/>
      <c r="N261" s="127"/>
      <c r="O261" s="128"/>
      <c r="P261" s="95"/>
      <c r="Q261" s="137"/>
      <c r="R261" s="129"/>
      <c r="S261" s="95"/>
      <c r="T261" s="95"/>
      <c r="V261" s="107"/>
    </row>
    <row r="262" ht="15.75" customHeight="1">
      <c r="A262" s="89"/>
      <c r="B262" s="182"/>
      <c r="C262" s="149"/>
      <c r="D262" s="95"/>
      <c r="E262" s="149"/>
      <c r="F262" s="149"/>
      <c r="G262" s="95"/>
      <c r="H262" s="149"/>
      <c r="I262" s="95"/>
      <c r="J262" s="95"/>
      <c r="K262" s="154"/>
      <c r="L262" s="154"/>
      <c r="M262" s="100"/>
      <c r="N262" s="127"/>
      <c r="O262" s="128"/>
      <c r="P262" s="95"/>
      <c r="Q262" s="137"/>
      <c r="R262" s="129"/>
      <c r="S262" s="95"/>
      <c r="T262" s="95"/>
      <c r="V262" s="107"/>
    </row>
    <row r="263" ht="15.75" customHeight="1">
      <c r="A263" s="89"/>
      <c r="B263" s="182"/>
      <c r="C263" s="149"/>
      <c r="D263" s="95"/>
      <c r="E263" s="149"/>
      <c r="F263" s="149"/>
      <c r="G263" s="95"/>
      <c r="H263" s="149"/>
      <c r="I263" s="95"/>
      <c r="J263" s="95"/>
      <c r="K263" s="156"/>
      <c r="L263" s="156"/>
      <c r="M263" s="100"/>
      <c r="N263" s="127"/>
      <c r="O263" s="128"/>
      <c r="P263" s="95"/>
      <c r="Q263" s="137"/>
      <c r="R263" s="129"/>
      <c r="S263" s="95"/>
      <c r="T263" s="95"/>
      <c r="V263" s="107"/>
    </row>
    <row r="264" ht="15.75" customHeight="1">
      <c r="A264" s="89"/>
      <c r="B264" s="182"/>
      <c r="C264" s="149"/>
      <c r="D264" s="95"/>
      <c r="E264" s="149"/>
      <c r="F264" s="149"/>
      <c r="G264" s="95"/>
      <c r="H264" s="149"/>
      <c r="I264" s="95"/>
      <c r="J264" s="95"/>
      <c r="K264" s="154"/>
      <c r="L264" s="154"/>
      <c r="M264" s="100"/>
      <c r="N264" s="127"/>
      <c r="O264" s="128"/>
      <c r="P264" s="95"/>
      <c r="Q264" s="137"/>
      <c r="R264" s="129"/>
      <c r="S264" s="95"/>
      <c r="T264" s="95"/>
      <c r="V264" s="107"/>
    </row>
    <row r="265" ht="15.75" customHeight="1">
      <c r="A265" s="89"/>
      <c r="B265" s="182"/>
      <c r="C265" s="107"/>
      <c r="D265" s="95"/>
      <c r="E265" s="149"/>
      <c r="F265" s="149"/>
      <c r="G265" s="95"/>
      <c r="H265" s="149"/>
      <c r="I265" s="95"/>
      <c r="J265" s="95"/>
      <c r="K265" s="156"/>
      <c r="L265" s="156"/>
      <c r="M265" s="100"/>
      <c r="N265" s="127"/>
      <c r="O265" s="128"/>
      <c r="P265" s="95"/>
      <c r="Q265" s="137"/>
      <c r="R265" s="129"/>
      <c r="S265" s="95"/>
      <c r="T265" s="95"/>
      <c r="V265" s="107"/>
    </row>
    <row r="266" ht="15.75" customHeight="1">
      <c r="A266" s="89"/>
      <c r="B266" s="182"/>
      <c r="C266" s="149"/>
      <c r="D266" s="95"/>
      <c r="E266" s="149"/>
      <c r="F266" s="149"/>
      <c r="G266" s="95"/>
      <c r="H266" s="149"/>
      <c r="I266" s="95"/>
      <c r="J266" s="95"/>
      <c r="K266" s="154"/>
      <c r="L266" s="154"/>
      <c r="M266" s="100"/>
      <c r="N266" s="127"/>
      <c r="O266" s="128"/>
      <c r="P266" s="95"/>
      <c r="Q266" s="137"/>
      <c r="R266" s="129"/>
      <c r="S266" s="95"/>
      <c r="T266" s="95"/>
      <c r="V266" s="107"/>
    </row>
    <row r="267" ht="15.75" customHeight="1">
      <c r="A267" s="89"/>
      <c r="B267" s="182"/>
      <c r="C267" s="149"/>
      <c r="D267" s="95"/>
      <c r="E267" s="149"/>
      <c r="F267" s="149"/>
      <c r="G267" s="95"/>
      <c r="H267" s="149"/>
      <c r="I267" s="95"/>
      <c r="J267" s="95"/>
      <c r="K267" s="156"/>
      <c r="L267" s="156"/>
      <c r="M267" s="100"/>
      <c r="N267" s="127"/>
      <c r="O267" s="128"/>
      <c r="P267" s="95"/>
      <c r="Q267" s="137"/>
      <c r="R267" s="129"/>
      <c r="S267" s="95"/>
      <c r="T267" s="95"/>
      <c r="V267" s="107"/>
    </row>
    <row r="268" ht="15.75" customHeight="1">
      <c r="A268" s="89"/>
      <c r="B268" s="182"/>
      <c r="C268" s="149"/>
      <c r="D268" s="95"/>
      <c r="E268" s="149"/>
      <c r="F268" s="149"/>
      <c r="G268" s="95"/>
      <c r="H268" s="149"/>
      <c r="I268" s="95"/>
      <c r="J268" s="95"/>
      <c r="K268" s="154"/>
      <c r="L268" s="154"/>
      <c r="M268" s="100"/>
      <c r="N268" s="127"/>
      <c r="O268" s="128"/>
      <c r="P268" s="95"/>
      <c r="Q268" s="137"/>
      <c r="R268" s="129"/>
      <c r="S268" s="95"/>
      <c r="T268" s="95"/>
      <c r="V268" s="107"/>
    </row>
    <row r="269" ht="15.75" customHeight="1">
      <c r="A269" s="89"/>
      <c r="B269" s="182"/>
      <c r="C269" s="149"/>
      <c r="D269" s="95"/>
      <c r="E269" s="149"/>
      <c r="F269" s="149"/>
      <c r="G269" s="95"/>
      <c r="H269" s="149"/>
      <c r="I269" s="95"/>
      <c r="J269" s="95"/>
      <c r="K269" s="156"/>
      <c r="L269" s="156"/>
      <c r="M269" s="100"/>
      <c r="N269" s="127"/>
      <c r="O269" s="128"/>
      <c r="P269" s="95"/>
      <c r="Q269" s="137"/>
      <c r="R269" s="129"/>
      <c r="S269" s="95"/>
      <c r="T269" s="95"/>
      <c r="V269" s="107"/>
    </row>
    <row r="270" ht="15.75" customHeight="1">
      <c r="A270" s="89"/>
      <c r="B270" s="182"/>
      <c r="C270" s="149"/>
      <c r="D270" s="95"/>
      <c r="E270" s="149"/>
      <c r="F270" s="149"/>
      <c r="G270" s="95"/>
      <c r="H270" s="149"/>
      <c r="I270" s="95"/>
      <c r="J270" s="95"/>
      <c r="K270" s="154"/>
      <c r="L270" s="154"/>
      <c r="M270" s="100"/>
      <c r="N270" s="127"/>
      <c r="O270" s="128"/>
      <c r="P270" s="95"/>
      <c r="Q270" s="137"/>
      <c r="R270" s="129"/>
      <c r="S270" s="95"/>
      <c r="T270" s="95"/>
      <c r="V270" s="107"/>
    </row>
    <row r="271" ht="15.75" customHeight="1">
      <c r="A271" s="89"/>
      <c r="B271" s="182"/>
      <c r="C271" s="107"/>
      <c r="D271" s="95"/>
      <c r="E271" s="149"/>
      <c r="F271" s="149"/>
      <c r="G271" s="95"/>
      <c r="H271" s="149"/>
      <c r="I271" s="95"/>
      <c r="J271" s="95"/>
      <c r="K271" s="156"/>
      <c r="L271" s="156"/>
      <c r="M271" s="100"/>
      <c r="N271" s="127"/>
      <c r="O271" s="128"/>
      <c r="P271" s="95"/>
      <c r="Q271" s="137"/>
      <c r="R271" s="129"/>
      <c r="S271" s="95"/>
      <c r="T271" s="95"/>
      <c r="V271" s="107"/>
    </row>
    <row r="272" ht="15.75" customHeight="1">
      <c r="A272" s="89"/>
      <c r="B272" s="182"/>
      <c r="C272" s="149"/>
      <c r="D272" s="95"/>
      <c r="E272" s="149"/>
      <c r="F272" s="149"/>
      <c r="G272" s="95"/>
      <c r="H272" s="149"/>
      <c r="I272" s="95"/>
      <c r="J272" s="95"/>
      <c r="K272" s="154"/>
      <c r="L272" s="154"/>
      <c r="M272" s="100"/>
      <c r="N272" s="127"/>
      <c r="O272" s="128"/>
      <c r="P272" s="95"/>
      <c r="Q272" s="137"/>
      <c r="R272" s="129"/>
      <c r="S272" s="95"/>
      <c r="T272" s="95"/>
      <c r="V272" s="107"/>
    </row>
    <row r="273" ht="15.75" customHeight="1">
      <c r="A273" s="89"/>
      <c r="B273" s="182"/>
      <c r="C273" s="149"/>
      <c r="D273" s="95"/>
      <c r="E273" s="149"/>
      <c r="F273" s="149"/>
      <c r="G273" s="95"/>
      <c r="H273" s="149"/>
      <c r="I273" s="95"/>
      <c r="J273" s="95"/>
      <c r="K273" s="156"/>
      <c r="L273" s="156"/>
      <c r="M273" s="100"/>
      <c r="N273" s="127"/>
      <c r="O273" s="128"/>
      <c r="P273" s="95"/>
      <c r="Q273" s="137"/>
      <c r="R273" s="129"/>
      <c r="S273" s="95"/>
      <c r="T273" s="95"/>
      <c r="V273" s="107"/>
    </row>
    <row r="274" ht="15.75" customHeight="1">
      <c r="A274" s="89"/>
      <c r="B274" s="182"/>
      <c r="C274" s="149"/>
      <c r="D274" s="95"/>
      <c r="E274" s="149"/>
      <c r="F274" s="149"/>
      <c r="G274" s="95"/>
      <c r="H274" s="149"/>
      <c r="I274" s="95"/>
      <c r="J274" s="95"/>
      <c r="K274" s="154"/>
      <c r="L274" s="154"/>
      <c r="M274" s="100"/>
      <c r="N274" s="127"/>
      <c r="O274" s="128"/>
      <c r="P274" s="95"/>
      <c r="Q274" s="137"/>
      <c r="R274" s="129"/>
      <c r="S274" s="95"/>
      <c r="T274" s="95"/>
      <c r="V274" s="107"/>
    </row>
    <row r="275" ht="15.75" customHeight="1">
      <c r="A275" s="89"/>
      <c r="B275" s="182"/>
      <c r="C275" s="149"/>
      <c r="D275" s="95"/>
      <c r="E275" s="149"/>
      <c r="F275" s="149"/>
      <c r="G275" s="95"/>
      <c r="H275" s="149"/>
      <c r="I275" s="95"/>
      <c r="J275" s="95"/>
      <c r="K275" s="156"/>
      <c r="L275" s="156"/>
      <c r="M275" s="100"/>
      <c r="N275" s="127"/>
      <c r="O275" s="128"/>
      <c r="P275" s="95"/>
      <c r="Q275" s="137"/>
      <c r="R275" s="129"/>
      <c r="S275" s="95"/>
      <c r="T275" s="95"/>
      <c r="V275" s="107"/>
    </row>
    <row r="276" ht="15.75" customHeight="1">
      <c r="A276" s="89"/>
      <c r="B276" s="182"/>
      <c r="C276" s="149"/>
      <c r="D276" s="95"/>
      <c r="E276" s="149"/>
      <c r="F276" s="149"/>
      <c r="G276" s="95"/>
      <c r="H276" s="149"/>
      <c r="I276" s="95"/>
      <c r="J276" s="95"/>
      <c r="K276" s="154"/>
      <c r="L276" s="154"/>
      <c r="M276" s="100"/>
      <c r="N276" s="127"/>
      <c r="O276" s="128"/>
      <c r="P276" s="95"/>
      <c r="Q276" s="137"/>
      <c r="R276" s="129"/>
      <c r="S276" s="95"/>
      <c r="T276" s="95"/>
      <c r="V276" s="107"/>
    </row>
    <row r="277" ht="15.75" customHeight="1">
      <c r="A277" s="89"/>
      <c r="B277" s="182"/>
      <c r="C277" s="107"/>
      <c r="D277" s="95"/>
      <c r="E277" s="149"/>
      <c r="F277" s="149"/>
      <c r="G277" s="95"/>
      <c r="H277" s="149"/>
      <c r="I277" s="95"/>
      <c r="J277" s="95"/>
      <c r="K277" s="156"/>
      <c r="L277" s="156"/>
      <c r="M277" s="100"/>
      <c r="N277" s="127"/>
      <c r="O277" s="128"/>
      <c r="P277" s="95"/>
      <c r="Q277" s="137"/>
      <c r="R277" s="129"/>
      <c r="S277" s="95"/>
      <c r="T277" s="95"/>
      <c r="V277" s="107"/>
    </row>
    <row r="278" ht="15.75" customHeight="1">
      <c r="A278" s="89"/>
      <c r="B278" s="182"/>
      <c r="C278" s="149"/>
      <c r="D278" s="95"/>
      <c r="E278" s="149"/>
      <c r="F278" s="149"/>
      <c r="G278" s="95"/>
      <c r="H278" s="149"/>
      <c r="I278" s="95"/>
      <c r="J278" s="95"/>
      <c r="K278" s="154"/>
      <c r="L278" s="154"/>
      <c r="M278" s="100"/>
      <c r="N278" s="127"/>
      <c r="O278" s="128"/>
      <c r="P278" s="95"/>
      <c r="Q278" s="137"/>
      <c r="R278" s="129"/>
      <c r="S278" s="95"/>
      <c r="T278" s="95"/>
      <c r="V278" s="107"/>
    </row>
    <row r="279" ht="15.75" customHeight="1">
      <c r="A279" s="89"/>
      <c r="B279" s="182"/>
      <c r="C279" s="149"/>
      <c r="D279" s="95"/>
      <c r="E279" s="149"/>
      <c r="F279" s="149"/>
      <c r="G279" s="95"/>
      <c r="H279" s="149"/>
      <c r="I279" s="95"/>
      <c r="J279" s="95"/>
      <c r="K279" s="156"/>
      <c r="L279" s="156"/>
      <c r="M279" s="100"/>
      <c r="N279" s="127"/>
      <c r="O279" s="128"/>
      <c r="P279" s="95"/>
      <c r="Q279" s="137"/>
      <c r="R279" s="129"/>
      <c r="S279" s="95"/>
      <c r="T279" s="95"/>
      <c r="V279" s="107"/>
    </row>
    <row r="280" ht="15.75" customHeight="1">
      <c r="A280" s="89"/>
      <c r="B280" s="182"/>
      <c r="C280" s="149"/>
      <c r="D280" s="95"/>
      <c r="E280" s="149"/>
      <c r="F280" s="149"/>
      <c r="G280" s="95"/>
      <c r="H280" s="149"/>
      <c r="I280" s="95"/>
      <c r="J280" s="95"/>
      <c r="K280" s="154"/>
      <c r="L280" s="154"/>
      <c r="M280" s="100"/>
      <c r="N280" s="127"/>
      <c r="O280" s="128"/>
      <c r="P280" s="95"/>
      <c r="Q280" s="137"/>
      <c r="R280" s="129"/>
      <c r="S280" s="95"/>
      <c r="T280" s="95"/>
      <c r="V280" s="107"/>
    </row>
    <row r="281" ht="15.75" customHeight="1">
      <c r="A281" s="89"/>
      <c r="B281" s="182"/>
      <c r="C281" s="149"/>
      <c r="D281" s="95"/>
      <c r="E281" s="149"/>
      <c r="F281" s="149"/>
      <c r="G281" s="95"/>
      <c r="H281" s="149"/>
      <c r="I281" s="95"/>
      <c r="J281" s="95"/>
      <c r="K281" s="156"/>
      <c r="L281" s="156"/>
      <c r="M281" s="100"/>
      <c r="N281" s="127"/>
      <c r="O281" s="128"/>
      <c r="P281" s="95"/>
      <c r="Q281" s="137"/>
      <c r="R281" s="129"/>
      <c r="S281" s="95"/>
      <c r="T281" s="95"/>
      <c r="V281" s="107"/>
    </row>
    <row r="282" ht="15.75" customHeight="1">
      <c r="A282" s="89"/>
      <c r="B282" s="182"/>
      <c r="C282" s="149"/>
      <c r="D282" s="95"/>
      <c r="E282" s="149"/>
      <c r="F282" s="149"/>
      <c r="G282" s="95"/>
      <c r="H282" s="149"/>
      <c r="I282" s="95"/>
      <c r="J282" s="95"/>
      <c r="K282" s="154"/>
      <c r="L282" s="154"/>
      <c r="M282" s="100"/>
      <c r="N282" s="127"/>
      <c r="O282" s="128"/>
      <c r="P282" s="95"/>
      <c r="Q282" s="137"/>
      <c r="R282" s="129"/>
      <c r="S282" s="95"/>
      <c r="T282" s="95"/>
      <c r="V282" s="107"/>
    </row>
    <row r="283" ht="15.75" customHeight="1">
      <c r="A283" s="89"/>
      <c r="B283" s="182"/>
      <c r="C283" s="107"/>
      <c r="D283" s="95"/>
      <c r="E283" s="149"/>
      <c r="F283" s="149"/>
      <c r="G283" s="95"/>
      <c r="H283" s="149"/>
      <c r="I283" s="95"/>
      <c r="J283" s="95"/>
      <c r="K283" s="156"/>
      <c r="L283" s="156"/>
      <c r="M283" s="100"/>
      <c r="N283" s="127"/>
      <c r="O283" s="128"/>
      <c r="P283" s="95"/>
      <c r="Q283" s="137"/>
      <c r="R283" s="129"/>
      <c r="S283" s="95"/>
      <c r="T283" s="95"/>
      <c r="V283" s="107"/>
    </row>
    <row r="284" ht="15.75" customHeight="1">
      <c r="A284" s="89"/>
      <c r="B284" s="182"/>
      <c r="C284" s="149"/>
      <c r="D284" s="95"/>
      <c r="E284" s="149"/>
      <c r="F284" s="149"/>
      <c r="G284" s="95"/>
      <c r="H284" s="149"/>
      <c r="I284" s="95"/>
      <c r="J284" s="95"/>
      <c r="K284" s="154"/>
      <c r="L284" s="154"/>
      <c r="M284" s="100"/>
      <c r="N284" s="127"/>
      <c r="O284" s="128"/>
      <c r="P284" s="95"/>
      <c r="Q284" s="137"/>
      <c r="R284" s="129"/>
      <c r="S284" s="95"/>
      <c r="T284" s="95"/>
      <c r="V284" s="107"/>
    </row>
    <row r="285" ht="15.75" customHeight="1">
      <c r="A285" s="89"/>
      <c r="B285" s="182"/>
      <c r="C285" s="149"/>
      <c r="D285" s="95"/>
      <c r="E285" s="149"/>
      <c r="F285" s="149"/>
      <c r="G285" s="95"/>
      <c r="H285" s="149"/>
      <c r="I285" s="95"/>
      <c r="J285" s="95"/>
      <c r="K285" s="156"/>
      <c r="L285" s="156"/>
      <c r="M285" s="100"/>
      <c r="N285" s="127"/>
      <c r="O285" s="128"/>
      <c r="P285" s="95"/>
      <c r="Q285" s="137"/>
      <c r="R285" s="129"/>
      <c r="S285" s="95"/>
      <c r="T285" s="95"/>
      <c r="V285" s="107"/>
    </row>
    <row r="286" ht="15.75" customHeight="1">
      <c r="A286" s="89"/>
      <c r="B286" s="182"/>
      <c r="C286" s="149"/>
      <c r="D286" s="95"/>
      <c r="E286" s="149"/>
      <c r="F286" s="149"/>
      <c r="G286" s="95"/>
      <c r="H286" s="149"/>
      <c r="I286" s="95"/>
      <c r="J286" s="95"/>
      <c r="K286" s="154"/>
      <c r="L286" s="154"/>
      <c r="M286" s="100"/>
      <c r="N286" s="127"/>
      <c r="O286" s="128"/>
      <c r="P286" s="95"/>
      <c r="Q286" s="137"/>
      <c r="R286" s="129"/>
      <c r="S286" s="95"/>
      <c r="T286" s="95"/>
      <c r="V286" s="107"/>
    </row>
    <row r="287" ht="15.75" customHeight="1">
      <c r="A287" s="89"/>
      <c r="B287" s="182"/>
      <c r="C287" s="149"/>
      <c r="D287" s="95"/>
      <c r="E287" s="149"/>
      <c r="F287" s="149"/>
      <c r="G287" s="95"/>
      <c r="H287" s="149"/>
      <c r="I287" s="95"/>
      <c r="J287" s="95"/>
      <c r="K287" s="156"/>
      <c r="L287" s="156"/>
      <c r="M287" s="100"/>
      <c r="N287" s="127"/>
      <c r="O287" s="128"/>
      <c r="P287" s="95"/>
      <c r="Q287" s="137"/>
      <c r="R287" s="129"/>
      <c r="S287" s="95"/>
      <c r="T287" s="95"/>
      <c r="V287" s="107"/>
    </row>
    <row r="288" ht="15.75" customHeight="1">
      <c r="A288" s="89"/>
      <c r="B288" s="182"/>
      <c r="C288" s="149"/>
      <c r="D288" s="95"/>
      <c r="E288" s="149"/>
      <c r="F288" s="149"/>
      <c r="G288" s="95"/>
      <c r="H288" s="149"/>
      <c r="I288" s="95"/>
      <c r="J288" s="95"/>
      <c r="K288" s="154"/>
      <c r="L288" s="154"/>
      <c r="M288" s="100"/>
      <c r="N288" s="127"/>
      <c r="O288" s="128"/>
      <c r="P288" s="95"/>
      <c r="Q288" s="137"/>
      <c r="R288" s="129"/>
      <c r="S288" s="95"/>
      <c r="T288" s="95"/>
      <c r="V288" s="107"/>
    </row>
    <row r="289" ht="15.75" customHeight="1">
      <c r="A289" s="89"/>
      <c r="B289" s="182"/>
      <c r="C289" s="107"/>
      <c r="D289" s="95"/>
      <c r="E289" s="149"/>
      <c r="F289" s="149"/>
      <c r="G289" s="95"/>
      <c r="H289" s="149"/>
      <c r="I289" s="95"/>
      <c r="J289" s="95"/>
      <c r="K289" s="156"/>
      <c r="L289" s="156"/>
      <c r="M289" s="100"/>
      <c r="N289" s="127"/>
      <c r="O289" s="128"/>
      <c r="P289" s="95"/>
      <c r="Q289" s="137"/>
      <c r="R289" s="129"/>
      <c r="S289" s="95"/>
      <c r="T289" s="95"/>
      <c r="V289" s="107"/>
    </row>
    <row r="290" ht="15.75" customHeight="1">
      <c r="A290" s="89"/>
      <c r="B290" s="182"/>
      <c r="C290" s="149"/>
      <c r="D290" s="95"/>
      <c r="E290" s="149"/>
      <c r="F290" s="149"/>
      <c r="G290" s="95"/>
      <c r="H290" s="149"/>
      <c r="I290" s="95"/>
      <c r="J290" s="95"/>
      <c r="K290" s="154"/>
      <c r="L290" s="154"/>
      <c r="M290" s="100"/>
      <c r="N290" s="127"/>
      <c r="O290" s="128"/>
      <c r="P290" s="95"/>
      <c r="Q290" s="137"/>
      <c r="R290" s="129"/>
      <c r="S290" s="95"/>
      <c r="T290" s="95"/>
      <c r="V290" s="107"/>
    </row>
    <row r="291" ht="15.75" customHeight="1">
      <c r="A291" s="89"/>
      <c r="B291" s="182"/>
      <c r="C291" s="149"/>
      <c r="D291" s="95"/>
      <c r="E291" s="149"/>
      <c r="F291" s="149"/>
      <c r="G291" s="95"/>
      <c r="H291" s="149"/>
      <c r="I291" s="95"/>
      <c r="J291" s="95"/>
      <c r="K291" s="156"/>
      <c r="L291" s="156"/>
      <c r="M291" s="100"/>
      <c r="N291" s="127"/>
      <c r="O291" s="128"/>
      <c r="P291" s="95"/>
      <c r="Q291" s="137"/>
      <c r="R291" s="129"/>
      <c r="S291" s="95"/>
      <c r="T291" s="95"/>
      <c r="V291" s="107"/>
    </row>
    <row r="292" ht="15.75" customHeight="1">
      <c r="A292" s="89"/>
      <c r="B292" s="182"/>
      <c r="C292" s="149"/>
      <c r="D292" s="95"/>
      <c r="E292" s="149"/>
      <c r="F292" s="149"/>
      <c r="G292" s="95"/>
      <c r="H292" s="149"/>
      <c r="I292" s="95"/>
      <c r="J292" s="95"/>
      <c r="K292" s="154"/>
      <c r="L292" s="154"/>
      <c r="M292" s="100"/>
      <c r="N292" s="127"/>
      <c r="O292" s="128"/>
      <c r="P292" s="95"/>
      <c r="Q292" s="137"/>
      <c r="R292" s="129"/>
      <c r="S292" s="95"/>
      <c r="T292" s="95"/>
      <c r="V292" s="107"/>
    </row>
    <row r="293" ht="15.75" customHeight="1">
      <c r="A293" s="89"/>
      <c r="B293" s="182"/>
      <c r="C293" s="149"/>
      <c r="D293" s="95"/>
      <c r="E293" s="149"/>
      <c r="F293" s="149"/>
      <c r="G293" s="95"/>
      <c r="H293" s="149"/>
      <c r="I293" s="95"/>
      <c r="J293" s="95"/>
      <c r="K293" s="156"/>
      <c r="L293" s="156"/>
      <c r="M293" s="100"/>
      <c r="N293" s="127"/>
      <c r="O293" s="128"/>
      <c r="P293" s="95"/>
      <c r="Q293" s="137"/>
      <c r="R293" s="129"/>
      <c r="S293" s="95"/>
      <c r="T293" s="95"/>
      <c r="V293" s="107"/>
    </row>
    <row r="294" ht="15.75" customHeight="1">
      <c r="A294" s="89"/>
      <c r="B294" s="182"/>
      <c r="C294" s="149"/>
      <c r="D294" s="95"/>
      <c r="E294" s="149"/>
      <c r="F294" s="149"/>
      <c r="G294" s="95"/>
      <c r="H294" s="149"/>
      <c r="I294" s="95"/>
      <c r="J294" s="95"/>
      <c r="K294" s="154"/>
      <c r="L294" s="154"/>
      <c r="M294" s="100"/>
      <c r="N294" s="127"/>
      <c r="O294" s="128"/>
      <c r="P294" s="95"/>
      <c r="Q294" s="137"/>
      <c r="R294" s="129"/>
      <c r="S294" s="95"/>
      <c r="T294" s="95"/>
      <c r="V294" s="107"/>
    </row>
    <row r="295" ht="15.75" customHeight="1">
      <c r="A295" s="89"/>
      <c r="B295" s="182"/>
      <c r="C295" s="107"/>
      <c r="D295" s="95"/>
      <c r="E295" s="149"/>
      <c r="F295" s="149"/>
      <c r="G295" s="95"/>
      <c r="H295" s="149"/>
      <c r="I295" s="95"/>
      <c r="J295" s="95"/>
      <c r="K295" s="156"/>
      <c r="L295" s="156"/>
      <c r="M295" s="100"/>
      <c r="N295" s="127"/>
      <c r="O295" s="128"/>
      <c r="P295" s="95"/>
      <c r="Q295" s="137"/>
      <c r="R295" s="129"/>
      <c r="S295" s="95"/>
      <c r="T295" s="95"/>
      <c r="V295" s="107"/>
    </row>
    <row r="296" ht="15.75" customHeight="1">
      <c r="A296" s="89"/>
      <c r="B296" s="182"/>
      <c r="C296" s="149"/>
      <c r="D296" s="95"/>
      <c r="E296" s="149"/>
      <c r="F296" s="149"/>
      <c r="G296" s="95"/>
      <c r="H296" s="149"/>
      <c r="I296" s="95"/>
      <c r="J296" s="95"/>
      <c r="K296" s="154"/>
      <c r="L296" s="154"/>
      <c r="M296" s="100"/>
      <c r="N296" s="127"/>
      <c r="O296" s="128"/>
      <c r="P296" s="95"/>
      <c r="Q296" s="137"/>
      <c r="R296" s="129"/>
      <c r="S296" s="95"/>
      <c r="T296" s="95"/>
      <c r="V296" s="107"/>
    </row>
    <row r="297" ht="15.75" customHeight="1">
      <c r="A297" s="89"/>
      <c r="B297" s="182"/>
      <c r="C297" s="149"/>
      <c r="D297" s="95"/>
      <c r="E297" s="149"/>
      <c r="F297" s="149"/>
      <c r="G297" s="95"/>
      <c r="H297" s="149"/>
      <c r="I297" s="95"/>
      <c r="J297" s="95"/>
      <c r="K297" s="156"/>
      <c r="L297" s="156"/>
      <c r="M297" s="100"/>
      <c r="N297" s="127"/>
      <c r="O297" s="128"/>
      <c r="P297" s="95"/>
      <c r="Q297" s="137"/>
      <c r="R297" s="129"/>
      <c r="S297" s="95"/>
      <c r="T297" s="95"/>
      <c r="V297" s="107"/>
    </row>
    <row r="298" ht="15.75" customHeight="1">
      <c r="A298" s="89"/>
      <c r="B298" s="182"/>
      <c r="C298" s="149"/>
      <c r="D298" s="95"/>
      <c r="E298" s="149"/>
      <c r="F298" s="149"/>
      <c r="G298" s="95"/>
      <c r="H298" s="149"/>
      <c r="I298" s="95"/>
      <c r="J298" s="95"/>
      <c r="K298" s="154"/>
      <c r="L298" s="154"/>
      <c r="M298" s="100"/>
      <c r="N298" s="127"/>
      <c r="O298" s="128"/>
      <c r="P298" s="95"/>
      <c r="Q298" s="137"/>
      <c r="R298" s="129"/>
      <c r="S298" s="95"/>
      <c r="T298" s="95"/>
      <c r="V298" s="107"/>
    </row>
    <row r="299" ht="15.75" customHeight="1">
      <c r="A299" s="89"/>
      <c r="B299" s="182"/>
      <c r="C299" s="149"/>
      <c r="D299" s="95"/>
      <c r="E299" s="149"/>
      <c r="F299" s="149"/>
      <c r="G299" s="95"/>
      <c r="H299" s="149"/>
      <c r="I299" s="95"/>
      <c r="J299" s="95"/>
      <c r="K299" s="156"/>
      <c r="L299" s="156"/>
      <c r="M299" s="100"/>
      <c r="N299" s="127"/>
      <c r="O299" s="128"/>
      <c r="P299" s="95"/>
      <c r="Q299" s="137"/>
      <c r="R299" s="129"/>
      <c r="S299" s="95"/>
      <c r="T299" s="95"/>
      <c r="V299" s="107"/>
    </row>
    <row r="300" ht="15.75" customHeight="1">
      <c r="A300" s="89"/>
      <c r="B300" s="182"/>
      <c r="C300" s="149"/>
      <c r="D300" s="95"/>
      <c r="E300" s="149"/>
      <c r="F300" s="149"/>
      <c r="G300" s="95"/>
      <c r="H300" s="149"/>
      <c r="I300" s="95"/>
      <c r="J300" s="95"/>
      <c r="K300" s="154"/>
      <c r="L300" s="154"/>
      <c r="M300" s="100"/>
      <c r="N300" s="127"/>
      <c r="O300" s="128"/>
      <c r="P300" s="95"/>
      <c r="Q300" s="137"/>
      <c r="R300" s="129"/>
      <c r="S300" s="95"/>
      <c r="T300" s="95"/>
      <c r="V300" s="107"/>
    </row>
    <row r="301" ht="15.75" customHeight="1">
      <c r="A301" s="89"/>
      <c r="B301" s="182"/>
      <c r="C301" s="107"/>
      <c r="D301" s="95"/>
      <c r="E301" s="149"/>
      <c r="F301" s="149"/>
      <c r="G301" s="95"/>
      <c r="H301" s="149"/>
      <c r="I301" s="95"/>
      <c r="J301" s="95"/>
      <c r="K301" s="156"/>
      <c r="L301" s="156"/>
      <c r="M301" s="100"/>
      <c r="N301" s="127"/>
      <c r="O301" s="128"/>
      <c r="P301" s="95"/>
      <c r="Q301" s="137"/>
      <c r="R301" s="129"/>
      <c r="S301" s="95"/>
      <c r="T301" s="95"/>
      <c r="V301" s="107"/>
    </row>
    <row r="302" ht="15.75" customHeight="1">
      <c r="A302" s="89"/>
      <c r="B302" s="182"/>
      <c r="C302" s="149"/>
      <c r="D302" s="95"/>
      <c r="E302" s="149"/>
      <c r="F302" s="149"/>
      <c r="G302" s="95"/>
      <c r="H302" s="149"/>
      <c r="I302" s="95"/>
      <c r="J302" s="95"/>
      <c r="K302" s="154"/>
      <c r="L302" s="154"/>
      <c r="M302" s="100"/>
      <c r="N302" s="127"/>
      <c r="O302" s="128"/>
      <c r="P302" s="95"/>
      <c r="Q302" s="137"/>
      <c r="R302" s="129"/>
      <c r="S302" s="95"/>
      <c r="T302" s="95"/>
      <c r="V302" s="107"/>
    </row>
    <row r="303" ht="15.75" customHeight="1">
      <c r="A303" s="89"/>
      <c r="B303" s="182"/>
      <c r="C303" s="149"/>
      <c r="D303" s="95"/>
      <c r="E303" s="149"/>
      <c r="F303" s="149"/>
      <c r="G303" s="95"/>
      <c r="H303" s="149"/>
      <c r="I303" s="95"/>
      <c r="J303" s="95"/>
      <c r="K303" s="156"/>
      <c r="L303" s="156"/>
      <c r="M303" s="100"/>
      <c r="N303" s="127"/>
      <c r="O303" s="128"/>
      <c r="P303" s="95"/>
      <c r="Q303" s="137"/>
      <c r="R303" s="129"/>
      <c r="S303" s="95"/>
      <c r="T303" s="95"/>
      <c r="V303" s="107"/>
    </row>
    <row r="304" ht="15.75" customHeight="1">
      <c r="A304" s="89"/>
      <c r="B304" s="182"/>
      <c r="C304" s="149"/>
      <c r="D304" s="95"/>
      <c r="E304" s="149"/>
      <c r="F304" s="149"/>
      <c r="G304" s="95"/>
      <c r="H304" s="149"/>
      <c r="I304" s="95"/>
      <c r="J304" s="95"/>
      <c r="K304" s="154"/>
      <c r="L304" s="154"/>
      <c r="M304" s="100"/>
      <c r="N304" s="127"/>
      <c r="O304" s="128"/>
      <c r="P304" s="95"/>
      <c r="Q304" s="137"/>
      <c r="R304" s="129"/>
      <c r="S304" s="95"/>
      <c r="T304" s="95"/>
      <c r="V304" s="107"/>
    </row>
    <row r="305" ht="15.75" customHeight="1">
      <c r="A305" s="89"/>
      <c r="B305" s="182"/>
      <c r="C305" s="149"/>
      <c r="D305" s="95"/>
      <c r="E305" s="149"/>
      <c r="F305" s="149"/>
      <c r="G305" s="95"/>
      <c r="H305" s="149"/>
      <c r="I305" s="95"/>
      <c r="J305" s="95"/>
      <c r="K305" s="156"/>
      <c r="L305" s="156"/>
      <c r="M305" s="100"/>
      <c r="N305" s="127"/>
      <c r="O305" s="128"/>
      <c r="P305" s="95"/>
      <c r="Q305" s="137"/>
      <c r="R305" s="129"/>
      <c r="S305" s="95"/>
      <c r="T305" s="95"/>
      <c r="V305" s="107"/>
    </row>
    <row r="306" ht="15.75" customHeight="1">
      <c r="A306" s="89"/>
      <c r="B306" s="182"/>
      <c r="C306" s="149"/>
      <c r="D306" s="95"/>
      <c r="E306" s="149"/>
      <c r="F306" s="149"/>
      <c r="G306" s="95"/>
      <c r="H306" s="149"/>
      <c r="I306" s="95"/>
      <c r="J306" s="95"/>
      <c r="K306" s="154"/>
      <c r="L306" s="154"/>
      <c r="M306" s="100"/>
      <c r="N306" s="127"/>
      <c r="O306" s="128"/>
      <c r="P306" s="95"/>
      <c r="Q306" s="137"/>
      <c r="R306" s="129"/>
      <c r="S306" s="95"/>
      <c r="T306" s="95"/>
      <c r="V306" s="107"/>
    </row>
    <row r="307" ht="15.75" customHeight="1">
      <c r="A307" s="89"/>
      <c r="B307" s="182"/>
      <c r="C307" s="107"/>
      <c r="D307" s="95"/>
      <c r="E307" s="149"/>
      <c r="F307" s="149"/>
      <c r="G307" s="95"/>
      <c r="H307" s="149"/>
      <c r="I307" s="95"/>
      <c r="J307" s="95"/>
      <c r="K307" s="156"/>
      <c r="L307" s="156"/>
      <c r="M307" s="100"/>
      <c r="N307" s="127"/>
      <c r="O307" s="128"/>
      <c r="P307" s="95"/>
      <c r="Q307" s="137"/>
      <c r="R307" s="129"/>
      <c r="S307" s="95"/>
      <c r="T307" s="95"/>
      <c r="V307" s="107"/>
    </row>
    <row r="308" ht="15.75" customHeight="1">
      <c r="A308" s="89"/>
      <c r="B308" s="182"/>
      <c r="C308" s="149"/>
      <c r="D308" s="95"/>
      <c r="E308" s="149"/>
      <c r="F308" s="149"/>
      <c r="G308" s="95"/>
      <c r="H308" s="149"/>
      <c r="I308" s="95"/>
      <c r="J308" s="95"/>
      <c r="K308" s="154"/>
      <c r="L308" s="154"/>
      <c r="M308" s="100"/>
      <c r="N308" s="127"/>
      <c r="O308" s="128"/>
      <c r="P308" s="95"/>
      <c r="Q308" s="137"/>
      <c r="R308" s="129"/>
      <c r="S308" s="95"/>
      <c r="T308" s="95"/>
      <c r="V308" s="107"/>
    </row>
    <row r="309" ht="15.75" customHeight="1">
      <c r="A309" s="89"/>
      <c r="B309" s="182"/>
      <c r="C309" s="149"/>
      <c r="D309" s="95"/>
      <c r="E309" s="149"/>
      <c r="F309" s="149"/>
      <c r="G309" s="95"/>
      <c r="H309" s="149"/>
      <c r="I309" s="95"/>
      <c r="J309" s="95"/>
      <c r="K309" s="156"/>
      <c r="L309" s="156"/>
      <c r="M309" s="100"/>
      <c r="N309" s="127"/>
      <c r="O309" s="128"/>
      <c r="P309" s="95"/>
      <c r="Q309" s="137"/>
      <c r="R309" s="129"/>
      <c r="S309" s="95"/>
      <c r="T309" s="95"/>
      <c r="V309" s="107"/>
    </row>
    <row r="310" ht="15.75" customHeight="1">
      <c r="A310" s="89"/>
      <c r="B310" s="182"/>
      <c r="C310" s="149"/>
      <c r="D310" s="95"/>
      <c r="E310" s="149"/>
      <c r="F310" s="149"/>
      <c r="G310" s="95"/>
      <c r="H310" s="149"/>
      <c r="I310" s="95"/>
      <c r="J310" s="95"/>
      <c r="K310" s="154"/>
      <c r="L310" s="154"/>
      <c r="M310" s="100"/>
      <c r="N310" s="127"/>
      <c r="O310" s="128"/>
      <c r="P310" s="95"/>
      <c r="Q310" s="137"/>
      <c r="R310" s="129"/>
      <c r="S310" s="95"/>
      <c r="T310" s="95"/>
      <c r="V310" s="107"/>
    </row>
    <row r="311" ht="15.75" customHeight="1">
      <c r="A311" s="89"/>
      <c r="B311" s="182"/>
      <c r="C311" s="149"/>
      <c r="D311" s="95"/>
      <c r="E311" s="149"/>
      <c r="F311" s="149"/>
      <c r="G311" s="95"/>
      <c r="H311" s="149"/>
      <c r="I311" s="95"/>
      <c r="J311" s="95"/>
      <c r="K311" s="156"/>
      <c r="L311" s="156"/>
      <c r="M311" s="100"/>
      <c r="N311" s="127"/>
      <c r="O311" s="128"/>
      <c r="P311" s="95"/>
      <c r="Q311" s="137"/>
      <c r="R311" s="129"/>
      <c r="S311" s="95"/>
      <c r="T311" s="95"/>
      <c r="V311" s="107"/>
    </row>
    <row r="312" ht="15.75" customHeight="1">
      <c r="A312" s="89"/>
      <c r="B312" s="182"/>
      <c r="C312" s="149"/>
      <c r="D312" s="95"/>
      <c r="E312" s="149"/>
      <c r="F312" s="149"/>
      <c r="G312" s="95"/>
      <c r="H312" s="149"/>
      <c r="I312" s="95"/>
      <c r="J312" s="95"/>
      <c r="K312" s="154"/>
      <c r="L312" s="154"/>
      <c r="M312" s="100"/>
      <c r="N312" s="127"/>
      <c r="O312" s="128"/>
      <c r="P312" s="95"/>
      <c r="Q312" s="137"/>
      <c r="R312" s="129"/>
      <c r="S312" s="95"/>
      <c r="T312" s="95"/>
      <c r="V312" s="107"/>
    </row>
    <row r="313" ht="15.75" customHeight="1">
      <c r="A313" s="89"/>
      <c r="B313" s="182"/>
      <c r="C313" s="107"/>
      <c r="D313" s="95"/>
      <c r="E313" s="149"/>
      <c r="F313" s="149"/>
      <c r="G313" s="95"/>
      <c r="H313" s="149"/>
      <c r="I313" s="95"/>
      <c r="J313" s="95"/>
      <c r="K313" s="156"/>
      <c r="L313" s="156"/>
      <c r="M313" s="100"/>
      <c r="N313" s="127"/>
      <c r="O313" s="128"/>
      <c r="P313" s="95"/>
      <c r="Q313" s="137"/>
      <c r="R313" s="129"/>
      <c r="S313" s="95"/>
      <c r="T313" s="95"/>
      <c r="V313" s="107"/>
    </row>
    <row r="314" ht="15.75" customHeight="1">
      <c r="A314" s="89"/>
      <c r="B314" s="182"/>
      <c r="C314" s="149"/>
      <c r="D314" s="95"/>
      <c r="E314" s="149"/>
      <c r="F314" s="149"/>
      <c r="G314" s="95"/>
      <c r="H314" s="149"/>
      <c r="I314" s="95"/>
      <c r="J314" s="95"/>
      <c r="K314" s="154"/>
      <c r="L314" s="154"/>
      <c r="M314" s="100"/>
      <c r="N314" s="127"/>
      <c r="O314" s="128"/>
      <c r="P314" s="95"/>
      <c r="Q314" s="137"/>
      <c r="R314" s="129"/>
      <c r="S314" s="95"/>
      <c r="T314" s="95"/>
      <c r="V314" s="107"/>
    </row>
    <row r="315" ht="15.75" customHeight="1">
      <c r="A315" s="89"/>
      <c r="B315" s="182"/>
      <c r="C315" s="149"/>
      <c r="D315" s="95"/>
      <c r="E315" s="149"/>
      <c r="F315" s="149"/>
      <c r="G315" s="95"/>
      <c r="H315" s="149"/>
      <c r="I315" s="95"/>
      <c r="J315" s="95"/>
      <c r="K315" s="156"/>
      <c r="L315" s="156"/>
      <c r="M315" s="100"/>
      <c r="N315" s="127"/>
      <c r="O315" s="128"/>
      <c r="P315" s="95"/>
      <c r="Q315" s="137"/>
      <c r="R315" s="129"/>
      <c r="S315" s="95"/>
      <c r="T315" s="95"/>
      <c r="V315" s="107"/>
    </row>
    <row r="316" ht="15.75" customHeight="1">
      <c r="A316" s="89"/>
      <c r="B316" s="182"/>
      <c r="C316" s="149"/>
      <c r="D316" s="95"/>
      <c r="E316" s="149"/>
      <c r="F316" s="149"/>
      <c r="G316" s="95"/>
      <c r="H316" s="149"/>
      <c r="I316" s="95"/>
      <c r="J316" s="95"/>
      <c r="K316" s="154"/>
      <c r="L316" s="154"/>
      <c r="M316" s="100"/>
      <c r="N316" s="127"/>
      <c r="O316" s="128"/>
      <c r="P316" s="95"/>
      <c r="Q316" s="137"/>
      <c r="R316" s="129"/>
      <c r="S316" s="95"/>
      <c r="T316" s="95"/>
      <c r="V316" s="107"/>
    </row>
    <row r="317" ht="15.75" customHeight="1">
      <c r="A317" s="89"/>
      <c r="B317" s="182"/>
      <c r="C317" s="149"/>
      <c r="D317" s="95"/>
      <c r="E317" s="149"/>
      <c r="F317" s="149"/>
      <c r="G317" s="95"/>
      <c r="H317" s="149"/>
      <c r="I317" s="95"/>
      <c r="J317" s="95"/>
      <c r="K317" s="156"/>
      <c r="L317" s="156"/>
      <c r="M317" s="100"/>
      <c r="N317" s="127"/>
      <c r="O317" s="128"/>
      <c r="P317" s="95"/>
      <c r="Q317" s="137"/>
      <c r="R317" s="129"/>
      <c r="S317" s="95"/>
      <c r="T317" s="95"/>
      <c r="V317" s="107"/>
    </row>
    <row r="318" ht="15.75" customHeight="1">
      <c r="A318" s="89"/>
      <c r="B318" s="182"/>
      <c r="C318" s="149"/>
      <c r="D318" s="95"/>
      <c r="E318" s="149"/>
      <c r="F318" s="149"/>
      <c r="G318" s="95"/>
      <c r="H318" s="149"/>
      <c r="I318" s="95"/>
      <c r="J318" s="95"/>
      <c r="K318" s="154"/>
      <c r="L318" s="154"/>
      <c r="M318" s="100"/>
      <c r="N318" s="127"/>
      <c r="O318" s="128"/>
      <c r="P318" s="95"/>
      <c r="Q318" s="137"/>
      <c r="R318" s="129"/>
      <c r="S318" s="95"/>
      <c r="T318" s="95"/>
      <c r="V318" s="107"/>
    </row>
    <row r="319" ht="15.75" customHeight="1">
      <c r="A319" s="89"/>
      <c r="B319" s="182"/>
      <c r="C319" s="107"/>
      <c r="D319" s="95"/>
      <c r="E319" s="149"/>
      <c r="F319" s="149"/>
      <c r="G319" s="95"/>
      <c r="H319" s="149"/>
      <c r="I319" s="95"/>
      <c r="J319" s="95"/>
      <c r="K319" s="156"/>
      <c r="L319" s="156"/>
      <c r="M319" s="100"/>
      <c r="N319" s="127"/>
      <c r="O319" s="128"/>
      <c r="P319" s="95"/>
      <c r="Q319" s="137"/>
      <c r="R319" s="129"/>
      <c r="S319" s="95"/>
      <c r="T319" s="95"/>
      <c r="V319" s="107"/>
    </row>
    <row r="320" ht="15.75" customHeight="1">
      <c r="A320" s="89"/>
      <c r="B320" s="182"/>
      <c r="C320" s="149"/>
      <c r="D320" s="95"/>
      <c r="E320" s="149"/>
      <c r="F320" s="149"/>
      <c r="G320" s="95"/>
      <c r="H320" s="149"/>
      <c r="I320" s="95"/>
      <c r="J320" s="95"/>
      <c r="K320" s="154"/>
      <c r="L320" s="154"/>
      <c r="M320" s="100"/>
      <c r="N320" s="127"/>
      <c r="O320" s="128"/>
      <c r="P320" s="95"/>
      <c r="Q320" s="137"/>
      <c r="R320" s="129"/>
      <c r="S320" s="95"/>
      <c r="T320" s="95"/>
      <c r="V320" s="107"/>
    </row>
    <row r="321" ht="15.75" customHeight="1">
      <c r="A321" s="89"/>
      <c r="B321" s="182"/>
      <c r="C321" s="149"/>
      <c r="D321" s="95"/>
      <c r="E321" s="149"/>
      <c r="F321" s="149"/>
      <c r="G321" s="95"/>
      <c r="H321" s="149"/>
      <c r="I321" s="95"/>
      <c r="J321" s="95"/>
      <c r="K321" s="156"/>
      <c r="L321" s="156"/>
      <c r="M321" s="100"/>
      <c r="N321" s="127"/>
      <c r="O321" s="128"/>
      <c r="P321" s="95"/>
      <c r="Q321" s="137"/>
      <c r="R321" s="129"/>
      <c r="S321" s="95"/>
      <c r="T321" s="95"/>
      <c r="V321" s="107"/>
    </row>
    <row r="322" ht="15.75" customHeight="1">
      <c r="A322" s="89"/>
      <c r="B322" s="182"/>
      <c r="C322" s="149"/>
      <c r="D322" s="95"/>
      <c r="E322" s="149"/>
      <c r="F322" s="149"/>
      <c r="G322" s="95"/>
      <c r="H322" s="149"/>
      <c r="I322" s="95"/>
      <c r="J322" s="95"/>
      <c r="K322" s="154"/>
      <c r="L322" s="154"/>
      <c r="M322" s="100"/>
      <c r="N322" s="127"/>
      <c r="O322" s="128"/>
      <c r="P322" s="95"/>
      <c r="Q322" s="137"/>
      <c r="R322" s="129"/>
      <c r="S322" s="95"/>
      <c r="T322" s="95"/>
      <c r="V322" s="107"/>
    </row>
    <row r="323" ht="15.75" customHeight="1">
      <c r="A323" s="89"/>
      <c r="B323" s="182"/>
      <c r="C323" s="149"/>
      <c r="D323" s="95"/>
      <c r="E323" s="149"/>
      <c r="F323" s="149"/>
      <c r="G323" s="95"/>
      <c r="H323" s="149"/>
      <c r="I323" s="95"/>
      <c r="J323" s="95"/>
      <c r="K323" s="156"/>
      <c r="L323" s="156"/>
      <c r="M323" s="100"/>
      <c r="N323" s="127"/>
      <c r="O323" s="128"/>
      <c r="P323" s="95"/>
      <c r="Q323" s="137"/>
      <c r="R323" s="129"/>
      <c r="S323" s="95"/>
      <c r="T323" s="95"/>
      <c r="V323" s="107"/>
    </row>
    <row r="324" ht="15.75" customHeight="1">
      <c r="A324" s="89"/>
      <c r="B324" s="182"/>
      <c r="C324" s="149"/>
      <c r="D324" s="95"/>
      <c r="E324" s="149"/>
      <c r="F324" s="149"/>
      <c r="G324" s="95"/>
      <c r="H324" s="149"/>
      <c r="I324" s="95"/>
      <c r="J324" s="95"/>
      <c r="K324" s="154"/>
      <c r="L324" s="154"/>
      <c r="M324" s="100"/>
      <c r="N324" s="127"/>
      <c r="O324" s="128"/>
      <c r="P324" s="95"/>
      <c r="Q324" s="137"/>
      <c r="R324" s="129"/>
      <c r="S324" s="95"/>
      <c r="T324" s="95"/>
      <c r="V324" s="107"/>
    </row>
    <row r="325" ht="15.75" customHeight="1">
      <c r="A325" s="89"/>
      <c r="B325" s="182"/>
      <c r="C325" s="107"/>
      <c r="D325" s="95"/>
      <c r="E325" s="149"/>
      <c r="F325" s="149"/>
      <c r="G325" s="95"/>
      <c r="H325" s="149"/>
      <c r="I325" s="95"/>
      <c r="J325" s="95"/>
      <c r="K325" s="156"/>
      <c r="L325" s="156"/>
      <c r="M325" s="100"/>
      <c r="N325" s="127"/>
      <c r="O325" s="128"/>
      <c r="P325" s="95"/>
      <c r="Q325" s="137"/>
      <c r="R325" s="129"/>
      <c r="S325" s="95"/>
      <c r="T325" s="95"/>
      <c r="V325" s="107"/>
    </row>
    <row r="326" ht="15.75" customHeight="1">
      <c r="A326" s="89"/>
      <c r="B326" s="182"/>
      <c r="C326" s="149"/>
      <c r="D326" s="95"/>
      <c r="E326" s="149"/>
      <c r="F326" s="149"/>
      <c r="G326" s="95"/>
      <c r="H326" s="149"/>
      <c r="I326" s="95"/>
      <c r="J326" s="95"/>
      <c r="K326" s="154"/>
      <c r="L326" s="154"/>
      <c r="M326" s="100"/>
      <c r="N326" s="127"/>
      <c r="O326" s="128"/>
      <c r="P326" s="95"/>
      <c r="Q326" s="137"/>
      <c r="R326" s="129"/>
      <c r="S326" s="95"/>
      <c r="T326" s="95"/>
      <c r="V326" s="107"/>
    </row>
    <row r="327" ht="15.75" customHeight="1">
      <c r="A327" s="89"/>
      <c r="B327" s="182"/>
      <c r="C327" s="149"/>
      <c r="D327" s="95"/>
      <c r="E327" s="149"/>
      <c r="F327" s="149"/>
      <c r="G327" s="95"/>
      <c r="H327" s="149"/>
      <c r="I327" s="95"/>
      <c r="J327" s="95"/>
      <c r="K327" s="156"/>
      <c r="L327" s="156"/>
      <c r="M327" s="100"/>
      <c r="N327" s="127"/>
      <c r="O327" s="128"/>
      <c r="P327" s="95"/>
      <c r="Q327" s="137"/>
      <c r="R327" s="129"/>
      <c r="S327" s="95"/>
      <c r="T327" s="95"/>
      <c r="V327" s="107"/>
    </row>
    <row r="328" ht="15.75" customHeight="1">
      <c r="A328" s="89"/>
      <c r="B328" s="182"/>
      <c r="C328" s="149"/>
      <c r="D328" s="95"/>
      <c r="E328" s="149"/>
      <c r="F328" s="149"/>
      <c r="G328" s="95"/>
      <c r="H328" s="149"/>
      <c r="I328" s="95"/>
      <c r="J328" s="95"/>
      <c r="K328" s="158"/>
      <c r="L328" s="158"/>
      <c r="M328" s="100"/>
      <c r="N328" s="127"/>
      <c r="O328" s="128"/>
      <c r="P328" s="95"/>
      <c r="Q328" s="137"/>
      <c r="R328" s="129"/>
      <c r="S328" s="95"/>
      <c r="T328" s="95"/>
      <c r="V328" s="107"/>
    </row>
    <row r="329" ht="15.75" customHeight="1">
      <c r="A329" s="89"/>
      <c r="B329" s="182"/>
      <c r="C329" s="149"/>
      <c r="D329" s="95"/>
      <c r="E329" s="149"/>
      <c r="F329" s="149"/>
      <c r="G329" s="95"/>
      <c r="H329" s="149"/>
      <c r="I329" s="95"/>
      <c r="J329" s="95"/>
      <c r="K329" s="158"/>
      <c r="L329" s="158"/>
      <c r="M329" s="100"/>
      <c r="N329" s="127"/>
      <c r="O329" s="128"/>
      <c r="P329" s="95"/>
      <c r="Q329" s="137"/>
      <c r="R329" s="129"/>
      <c r="S329" s="95"/>
      <c r="T329" s="95"/>
      <c r="V329" s="107"/>
    </row>
    <row r="330" ht="15.75" customHeight="1">
      <c r="A330" s="89"/>
      <c r="B330" s="182"/>
      <c r="C330" s="149"/>
      <c r="D330" s="95"/>
      <c r="E330" s="149"/>
      <c r="F330" s="149"/>
      <c r="G330" s="95"/>
      <c r="H330" s="149"/>
      <c r="I330" s="95"/>
      <c r="J330" s="95"/>
      <c r="K330" s="158"/>
      <c r="L330" s="158"/>
      <c r="M330" s="100"/>
      <c r="N330" s="127"/>
      <c r="O330" s="128"/>
      <c r="P330" s="95"/>
      <c r="Q330" s="137"/>
      <c r="R330" s="129"/>
      <c r="S330" s="95"/>
      <c r="T330" s="95"/>
      <c r="V330" s="107"/>
    </row>
    <row r="331" ht="15.75" customHeight="1">
      <c r="A331" s="89"/>
      <c r="B331" s="182"/>
      <c r="C331" s="107"/>
      <c r="D331" s="95"/>
      <c r="E331" s="149"/>
      <c r="F331" s="149"/>
      <c r="G331" s="95"/>
      <c r="H331" s="149"/>
      <c r="I331" s="95"/>
      <c r="J331" s="95"/>
      <c r="K331" s="158"/>
      <c r="L331" s="158"/>
      <c r="M331" s="100"/>
      <c r="N331" s="127"/>
      <c r="O331" s="128"/>
      <c r="P331" s="95"/>
      <c r="Q331" s="137"/>
      <c r="R331" s="129"/>
      <c r="S331" s="95"/>
      <c r="T331" s="95"/>
      <c r="V331" s="107"/>
    </row>
    <row r="332" ht="15.75" customHeight="1">
      <c r="A332" s="89"/>
      <c r="B332" s="182"/>
      <c r="C332" s="149"/>
      <c r="D332" s="95"/>
      <c r="E332" s="149"/>
      <c r="F332" s="149"/>
      <c r="G332" s="95"/>
      <c r="H332" s="149"/>
      <c r="I332" s="95"/>
      <c r="J332" s="95"/>
      <c r="K332" s="158"/>
      <c r="L332" s="158"/>
      <c r="M332" s="100"/>
      <c r="N332" s="127"/>
      <c r="O332" s="128"/>
      <c r="P332" s="95"/>
      <c r="Q332" s="137"/>
      <c r="R332" s="129"/>
      <c r="S332" s="95"/>
      <c r="T332" s="95"/>
      <c r="V332" s="107"/>
    </row>
    <row r="333" ht="15.75" customHeight="1">
      <c r="A333" s="89"/>
      <c r="B333" s="182"/>
      <c r="C333" s="149"/>
      <c r="D333" s="95"/>
      <c r="E333" s="149"/>
      <c r="F333" s="149"/>
      <c r="G333" s="95"/>
      <c r="H333" s="149"/>
      <c r="I333" s="95"/>
      <c r="J333" s="95"/>
      <c r="K333" s="158"/>
      <c r="L333" s="158"/>
      <c r="M333" s="100"/>
      <c r="N333" s="127"/>
      <c r="O333" s="128"/>
      <c r="P333" s="95"/>
      <c r="Q333" s="137"/>
      <c r="R333" s="129"/>
      <c r="S333" s="95"/>
      <c r="T333" s="95"/>
      <c r="V333" s="107"/>
    </row>
    <row r="334" ht="15.75" customHeight="1">
      <c r="A334" s="89"/>
      <c r="B334" s="182"/>
      <c r="C334" s="149"/>
      <c r="D334" s="95"/>
      <c r="E334" s="149"/>
      <c r="F334" s="149"/>
      <c r="G334" s="95"/>
      <c r="H334" s="149"/>
      <c r="I334" s="95"/>
      <c r="J334" s="95"/>
      <c r="K334" s="158"/>
      <c r="L334" s="158"/>
      <c r="M334" s="100"/>
      <c r="N334" s="127"/>
      <c r="O334" s="128"/>
      <c r="P334" s="95"/>
      <c r="Q334" s="137"/>
      <c r="R334" s="129"/>
      <c r="S334" s="95"/>
      <c r="T334" s="95"/>
      <c r="V334" s="107"/>
    </row>
    <row r="335" ht="15.75" customHeight="1">
      <c r="A335" s="89"/>
      <c r="B335" s="182"/>
      <c r="C335" s="149"/>
      <c r="D335" s="95"/>
      <c r="E335" s="149"/>
      <c r="F335" s="149"/>
      <c r="G335" s="95"/>
      <c r="H335" s="149"/>
      <c r="I335" s="95"/>
      <c r="J335" s="95"/>
      <c r="K335" s="158"/>
      <c r="L335" s="158"/>
      <c r="M335" s="100"/>
      <c r="N335" s="127"/>
      <c r="O335" s="128"/>
      <c r="P335" s="95"/>
      <c r="Q335" s="137"/>
      <c r="R335" s="129"/>
      <c r="S335" s="95"/>
      <c r="T335" s="95"/>
      <c r="V335" s="107"/>
    </row>
    <row r="336" ht="15.75" customHeight="1">
      <c r="A336" s="89"/>
      <c r="B336" s="182"/>
      <c r="C336" s="149"/>
      <c r="D336" s="95"/>
      <c r="E336" s="149"/>
      <c r="F336" s="149"/>
      <c r="G336" s="95"/>
      <c r="H336" s="149"/>
      <c r="I336" s="95"/>
      <c r="J336" s="95"/>
      <c r="K336" s="158"/>
      <c r="L336" s="158"/>
      <c r="M336" s="100"/>
      <c r="N336" s="127"/>
      <c r="O336" s="128"/>
      <c r="P336" s="95"/>
      <c r="Q336" s="137"/>
      <c r="R336" s="129"/>
      <c r="S336" s="95"/>
      <c r="T336" s="95"/>
      <c r="V336" s="107"/>
    </row>
    <row r="337" ht="15.75" customHeight="1">
      <c r="A337" s="89"/>
      <c r="B337" s="182"/>
      <c r="C337" s="107"/>
      <c r="D337" s="95"/>
      <c r="E337" s="149"/>
      <c r="F337" s="149"/>
      <c r="G337" s="95"/>
      <c r="H337" s="149"/>
      <c r="I337" s="95"/>
      <c r="J337" s="95"/>
      <c r="K337" s="158"/>
      <c r="L337" s="158"/>
      <c r="M337" s="100"/>
      <c r="N337" s="127"/>
      <c r="O337" s="128"/>
      <c r="P337" s="95"/>
      <c r="Q337" s="137"/>
      <c r="R337" s="129"/>
      <c r="S337" s="95"/>
      <c r="T337" s="95"/>
      <c r="V337" s="107"/>
    </row>
    <row r="338" ht="15.75" customHeight="1">
      <c r="A338" s="89"/>
      <c r="B338" s="182"/>
      <c r="C338" s="149"/>
      <c r="D338" s="95"/>
      <c r="E338" s="149"/>
      <c r="F338" s="149"/>
      <c r="G338" s="95"/>
      <c r="H338" s="149"/>
      <c r="I338" s="95"/>
      <c r="J338" s="95"/>
      <c r="K338" s="158"/>
      <c r="L338" s="158"/>
      <c r="M338" s="100"/>
      <c r="N338" s="127"/>
      <c r="O338" s="128"/>
      <c r="P338" s="95"/>
      <c r="Q338" s="137"/>
      <c r="R338" s="129"/>
      <c r="S338" s="95"/>
      <c r="T338" s="95"/>
      <c r="V338" s="107"/>
    </row>
    <row r="339" ht="15.75" customHeight="1">
      <c r="A339" s="89"/>
      <c r="B339" s="182"/>
      <c r="C339" s="149"/>
      <c r="D339" s="95"/>
      <c r="E339" s="149"/>
      <c r="F339" s="149"/>
      <c r="G339" s="95"/>
      <c r="H339" s="149"/>
      <c r="I339" s="95"/>
      <c r="J339" s="95"/>
      <c r="K339" s="158"/>
      <c r="L339" s="158"/>
      <c r="M339" s="100"/>
      <c r="N339" s="127"/>
      <c r="O339" s="128"/>
      <c r="P339" s="95"/>
      <c r="Q339" s="137"/>
      <c r="R339" s="129"/>
      <c r="S339" s="95"/>
      <c r="T339" s="95"/>
      <c r="V339" s="107"/>
    </row>
    <row r="340" ht="15.75" customHeight="1">
      <c r="A340" s="89"/>
      <c r="B340" s="182"/>
      <c r="C340" s="149"/>
      <c r="D340" s="95"/>
      <c r="E340" s="149"/>
      <c r="F340" s="149"/>
      <c r="G340" s="95"/>
      <c r="H340" s="149"/>
      <c r="I340" s="95"/>
      <c r="J340" s="95"/>
      <c r="K340" s="158"/>
      <c r="L340" s="158"/>
      <c r="M340" s="100"/>
      <c r="N340" s="127"/>
      <c r="O340" s="128"/>
      <c r="P340" s="95"/>
      <c r="Q340" s="137"/>
      <c r="R340" s="129"/>
      <c r="S340" s="95"/>
      <c r="T340" s="95"/>
      <c r="V340" s="107"/>
    </row>
    <row r="341" ht="15.75" customHeight="1">
      <c r="A341" s="89"/>
      <c r="B341" s="182"/>
      <c r="C341" s="149"/>
      <c r="D341" s="95"/>
      <c r="E341" s="149"/>
      <c r="F341" s="149"/>
      <c r="G341" s="95"/>
      <c r="H341" s="149"/>
      <c r="I341" s="95"/>
      <c r="J341" s="95"/>
      <c r="K341" s="158"/>
      <c r="L341" s="158"/>
      <c r="M341" s="100"/>
      <c r="N341" s="127"/>
      <c r="O341" s="128"/>
      <c r="P341" s="95"/>
      <c r="Q341" s="137"/>
      <c r="R341" s="129"/>
      <c r="S341" s="95"/>
      <c r="T341" s="95"/>
      <c r="V341" s="107"/>
    </row>
    <row r="342" ht="15.75" customHeight="1">
      <c r="A342" s="89"/>
      <c r="B342" s="182"/>
      <c r="C342" s="149"/>
      <c r="D342" s="95"/>
      <c r="E342" s="149"/>
      <c r="F342" s="149"/>
      <c r="G342" s="95"/>
      <c r="H342" s="149"/>
      <c r="I342" s="95"/>
      <c r="J342" s="95"/>
      <c r="K342" s="158"/>
      <c r="L342" s="158"/>
      <c r="M342" s="100"/>
      <c r="N342" s="127"/>
      <c r="O342" s="128"/>
      <c r="P342" s="95"/>
      <c r="Q342" s="137"/>
      <c r="R342" s="129"/>
      <c r="S342" s="95"/>
      <c r="T342" s="95"/>
      <c r="V342" s="107"/>
    </row>
    <row r="343" ht="15.75" customHeight="1">
      <c r="A343" s="89"/>
      <c r="B343" s="182"/>
      <c r="C343" s="107"/>
      <c r="D343" s="95"/>
      <c r="E343" s="149"/>
      <c r="F343" s="149"/>
      <c r="G343" s="95"/>
      <c r="H343" s="149"/>
      <c r="I343" s="95"/>
      <c r="J343" s="95"/>
      <c r="K343" s="158"/>
      <c r="L343" s="158"/>
      <c r="M343" s="100"/>
      <c r="N343" s="127"/>
      <c r="O343" s="128"/>
      <c r="P343" s="95"/>
      <c r="Q343" s="137"/>
      <c r="R343" s="129"/>
      <c r="S343" s="95"/>
      <c r="T343" s="95"/>
      <c r="V343" s="107"/>
    </row>
    <row r="344" ht="15.75" customHeight="1">
      <c r="A344" s="89"/>
      <c r="B344" s="182"/>
      <c r="C344" s="149"/>
      <c r="D344" s="95"/>
      <c r="E344" s="149"/>
      <c r="F344" s="149"/>
      <c r="G344" s="95"/>
      <c r="H344" s="149"/>
      <c r="I344" s="95"/>
      <c r="J344" s="95"/>
      <c r="K344" s="158"/>
      <c r="L344" s="158"/>
      <c r="M344" s="100"/>
      <c r="N344" s="127"/>
      <c r="O344" s="128"/>
      <c r="P344" s="95"/>
      <c r="Q344" s="137"/>
      <c r="R344" s="129"/>
      <c r="S344" s="95"/>
      <c r="T344" s="95"/>
      <c r="V344" s="107"/>
    </row>
    <row r="345" ht="15.75" customHeight="1">
      <c r="A345" s="89"/>
      <c r="B345" s="182"/>
      <c r="C345" s="149"/>
      <c r="D345" s="95"/>
      <c r="E345" s="149"/>
      <c r="F345" s="149"/>
      <c r="G345" s="95"/>
      <c r="H345" s="149"/>
      <c r="I345" s="95"/>
      <c r="J345" s="95"/>
      <c r="K345" s="158"/>
      <c r="L345" s="158"/>
      <c r="M345" s="100"/>
      <c r="N345" s="127"/>
      <c r="O345" s="128"/>
      <c r="P345" s="95"/>
      <c r="Q345" s="137"/>
      <c r="R345" s="129"/>
      <c r="S345" s="95"/>
      <c r="T345" s="95"/>
      <c r="V345" s="107"/>
    </row>
    <row r="346" ht="15.75" customHeight="1">
      <c r="A346" s="89"/>
      <c r="B346" s="182"/>
      <c r="C346" s="149"/>
      <c r="D346" s="95"/>
      <c r="E346" s="149"/>
      <c r="F346" s="149"/>
      <c r="G346" s="95"/>
      <c r="H346" s="149"/>
      <c r="I346" s="95"/>
      <c r="J346" s="95"/>
      <c r="K346" s="158"/>
      <c r="L346" s="158"/>
      <c r="M346" s="100"/>
      <c r="N346" s="127"/>
      <c r="O346" s="128"/>
      <c r="P346" s="95"/>
      <c r="Q346" s="137"/>
      <c r="R346" s="129"/>
      <c r="S346" s="95"/>
      <c r="T346" s="95"/>
      <c r="V346" s="107"/>
    </row>
    <row r="347" ht="15.75" customHeight="1">
      <c r="A347" s="89"/>
      <c r="B347" s="182"/>
      <c r="C347" s="149"/>
      <c r="D347" s="95"/>
      <c r="E347" s="149"/>
      <c r="F347" s="149"/>
      <c r="G347" s="95"/>
      <c r="H347" s="149"/>
      <c r="I347" s="95"/>
      <c r="J347" s="95"/>
      <c r="K347" s="158"/>
      <c r="L347" s="158"/>
      <c r="M347" s="100"/>
      <c r="N347" s="127"/>
      <c r="O347" s="128"/>
      <c r="P347" s="95"/>
      <c r="Q347" s="137"/>
      <c r="R347" s="129"/>
      <c r="S347" s="95"/>
      <c r="T347" s="95"/>
      <c r="V347" s="107"/>
    </row>
    <row r="348" ht="15.75" customHeight="1">
      <c r="A348" s="89"/>
      <c r="B348" s="182"/>
      <c r="C348" s="149"/>
      <c r="D348" s="95"/>
      <c r="E348" s="149"/>
      <c r="F348" s="149"/>
      <c r="G348" s="95"/>
      <c r="H348" s="149"/>
      <c r="I348" s="95"/>
      <c r="J348" s="95"/>
      <c r="K348" s="158"/>
      <c r="L348" s="158"/>
      <c r="M348" s="100"/>
      <c r="N348" s="127"/>
      <c r="O348" s="128"/>
      <c r="P348" s="95"/>
      <c r="Q348" s="137"/>
      <c r="R348" s="129"/>
      <c r="S348" s="95"/>
      <c r="T348" s="95"/>
      <c r="V348" s="107"/>
    </row>
    <row r="349" ht="15.75" customHeight="1">
      <c r="A349" s="89"/>
      <c r="B349" s="182"/>
      <c r="C349" s="107"/>
      <c r="D349" s="95"/>
      <c r="E349" s="149"/>
      <c r="F349" s="149"/>
      <c r="G349" s="95"/>
      <c r="H349" s="149"/>
      <c r="I349" s="95"/>
      <c r="J349" s="95"/>
      <c r="K349" s="158"/>
      <c r="L349" s="158"/>
      <c r="M349" s="100"/>
      <c r="N349" s="127"/>
      <c r="O349" s="128"/>
      <c r="P349" s="95"/>
      <c r="Q349" s="137"/>
      <c r="R349" s="129"/>
      <c r="S349" s="95"/>
      <c r="T349" s="95"/>
      <c r="V349" s="107"/>
    </row>
    <row r="350" ht="15.75" customHeight="1">
      <c r="A350" s="89"/>
      <c r="B350" s="182"/>
      <c r="C350" s="149"/>
      <c r="D350" s="95"/>
      <c r="E350" s="149"/>
      <c r="F350" s="149"/>
      <c r="G350" s="95"/>
      <c r="H350" s="149"/>
      <c r="I350" s="95"/>
      <c r="J350" s="95"/>
      <c r="K350" s="158"/>
      <c r="L350" s="158"/>
      <c r="M350" s="100"/>
      <c r="N350" s="127"/>
      <c r="O350" s="128"/>
      <c r="P350" s="95"/>
      <c r="Q350" s="137"/>
      <c r="R350" s="129"/>
      <c r="S350" s="95"/>
      <c r="T350" s="95"/>
      <c r="V350" s="107"/>
    </row>
    <row r="351" ht="15.75" customHeight="1">
      <c r="A351" s="89"/>
      <c r="B351" s="182"/>
      <c r="C351" s="149"/>
      <c r="D351" s="95"/>
      <c r="E351" s="149"/>
      <c r="F351" s="149"/>
      <c r="G351" s="95"/>
      <c r="H351" s="149"/>
      <c r="I351" s="95"/>
      <c r="J351" s="95"/>
      <c r="K351" s="158"/>
      <c r="L351" s="158"/>
      <c r="M351" s="100"/>
      <c r="N351" s="127"/>
      <c r="O351" s="128"/>
      <c r="P351" s="95"/>
      <c r="Q351" s="137"/>
      <c r="R351" s="129"/>
      <c r="S351" s="95"/>
      <c r="T351" s="95"/>
      <c r="V351" s="107"/>
    </row>
    <row r="352" ht="15.75" customHeight="1">
      <c r="A352" s="89"/>
      <c r="B352" s="182"/>
      <c r="C352" s="149"/>
      <c r="D352" s="95"/>
      <c r="E352" s="149"/>
      <c r="F352" s="149"/>
      <c r="G352" s="95"/>
      <c r="H352" s="149"/>
      <c r="I352" s="95"/>
      <c r="J352" s="95"/>
      <c r="K352" s="158"/>
      <c r="L352" s="158"/>
      <c r="M352" s="100"/>
      <c r="N352" s="127"/>
      <c r="O352" s="128"/>
      <c r="P352" s="95"/>
      <c r="Q352" s="137"/>
      <c r="R352" s="129"/>
      <c r="S352" s="95"/>
      <c r="T352" s="95"/>
      <c r="V352" s="107"/>
    </row>
    <row r="353" ht="15.75" customHeight="1">
      <c r="A353" s="89"/>
      <c r="B353" s="182"/>
      <c r="C353" s="149"/>
      <c r="D353" s="95"/>
      <c r="E353" s="149"/>
      <c r="F353" s="149"/>
      <c r="G353" s="95"/>
      <c r="H353" s="149"/>
      <c r="I353" s="95"/>
      <c r="J353" s="95"/>
      <c r="K353" s="158"/>
      <c r="L353" s="158"/>
      <c r="M353" s="100"/>
      <c r="N353" s="127"/>
      <c r="O353" s="128"/>
      <c r="P353" s="95"/>
      <c r="Q353" s="137"/>
      <c r="R353" s="129"/>
      <c r="S353" s="95"/>
      <c r="T353" s="95"/>
      <c r="V353" s="107"/>
    </row>
    <row r="354" ht="15.75" customHeight="1">
      <c r="A354" s="89"/>
      <c r="B354" s="182"/>
      <c r="C354" s="149"/>
      <c r="D354" s="95"/>
      <c r="E354" s="149"/>
      <c r="F354" s="149"/>
      <c r="G354" s="95"/>
      <c r="H354" s="149"/>
      <c r="I354" s="95"/>
      <c r="J354" s="95"/>
      <c r="K354" s="158"/>
      <c r="L354" s="158"/>
      <c r="M354" s="100"/>
      <c r="N354" s="127"/>
      <c r="O354" s="128"/>
      <c r="P354" s="95"/>
      <c r="Q354" s="137"/>
      <c r="R354" s="129"/>
      <c r="S354" s="95"/>
      <c r="T354" s="95"/>
      <c r="V354" s="107"/>
    </row>
    <row r="355" ht="15.75" customHeight="1">
      <c r="A355" s="89"/>
      <c r="B355" s="182"/>
      <c r="C355" s="107"/>
      <c r="D355" s="95"/>
      <c r="E355" s="149"/>
      <c r="F355" s="149"/>
      <c r="G355" s="95"/>
      <c r="H355" s="149"/>
      <c r="I355" s="95"/>
      <c r="J355" s="95"/>
      <c r="K355" s="158"/>
      <c r="L355" s="158"/>
      <c r="M355" s="100"/>
      <c r="N355" s="127"/>
      <c r="O355" s="128"/>
      <c r="P355" s="95"/>
      <c r="Q355" s="137"/>
      <c r="R355" s="129"/>
      <c r="S355" s="95"/>
      <c r="T355" s="95"/>
      <c r="V355" s="107"/>
    </row>
    <row r="356" ht="15.75" customHeight="1">
      <c r="A356" s="89"/>
      <c r="B356" s="182"/>
      <c r="C356" s="149"/>
      <c r="D356" s="95"/>
      <c r="E356" s="149"/>
      <c r="F356" s="149"/>
      <c r="G356" s="95"/>
      <c r="H356" s="149"/>
      <c r="I356" s="95"/>
      <c r="J356" s="95"/>
      <c r="K356" s="158"/>
      <c r="L356" s="158"/>
      <c r="M356" s="100"/>
      <c r="N356" s="127"/>
      <c r="O356" s="128"/>
      <c r="P356" s="95"/>
      <c r="Q356" s="137"/>
      <c r="R356" s="129"/>
      <c r="S356" s="95"/>
      <c r="T356" s="95"/>
      <c r="V356" s="107"/>
    </row>
    <row r="357" ht="15.75" customHeight="1">
      <c r="A357" s="89"/>
      <c r="B357" s="182"/>
      <c r="C357" s="149"/>
      <c r="D357" s="95"/>
      <c r="E357" s="149"/>
      <c r="F357" s="149"/>
      <c r="G357" s="95"/>
      <c r="H357" s="149"/>
      <c r="I357" s="95"/>
      <c r="J357" s="95"/>
      <c r="K357" s="158"/>
      <c r="L357" s="158"/>
      <c r="M357" s="100"/>
      <c r="N357" s="127"/>
      <c r="O357" s="128"/>
      <c r="P357" s="95"/>
      <c r="Q357" s="137"/>
      <c r="R357" s="129"/>
      <c r="S357" s="95"/>
      <c r="T357" s="95"/>
      <c r="V357" s="107"/>
    </row>
    <row r="358" ht="15.75" customHeight="1">
      <c r="A358" s="89"/>
      <c r="B358" s="182"/>
      <c r="C358" s="149"/>
      <c r="D358" s="95"/>
      <c r="E358" s="149"/>
      <c r="F358" s="149"/>
      <c r="G358" s="95"/>
      <c r="H358" s="149"/>
      <c r="I358" s="95"/>
      <c r="J358" s="95"/>
      <c r="K358" s="158"/>
      <c r="L358" s="158"/>
      <c r="M358" s="100"/>
      <c r="N358" s="127"/>
      <c r="O358" s="128"/>
      <c r="P358" s="95"/>
      <c r="Q358" s="137"/>
      <c r="R358" s="129"/>
      <c r="S358" s="95"/>
      <c r="T358" s="95"/>
      <c r="V358" s="107"/>
    </row>
    <row r="359" ht="15.75" customHeight="1">
      <c r="A359" s="89"/>
      <c r="B359" s="182"/>
      <c r="C359" s="149"/>
      <c r="D359" s="95"/>
      <c r="E359" s="149"/>
      <c r="F359" s="149"/>
      <c r="G359" s="95"/>
      <c r="H359" s="149"/>
      <c r="I359" s="95"/>
      <c r="J359" s="95"/>
      <c r="K359" s="158"/>
      <c r="L359" s="158"/>
      <c r="M359" s="100"/>
      <c r="N359" s="127"/>
      <c r="O359" s="128"/>
      <c r="P359" s="95"/>
      <c r="Q359" s="137"/>
      <c r="R359" s="129"/>
      <c r="S359" s="95"/>
      <c r="T359" s="95"/>
      <c r="V359" s="107"/>
    </row>
    <row r="360" ht="15.75" customHeight="1">
      <c r="A360" s="89"/>
      <c r="B360" s="182"/>
      <c r="C360" s="149"/>
      <c r="D360" s="95"/>
      <c r="E360" s="149"/>
      <c r="F360" s="149"/>
      <c r="G360" s="95"/>
      <c r="H360" s="149"/>
      <c r="I360" s="95"/>
      <c r="J360" s="95"/>
      <c r="K360" s="158"/>
      <c r="L360" s="158"/>
      <c r="M360" s="100"/>
      <c r="N360" s="127"/>
      <c r="O360" s="128"/>
      <c r="P360" s="95"/>
      <c r="Q360" s="137"/>
      <c r="R360" s="129"/>
      <c r="S360" s="95"/>
      <c r="T360" s="95"/>
      <c r="V360" s="107"/>
    </row>
  </sheetData>
  <autoFilter ref="$A$12:$V$109"/>
  <customSheetViews>
    <customSheetView guid="{3D5205AB-724F-426F-9D73-83BFCBF63977}" filter="1" showAutoFilter="1">
      <autoFilter ref="$R$18:$R$33"/>
    </customSheetView>
  </customSheetViews>
  <mergeCells count="342">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R13"/>
    <hyperlink r:id="rId3" ref="R14"/>
    <hyperlink r:id="rId4" ref="R15"/>
    <hyperlink r:id="rId5" ref="R16"/>
    <hyperlink r:id="rId6" ref="R17"/>
    <hyperlink r:id="rId7" ref="R18"/>
    <hyperlink r:id="rId8" ref="R19"/>
    <hyperlink r:id="rId9" ref="R20"/>
    <hyperlink r:id="rId10" ref="R21"/>
    <hyperlink r:id="rId11" ref="R22"/>
    <hyperlink r:id="rId12" ref="R23"/>
    <hyperlink r:id="rId13" ref="R24"/>
    <hyperlink r:id="rId14" ref="R25"/>
    <hyperlink r:id="rId15" ref="R26"/>
    <hyperlink r:id="rId16" ref="R27"/>
    <hyperlink r:id="rId17" ref="R28"/>
    <hyperlink r:id="rId18" ref="R29"/>
    <hyperlink r:id="rId19" ref="R30"/>
    <hyperlink r:id="rId20" ref="R31"/>
    <hyperlink r:id="rId21" ref="R32"/>
    <hyperlink r:id="rId22" ref="R33"/>
    <hyperlink r:id="rId23" ref="R34"/>
    <hyperlink r:id="rId24" ref="R35"/>
    <hyperlink r:id="rId25" ref="R36"/>
    <hyperlink r:id="rId26" ref="R37"/>
    <hyperlink r:id="rId27" ref="R38"/>
    <hyperlink r:id="rId28" ref="R39"/>
    <hyperlink r:id="rId29" ref="R40"/>
    <hyperlink r:id="rId30" ref="R41"/>
    <hyperlink r:id="rId31" ref="R42"/>
    <hyperlink r:id="rId32" ref="R43"/>
    <hyperlink r:id="rId33" ref="R44"/>
    <hyperlink r:id="rId34" ref="R45"/>
    <hyperlink r:id="rId35" ref="R76"/>
    <hyperlink r:id="rId36" ref="R77"/>
    <hyperlink r:id="rId37" ref="R79"/>
    <hyperlink r:id="rId38" ref="R80"/>
    <hyperlink r:id="rId39" ref="R81"/>
    <hyperlink r:id="rId40" ref="R83"/>
    <hyperlink r:id="rId41" ref="R84"/>
    <hyperlink r:id="rId42" ref="R85"/>
    <hyperlink r:id="rId43" ref="R86"/>
    <hyperlink r:id="rId44" ref="R87"/>
    <hyperlink r:id="rId45" ref="R88"/>
    <hyperlink r:id="rId46" ref="R89"/>
    <hyperlink r:id="rId47" ref="R90"/>
    <hyperlink r:id="rId48" ref="R91"/>
    <hyperlink r:id="rId49" ref="R92"/>
  </hyperlinks>
  <drawing r:id="rId50"/>
  <legacyDrawing r:id="rId5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5.0"/>
    <col customWidth="1" min="4" max="4" width="0.38"/>
    <col customWidth="1" min="5" max="5" width="15.13"/>
    <col customWidth="1" min="6" max="6" width="18.5"/>
    <col customWidth="1" min="7" max="7" width="0.38"/>
    <col customWidth="1" min="8" max="8" width="15.63"/>
    <col customWidth="1" min="9" max="9" width="13.88"/>
    <col customWidth="1" min="10" max="10" width="0.38"/>
    <col customWidth="1" min="13" max="13" width="0.38"/>
    <col customWidth="1" min="15" max="15" width="32.0"/>
    <col customWidth="1" min="16" max="16" width="0.38"/>
    <col customWidth="1" min="17" max="17" width="13.13"/>
    <col customWidth="1" min="19" max="19" width="16.5"/>
    <col customWidth="1" min="21" max="21" width="23.75"/>
    <col customWidth="1" min="22" max="22" width="0.38"/>
  </cols>
  <sheetData>
    <row r="1">
      <c r="A1" s="35"/>
      <c r="B1" s="87" t="s">
        <v>31</v>
      </c>
      <c r="C1" s="87" t="s">
        <v>77</v>
      </c>
      <c r="D1" s="35"/>
      <c r="E1" s="201" t="s">
        <v>643</v>
      </c>
      <c r="F1" s="35"/>
      <c r="H1" s="38" t="s">
        <v>33</v>
      </c>
      <c r="I1" s="39"/>
      <c r="J1" s="35"/>
      <c r="K1" s="38" t="s">
        <v>34</v>
      </c>
      <c r="L1" s="39"/>
      <c r="M1" s="13"/>
      <c r="N1" s="159" t="s">
        <v>35</v>
      </c>
      <c r="O1" s="41"/>
      <c r="P1" s="13"/>
      <c r="Q1" s="38" t="s">
        <v>36</v>
      </c>
      <c r="R1" s="42"/>
      <c r="S1" s="35"/>
      <c r="T1" s="38" t="s">
        <v>37</v>
      </c>
      <c r="U1" s="43"/>
      <c r="V1" s="35"/>
    </row>
    <row r="2">
      <c r="A2" s="35"/>
      <c r="B2" s="39"/>
      <c r="C2" s="39"/>
      <c r="D2" s="13"/>
      <c r="E2" s="202" t="s">
        <v>644</v>
      </c>
      <c r="F2" s="203">
        <f>C3/C6</f>
        <v>5872.340426</v>
      </c>
      <c r="H2" s="160" t="s">
        <v>26</v>
      </c>
      <c r="I2" s="161">
        <f>IFERROR(COUNTIFS(I13:I287, "Full-Pay"),"")</f>
        <v>1</v>
      </c>
      <c r="J2" s="13"/>
      <c r="K2" s="46" t="s">
        <v>16</v>
      </c>
      <c r="L2" s="47">
        <f>iferror(L10/L8,"")</f>
        <v>0.6595744681</v>
      </c>
      <c r="M2" s="12"/>
      <c r="N2" s="162" t="s">
        <v>39</v>
      </c>
      <c r="O2" s="49">
        <f>iferror(I8/L6,"")</f>
        <v>0.0985915493</v>
      </c>
      <c r="P2" s="12"/>
      <c r="Q2" s="50" t="s">
        <v>40</v>
      </c>
      <c r="R2" s="51">
        <f>IFERROR(COUNTIFS(N13:N286, "think about it"),"")</f>
        <v>4</v>
      </c>
      <c r="S2" s="13"/>
      <c r="T2" s="52" t="s">
        <v>41</v>
      </c>
      <c r="U2" s="53">
        <f>IFERROR(COUNTIF(H13:H286,T2),"")</f>
        <v>0</v>
      </c>
      <c r="V2" s="55"/>
    </row>
    <row r="3">
      <c r="A3" s="13"/>
      <c r="B3" s="163" t="s">
        <v>43</v>
      </c>
      <c r="C3" s="57">
        <f>IFERROR(SUM(K13:K283),"")</f>
        <v>276000</v>
      </c>
      <c r="D3" s="58"/>
      <c r="E3" s="202" t="s">
        <v>645</v>
      </c>
      <c r="F3" s="203">
        <f>C4/C6</f>
        <v>1882.978723</v>
      </c>
      <c r="H3" s="160" t="s">
        <v>27</v>
      </c>
      <c r="I3" s="161">
        <f>IFERROR(COUNTIFS(I13:I287, "Split-Pay"),"")</f>
        <v>30</v>
      </c>
      <c r="J3" s="13"/>
      <c r="K3" s="46" t="s">
        <v>17</v>
      </c>
      <c r="L3" s="47">
        <f>IFERROR(L10/L9,"")</f>
        <v>0.6595744681</v>
      </c>
      <c r="M3" s="12"/>
      <c r="N3" s="162" t="s">
        <v>44</v>
      </c>
      <c r="O3" s="49">
        <f>iferror(I9/L6,"")</f>
        <v>0.1549295775</v>
      </c>
      <c r="P3" s="12"/>
      <c r="Q3" s="50" t="s">
        <v>45</v>
      </c>
      <c r="R3" s="59">
        <f>IFERROR(COUNTIFS(N13:N286, "money"),"")</f>
        <v>15</v>
      </c>
      <c r="S3" s="13"/>
      <c r="T3" s="52" t="s">
        <v>46</v>
      </c>
      <c r="U3" s="53">
        <f>IFERROR(COUNTIF(H13:H286,T3),"")</f>
        <v>0</v>
      </c>
      <c r="V3" s="55"/>
    </row>
    <row r="4">
      <c r="A4" s="13"/>
      <c r="B4" s="164" t="s">
        <v>48</v>
      </c>
      <c r="C4" s="61">
        <f>IFERROR(SUM(L13:L284),"")</f>
        <v>88500</v>
      </c>
      <c r="D4" s="58"/>
      <c r="E4" s="202" t="s">
        <v>646</v>
      </c>
      <c r="F4" s="204">
        <f>C4/C3*100</f>
        <v>32.06521739</v>
      </c>
      <c r="H4" s="160" t="s">
        <v>28</v>
      </c>
      <c r="I4" s="161">
        <f>IFERROR(COUNTIFS(I13:I287, "Deposit"),"")</f>
        <v>0</v>
      </c>
      <c r="J4" s="13"/>
      <c r="K4" s="46" t="s">
        <v>18</v>
      </c>
      <c r="L4" s="47">
        <f>IFERROR(L9/L8,"")</f>
        <v>1</v>
      </c>
      <c r="M4" s="12"/>
      <c r="N4" s="162" t="s">
        <v>49</v>
      </c>
      <c r="O4" s="49">
        <f>iferror(I10/L6,"")</f>
        <v>0.08450704225</v>
      </c>
      <c r="P4" s="12"/>
      <c r="Q4" s="50" t="s">
        <v>50</v>
      </c>
      <c r="R4" s="51">
        <f>IFERROR(COUNTIFS(N13:N286, "time"),"")</f>
        <v>0</v>
      </c>
      <c r="S4" s="13"/>
      <c r="T4" s="52" t="s">
        <v>51</v>
      </c>
      <c r="U4" s="53">
        <f>IFERROR(COUNTIF(H13:H286,T4),"")</f>
        <v>0</v>
      </c>
      <c r="V4" s="35"/>
    </row>
    <row r="5">
      <c r="A5" s="35"/>
      <c r="B5" s="39"/>
      <c r="C5" s="39"/>
      <c r="D5" s="13"/>
      <c r="E5" s="202" t="s">
        <v>647</v>
      </c>
      <c r="F5" s="205">
        <f>I2/C7*100</f>
        <v>3.225806452</v>
      </c>
      <c r="H5" s="160" t="s">
        <v>53</v>
      </c>
      <c r="I5" s="161">
        <f>IFERROR(COUNTIFS(I13:I287, "Offer &amp; Didn't Buy"),"")</f>
        <v>16</v>
      </c>
      <c r="J5" s="13"/>
      <c r="K5" s="46" t="s">
        <v>54</v>
      </c>
      <c r="L5" s="47">
        <f>IFERROR(I7/(C6+I7+I8),"")</f>
        <v>0</v>
      </c>
      <c r="M5" s="13"/>
      <c r="N5" s="162" t="s">
        <v>54</v>
      </c>
      <c r="O5" s="49">
        <f>iferror(I7/L6,"")</f>
        <v>0</v>
      </c>
      <c r="P5" s="12"/>
      <c r="Q5" s="50" t="s">
        <v>55</v>
      </c>
      <c r="R5" s="51">
        <f>IFERROR(COUNTIFS(N13:N286, "partner"),"")</f>
        <v>1</v>
      </c>
      <c r="S5" s="13"/>
      <c r="T5" s="52" t="s">
        <v>56</v>
      </c>
      <c r="U5" s="53">
        <f>IFERROR(COUNTIF(H13:H286,T5),"")</f>
        <v>0</v>
      </c>
      <c r="V5" s="55"/>
    </row>
    <row r="6">
      <c r="A6" s="13"/>
      <c r="B6" s="165" t="s">
        <v>58</v>
      </c>
      <c r="C6" s="63">
        <f>IFERROR(SUM(I2:I6),"")</f>
        <v>47</v>
      </c>
      <c r="D6" s="13"/>
      <c r="E6" s="202" t="s">
        <v>648</v>
      </c>
      <c r="F6" s="206">
        <f>AVERAGE(Q13:Q104)</f>
        <v>5.125</v>
      </c>
      <c r="H6" s="160" t="s">
        <v>59</v>
      </c>
      <c r="I6" s="161">
        <f>IFERROR(COUNTIFS(I13:I287, "Bad Fit &amp; No Offer"),"")</f>
        <v>0</v>
      </c>
      <c r="J6" s="13"/>
      <c r="K6" s="46" t="s">
        <v>21</v>
      </c>
      <c r="L6" s="64">
        <f>IFERROR(SUM(I2:I10),"")</f>
        <v>71</v>
      </c>
      <c r="M6" s="13"/>
      <c r="N6" s="166" t="s">
        <v>29</v>
      </c>
      <c r="O6" s="49">
        <f>iferror(L7/L6,"")</f>
        <v>0.661971831</v>
      </c>
      <c r="P6" s="12"/>
      <c r="Q6" s="50" t="s">
        <v>60</v>
      </c>
      <c r="R6" s="51">
        <f>IFERROR(COUNTIFS(N13:N286, "fear"),"")</f>
        <v>2</v>
      </c>
      <c r="S6" s="13"/>
      <c r="T6" s="52" t="s">
        <v>61</v>
      </c>
      <c r="U6" s="53">
        <f>IFERROR(COUNTIF(H13:H286,T6),"")</f>
        <v>0</v>
      </c>
      <c r="V6" s="55"/>
    </row>
    <row r="7">
      <c r="A7" s="13"/>
      <c r="B7" s="165" t="s">
        <v>63</v>
      </c>
      <c r="C7" s="66">
        <f>IFERROR(I2+I3,"")</f>
        <v>31</v>
      </c>
      <c r="D7" s="13"/>
      <c r="E7" s="202" t="s">
        <v>649</v>
      </c>
      <c r="F7" s="203">
        <f>C3/C7</f>
        <v>8903.225806</v>
      </c>
      <c r="H7" s="160" t="s">
        <v>64</v>
      </c>
      <c r="I7" s="161">
        <f>IFERROR(COUNTIFS(I13:I287, "Drag Over &amp; Show"),"")</f>
        <v>0</v>
      </c>
      <c r="J7" s="13"/>
      <c r="K7" s="46" t="s">
        <v>22</v>
      </c>
      <c r="L7" s="64">
        <f>IFERROR(SUM(I2:I7),"")</f>
        <v>47</v>
      </c>
      <c r="M7" s="13"/>
      <c r="N7" s="167" t="s">
        <v>30</v>
      </c>
      <c r="O7" s="68">
        <f>IFERROR(L8/L6,"")</f>
        <v>0.661971831</v>
      </c>
      <c r="P7" s="12"/>
      <c r="Q7" s="69" t="s">
        <v>65</v>
      </c>
      <c r="R7" s="70">
        <f>IFERROR(COUNTIFS(N14:N287, "value"),"")</f>
        <v>0</v>
      </c>
      <c r="S7" s="13"/>
      <c r="T7" s="52" t="s">
        <v>66</v>
      </c>
      <c r="U7" s="53">
        <f>IFERROR(COUNTIF(H13:H286,T7),"")</f>
        <v>0</v>
      </c>
      <c r="V7" s="35"/>
    </row>
    <row r="8">
      <c r="A8" s="13"/>
      <c r="B8" s="165" t="s">
        <v>68</v>
      </c>
      <c r="C8" s="71">
        <f>COUNTIF(I13:I286,"offer &amp; didn't buy")+countif(I13:I286,"deposit")+countif(I13:I286,"bad fit &amp; no offer")</f>
        <v>16</v>
      </c>
      <c r="D8" s="72"/>
      <c r="E8" s="202" t="s">
        <v>650</v>
      </c>
      <c r="F8" s="203">
        <f>C4/C7</f>
        <v>2854.83871</v>
      </c>
      <c r="H8" s="160" t="s">
        <v>69</v>
      </c>
      <c r="I8" s="161">
        <f>IFERROR(COUNTIFS(I13:I287, "Rescheduled"),"")</f>
        <v>7</v>
      </c>
      <c r="J8" s="13"/>
      <c r="K8" s="46" t="s">
        <v>23</v>
      </c>
      <c r="L8" s="64">
        <f>IFERROR(SUM(I2:I6),"")</f>
        <v>47</v>
      </c>
      <c r="M8" s="35"/>
      <c r="N8" s="35"/>
      <c r="O8" s="35"/>
      <c r="P8" s="35"/>
      <c r="Q8" s="35"/>
      <c r="R8" s="74"/>
      <c r="S8" s="13"/>
      <c r="T8" s="75" t="s">
        <v>70</v>
      </c>
      <c r="U8" s="76">
        <f>IFERROR(COUNTIF(H13:H286,T8),"")</f>
        <v>0</v>
      </c>
      <c r="V8" s="35"/>
    </row>
    <row r="9">
      <c r="A9" s="13"/>
      <c r="B9" s="165" t="s">
        <v>72</v>
      </c>
      <c r="C9" s="78">
        <f>iferror(SUM(C7/C6),"")</f>
        <v>0.6595744681</v>
      </c>
      <c r="D9" s="12"/>
      <c r="H9" s="160" t="s">
        <v>73</v>
      </c>
      <c r="I9" s="161">
        <f>IFERROR(COUNTIFS(I13:I287, "Cancelled"),"")</f>
        <v>11</v>
      </c>
      <c r="J9" s="13"/>
      <c r="K9" s="46" t="s">
        <v>24</v>
      </c>
      <c r="L9" s="64">
        <f>IFERROR(sum(I2:I5),"")</f>
        <v>47</v>
      </c>
      <c r="M9" s="35"/>
      <c r="N9" s="35"/>
      <c r="O9" s="35"/>
      <c r="P9" s="35"/>
      <c r="Q9" s="35"/>
      <c r="R9" s="74"/>
      <c r="S9" s="35"/>
      <c r="T9" s="35"/>
      <c r="U9" s="35"/>
      <c r="V9" s="35"/>
    </row>
    <row r="10">
      <c r="A10" s="35"/>
      <c r="B10" s="35"/>
      <c r="C10" s="35"/>
      <c r="D10" s="13"/>
      <c r="H10" s="168" t="s">
        <v>74</v>
      </c>
      <c r="I10" s="169">
        <f>IFERROR(COUNTIFS(I13:I287, "No-Show"),"")</f>
        <v>6</v>
      </c>
      <c r="J10" s="13"/>
      <c r="K10" s="81" t="s">
        <v>75</v>
      </c>
      <c r="L10" s="82">
        <f>I2+I3</f>
        <v>31</v>
      </c>
      <c r="M10" s="35"/>
      <c r="N10" s="35"/>
      <c r="O10" s="35"/>
      <c r="P10" s="35"/>
      <c r="Q10" s="35"/>
      <c r="R10" s="74"/>
      <c r="S10" s="35"/>
      <c r="T10" s="35"/>
      <c r="U10" s="35"/>
      <c r="V10" s="35"/>
    </row>
    <row r="11" ht="6.0" customHeight="1">
      <c r="A11" s="35"/>
      <c r="B11" s="35"/>
      <c r="C11" s="35"/>
      <c r="D11" s="35"/>
      <c r="E11" s="35"/>
      <c r="F11" s="35"/>
      <c r="G11" s="35"/>
      <c r="H11" s="35"/>
      <c r="I11" s="35"/>
      <c r="J11" s="35"/>
      <c r="K11" s="35"/>
      <c r="L11" s="35"/>
      <c r="M11" s="35"/>
      <c r="N11" s="35"/>
      <c r="O11" s="74"/>
      <c r="P11" s="35"/>
      <c r="Q11" s="35"/>
      <c r="R11" s="35"/>
      <c r="S11" s="35"/>
      <c r="T11" s="35"/>
      <c r="V11" s="35"/>
    </row>
    <row r="12">
      <c r="A12" s="35"/>
      <c r="B12" s="85" t="s">
        <v>76</v>
      </c>
      <c r="C12" s="85" t="s">
        <v>77</v>
      </c>
      <c r="D12" s="35"/>
      <c r="E12" s="87" t="s">
        <v>78</v>
      </c>
      <c r="F12" s="87" t="s">
        <v>56</v>
      </c>
      <c r="G12" s="35"/>
      <c r="H12" s="87" t="s">
        <v>37</v>
      </c>
      <c r="I12" s="87" t="s">
        <v>33</v>
      </c>
      <c r="J12" s="35"/>
      <c r="K12" s="87" t="s">
        <v>79</v>
      </c>
      <c r="L12" s="87" t="s">
        <v>48</v>
      </c>
      <c r="M12" s="35"/>
      <c r="N12" s="87" t="s">
        <v>80</v>
      </c>
      <c r="O12" s="88" t="s">
        <v>81</v>
      </c>
      <c r="P12" s="35"/>
      <c r="Q12" s="87" t="s">
        <v>82</v>
      </c>
      <c r="R12" s="87" t="s">
        <v>83</v>
      </c>
      <c r="S12" s="87" t="s">
        <v>84</v>
      </c>
      <c r="T12" s="87" t="s">
        <v>85</v>
      </c>
      <c r="V12" s="55"/>
    </row>
    <row r="13" ht="15.75" customHeight="1">
      <c r="A13" s="89"/>
      <c r="B13" s="96" t="s">
        <v>1015</v>
      </c>
      <c r="C13" s="184" t="s">
        <v>1016</v>
      </c>
      <c r="D13" s="92"/>
      <c r="E13" s="184" t="s">
        <v>863</v>
      </c>
      <c r="F13" s="184" t="s">
        <v>864</v>
      </c>
      <c r="G13" s="95"/>
      <c r="H13" s="96" t="s">
        <v>89</v>
      </c>
      <c r="I13" s="97" t="s">
        <v>276</v>
      </c>
      <c r="J13" s="95"/>
      <c r="K13" s="99">
        <v>9000.0</v>
      </c>
      <c r="L13" s="99">
        <v>3000.0</v>
      </c>
      <c r="M13" s="100"/>
      <c r="N13" s="101"/>
      <c r="O13" s="102" t="s">
        <v>1017</v>
      </c>
      <c r="P13" s="95"/>
      <c r="Q13" s="103">
        <v>5.0</v>
      </c>
      <c r="R13" s="106"/>
      <c r="S13" s="103" t="s">
        <v>113</v>
      </c>
      <c r="T13" s="105" t="s">
        <v>1018</v>
      </c>
      <c r="U13" s="106"/>
      <c r="V13" s="107"/>
    </row>
    <row r="14" ht="15.75" customHeight="1">
      <c r="A14" s="89"/>
      <c r="B14" s="96" t="s">
        <v>1015</v>
      </c>
      <c r="C14" s="184" t="s">
        <v>972</v>
      </c>
      <c r="D14" s="92"/>
      <c r="E14" s="209" t="s">
        <v>973</v>
      </c>
      <c r="F14" s="111" t="s">
        <v>974</v>
      </c>
      <c r="G14" s="95"/>
      <c r="H14" s="96" t="s">
        <v>89</v>
      </c>
      <c r="I14" s="97" t="s">
        <v>276</v>
      </c>
      <c r="J14" s="95"/>
      <c r="K14" s="99">
        <v>9000.0</v>
      </c>
      <c r="L14" s="99">
        <v>3000.0</v>
      </c>
      <c r="M14" s="100"/>
      <c r="N14" s="101"/>
      <c r="O14" s="102"/>
      <c r="P14" s="95"/>
      <c r="Q14" s="103">
        <v>5.0</v>
      </c>
      <c r="R14" s="115"/>
      <c r="S14" s="103" t="s">
        <v>113</v>
      </c>
      <c r="T14" s="105" t="s">
        <v>1018</v>
      </c>
      <c r="U14" s="106"/>
      <c r="V14" s="107"/>
    </row>
    <row r="15" ht="15.75" customHeight="1">
      <c r="A15" s="95"/>
      <c r="B15" s="96"/>
      <c r="C15" s="210"/>
      <c r="D15" s="95"/>
      <c r="E15" s="130"/>
      <c r="F15" s="194"/>
      <c r="G15" s="95"/>
      <c r="H15" s="96"/>
      <c r="I15" s="97"/>
      <c r="J15" s="95"/>
      <c r="K15" s="99"/>
      <c r="L15" s="99"/>
      <c r="M15" s="100"/>
      <c r="N15" s="101"/>
      <c r="O15" s="102"/>
      <c r="P15" s="95"/>
      <c r="Q15" s="103"/>
      <c r="R15" s="115"/>
      <c r="S15" s="103"/>
      <c r="T15" s="110"/>
      <c r="U15" s="103"/>
      <c r="V15" s="107"/>
    </row>
    <row r="16" ht="15.75" customHeight="1">
      <c r="A16" s="95"/>
      <c r="B16" s="177"/>
      <c r="C16" s="210"/>
      <c r="D16" s="103"/>
      <c r="E16" s="220"/>
      <c r="F16" s="109"/>
      <c r="G16" s="95"/>
      <c r="H16" s="96"/>
      <c r="I16" s="97"/>
      <c r="J16" s="95"/>
      <c r="K16" s="113"/>
      <c r="L16" s="113"/>
      <c r="M16" s="100"/>
      <c r="N16" s="101"/>
      <c r="O16" s="102"/>
      <c r="P16" s="95"/>
      <c r="Q16" s="114"/>
      <c r="R16" s="115"/>
      <c r="S16" s="103"/>
      <c r="T16" s="116"/>
      <c r="U16" s="103"/>
      <c r="V16" s="107"/>
    </row>
    <row r="17" ht="15.75" customHeight="1">
      <c r="A17" s="95"/>
      <c r="B17" s="96" t="s">
        <v>1015</v>
      </c>
      <c r="C17" s="221" t="s">
        <v>1019</v>
      </c>
      <c r="D17" s="95"/>
      <c r="E17" s="130" t="s">
        <v>1020</v>
      </c>
      <c r="F17" s="194" t="s">
        <v>1021</v>
      </c>
      <c r="G17" s="95"/>
      <c r="H17" s="96" t="s">
        <v>89</v>
      </c>
      <c r="I17" s="97" t="s">
        <v>545</v>
      </c>
      <c r="J17" s="95"/>
      <c r="K17" s="99"/>
      <c r="L17" s="99"/>
      <c r="M17" s="100"/>
      <c r="N17" s="101"/>
      <c r="O17" s="102"/>
      <c r="P17" s="95"/>
      <c r="Q17" s="103"/>
      <c r="R17" s="115"/>
      <c r="S17" s="103"/>
      <c r="T17" s="103"/>
      <c r="V17" s="107"/>
    </row>
    <row r="18" ht="15.75" customHeight="1">
      <c r="A18" s="95"/>
      <c r="B18" s="96" t="s">
        <v>1015</v>
      </c>
      <c r="C18" s="221" t="s">
        <v>1022</v>
      </c>
      <c r="D18" s="95"/>
      <c r="E18" s="213" t="s">
        <v>1023</v>
      </c>
      <c r="F18" s="146"/>
      <c r="G18" s="95"/>
      <c r="H18" s="96" t="s">
        <v>89</v>
      </c>
      <c r="I18" s="97" t="s">
        <v>849</v>
      </c>
      <c r="J18" s="95"/>
      <c r="K18" s="113"/>
      <c r="L18" s="113"/>
      <c r="M18" s="100"/>
      <c r="N18" s="127"/>
      <c r="O18" s="102"/>
      <c r="P18" s="95"/>
      <c r="Q18" s="95"/>
      <c r="R18" s="129"/>
      <c r="S18" s="103"/>
      <c r="T18" s="119"/>
      <c r="U18" s="95"/>
      <c r="V18" s="107"/>
    </row>
    <row r="19" ht="15.75" customHeight="1">
      <c r="A19" s="95"/>
      <c r="B19" s="96" t="s">
        <v>1015</v>
      </c>
      <c r="C19" s="222" t="s">
        <v>1024</v>
      </c>
      <c r="D19" s="95"/>
      <c r="E19" s="213" t="s">
        <v>1025</v>
      </c>
      <c r="F19" s="217" t="s">
        <v>1026</v>
      </c>
      <c r="G19" s="95"/>
      <c r="H19" s="96" t="s">
        <v>89</v>
      </c>
      <c r="I19" s="97" t="s">
        <v>849</v>
      </c>
      <c r="J19" s="95"/>
      <c r="K19" s="99"/>
      <c r="L19" s="99"/>
      <c r="M19" s="100"/>
      <c r="N19" s="101"/>
      <c r="O19" s="128"/>
      <c r="P19" s="95"/>
      <c r="Q19" s="95"/>
      <c r="R19" s="129"/>
      <c r="S19" s="103"/>
      <c r="T19" s="119"/>
      <c r="U19" s="95"/>
      <c r="V19" s="107"/>
    </row>
    <row r="20" ht="15.75" customHeight="1">
      <c r="A20" s="95"/>
      <c r="B20" s="119" t="s">
        <v>1015</v>
      </c>
      <c r="C20" s="119" t="s">
        <v>1027</v>
      </c>
      <c r="D20" s="95"/>
      <c r="E20" s="213" t="s">
        <v>1023</v>
      </c>
      <c r="F20" s="216" t="s">
        <v>1028</v>
      </c>
      <c r="G20" s="95"/>
      <c r="H20" s="96" t="s">
        <v>89</v>
      </c>
      <c r="I20" s="97" t="s">
        <v>545</v>
      </c>
      <c r="J20" s="95"/>
      <c r="K20" s="113"/>
      <c r="L20" s="113"/>
      <c r="M20" s="100"/>
      <c r="N20" s="127"/>
      <c r="O20" s="102"/>
      <c r="P20" s="95"/>
      <c r="Q20" s="95"/>
      <c r="R20" s="129"/>
      <c r="S20" s="103"/>
      <c r="T20" s="119"/>
      <c r="U20" s="95"/>
      <c r="V20" s="107"/>
    </row>
    <row r="21" ht="15.75" customHeight="1">
      <c r="A21" s="89"/>
      <c r="B21" s="96" t="s">
        <v>1015</v>
      </c>
      <c r="C21" s="210" t="s">
        <v>1029</v>
      </c>
      <c r="D21" s="95"/>
      <c r="E21" s="213" t="s">
        <v>1030</v>
      </c>
      <c r="F21" s="216" t="s">
        <v>1031</v>
      </c>
      <c r="G21" s="95"/>
      <c r="H21" s="96" t="s">
        <v>89</v>
      </c>
      <c r="I21" s="97" t="s">
        <v>276</v>
      </c>
      <c r="J21" s="95"/>
      <c r="K21" s="99">
        <v>1500.0</v>
      </c>
      <c r="L21" s="99">
        <v>1500.0</v>
      </c>
      <c r="M21" s="100"/>
      <c r="N21" s="127"/>
      <c r="O21" s="102"/>
      <c r="P21" s="95"/>
      <c r="Q21" s="103">
        <v>5.0</v>
      </c>
      <c r="R21" s="186" t="s">
        <v>1032</v>
      </c>
      <c r="S21" s="103" t="s">
        <v>113</v>
      </c>
      <c r="T21" s="103" t="s">
        <v>1033</v>
      </c>
      <c r="V21" s="107"/>
    </row>
    <row r="22" ht="15.75" customHeight="1">
      <c r="A22" s="89"/>
      <c r="B22" s="96" t="s">
        <v>1034</v>
      </c>
      <c r="C22" s="122" t="s">
        <v>1035</v>
      </c>
      <c r="D22" s="95"/>
      <c r="E22" s="130" t="s">
        <v>1036</v>
      </c>
      <c r="F22" s="194" t="s">
        <v>1037</v>
      </c>
      <c r="G22" s="95"/>
      <c r="H22" s="96" t="s">
        <v>89</v>
      </c>
      <c r="I22" s="97" t="s">
        <v>90</v>
      </c>
      <c r="J22" s="95"/>
      <c r="K22" s="113"/>
      <c r="L22" s="113"/>
      <c r="M22" s="100"/>
      <c r="N22" s="101" t="s">
        <v>45</v>
      </c>
      <c r="O22" s="102"/>
      <c r="P22" s="95"/>
      <c r="Q22" s="103">
        <v>5.0</v>
      </c>
      <c r="R22" s="171" t="s">
        <v>1038</v>
      </c>
      <c r="S22" s="103" t="s">
        <v>94</v>
      </c>
      <c r="T22" s="103" t="s">
        <v>1039</v>
      </c>
      <c r="V22" s="107"/>
    </row>
    <row r="23" ht="15.75" customHeight="1">
      <c r="A23" s="89"/>
      <c r="B23" s="96" t="s">
        <v>1034</v>
      </c>
      <c r="C23" s="122" t="s">
        <v>1040</v>
      </c>
      <c r="D23" s="95"/>
      <c r="E23" s="130" t="s">
        <v>1041</v>
      </c>
      <c r="F23" s="194" t="s">
        <v>1042</v>
      </c>
      <c r="G23" s="95"/>
      <c r="H23" s="96" t="s">
        <v>89</v>
      </c>
      <c r="I23" s="103" t="s">
        <v>90</v>
      </c>
      <c r="J23" s="95"/>
      <c r="K23" s="99"/>
      <c r="L23" s="99"/>
      <c r="M23" s="100"/>
      <c r="N23" s="101" t="s">
        <v>45</v>
      </c>
      <c r="O23" s="102" t="s">
        <v>1043</v>
      </c>
      <c r="P23" s="95"/>
      <c r="Q23" s="103">
        <v>5.0</v>
      </c>
      <c r="R23" s="171" t="s">
        <v>1044</v>
      </c>
      <c r="S23" s="103" t="s">
        <v>94</v>
      </c>
      <c r="T23" s="103" t="s">
        <v>1045</v>
      </c>
      <c r="V23" s="107"/>
    </row>
    <row r="24" ht="15.75" customHeight="1">
      <c r="A24" s="89"/>
      <c r="B24" s="96" t="s">
        <v>1034</v>
      </c>
      <c r="C24" s="97" t="s">
        <v>1046</v>
      </c>
      <c r="D24" s="95"/>
      <c r="E24" s="130" t="s">
        <v>1047</v>
      </c>
      <c r="F24" s="194" t="s">
        <v>950</v>
      </c>
      <c r="G24" s="95"/>
      <c r="H24" s="96" t="s">
        <v>89</v>
      </c>
      <c r="I24" s="103" t="s">
        <v>545</v>
      </c>
      <c r="J24" s="95"/>
      <c r="K24" s="113"/>
      <c r="L24" s="113"/>
      <c r="M24" s="100"/>
      <c r="N24" s="127"/>
      <c r="O24" s="128"/>
      <c r="P24" s="95"/>
      <c r="Q24" s="95"/>
      <c r="R24" s="129"/>
      <c r="S24" s="95"/>
      <c r="T24" s="103" t="s">
        <v>1048</v>
      </c>
      <c r="V24" s="107"/>
    </row>
    <row r="25" ht="15.75" customHeight="1">
      <c r="A25" s="89"/>
      <c r="B25" s="96" t="s">
        <v>1034</v>
      </c>
      <c r="C25" s="97" t="s">
        <v>1049</v>
      </c>
      <c r="D25" s="95"/>
      <c r="E25" s="130" t="s">
        <v>1050</v>
      </c>
      <c r="F25" s="194" t="s">
        <v>1051</v>
      </c>
      <c r="G25" s="95"/>
      <c r="H25" s="96" t="s">
        <v>89</v>
      </c>
      <c r="I25" s="103" t="s">
        <v>951</v>
      </c>
      <c r="J25" s="95"/>
      <c r="K25" s="99"/>
      <c r="L25" s="99"/>
      <c r="M25" s="100"/>
      <c r="N25" s="101"/>
      <c r="O25" s="102"/>
      <c r="P25" s="95"/>
      <c r="Q25" s="114"/>
      <c r="R25" s="106"/>
      <c r="S25" s="103"/>
      <c r="T25" s="103"/>
      <c r="V25" s="107"/>
    </row>
    <row r="26" ht="15.75" customHeight="1">
      <c r="A26" s="89"/>
      <c r="B26" s="96" t="s">
        <v>1052</v>
      </c>
      <c r="C26" s="97" t="s">
        <v>1053</v>
      </c>
      <c r="D26" s="95"/>
      <c r="E26" s="130" t="s">
        <v>1054</v>
      </c>
      <c r="F26" s="194" t="s">
        <v>1055</v>
      </c>
      <c r="G26" s="95"/>
      <c r="H26" s="96" t="s">
        <v>89</v>
      </c>
      <c r="I26" s="103" t="s">
        <v>276</v>
      </c>
      <c r="J26" s="95"/>
      <c r="K26" s="99">
        <v>9000.0</v>
      </c>
      <c r="L26" s="99">
        <v>3000.0</v>
      </c>
      <c r="M26" s="100"/>
      <c r="N26" s="101"/>
      <c r="O26" s="102"/>
      <c r="P26" s="95"/>
      <c r="Q26" s="103">
        <v>5.0</v>
      </c>
      <c r="R26" s="171" t="s">
        <v>1056</v>
      </c>
      <c r="S26" s="103" t="s">
        <v>113</v>
      </c>
      <c r="T26" s="103" t="s">
        <v>1057</v>
      </c>
      <c r="V26" s="107"/>
    </row>
    <row r="27" ht="15.75" customHeight="1">
      <c r="A27" s="89"/>
      <c r="B27" s="96" t="s">
        <v>1052</v>
      </c>
      <c r="C27" s="97" t="s">
        <v>1058</v>
      </c>
      <c r="D27" s="95"/>
      <c r="E27" s="130" t="s">
        <v>1059</v>
      </c>
      <c r="F27" s="194" t="s">
        <v>1060</v>
      </c>
      <c r="G27" s="95"/>
      <c r="H27" s="96" t="s">
        <v>89</v>
      </c>
      <c r="I27" s="103" t="s">
        <v>276</v>
      </c>
      <c r="J27" s="95"/>
      <c r="K27" s="99">
        <v>9000.0</v>
      </c>
      <c r="L27" s="99">
        <v>3000.0</v>
      </c>
      <c r="M27" s="100"/>
      <c r="N27" s="127"/>
      <c r="O27" s="128"/>
      <c r="P27" s="95"/>
      <c r="Q27" s="103">
        <v>5.0</v>
      </c>
      <c r="R27" s="171" t="s">
        <v>1061</v>
      </c>
      <c r="S27" s="103" t="s">
        <v>113</v>
      </c>
      <c r="T27" s="103" t="s">
        <v>1062</v>
      </c>
      <c r="V27" s="107"/>
    </row>
    <row r="28" ht="15.75" customHeight="1">
      <c r="A28" s="89"/>
      <c r="B28" s="96" t="s">
        <v>1052</v>
      </c>
      <c r="C28" s="97" t="s">
        <v>1063</v>
      </c>
      <c r="D28" s="95"/>
      <c r="E28" s="213" t="s">
        <v>1064</v>
      </c>
      <c r="F28" s="216" t="s">
        <v>1065</v>
      </c>
      <c r="G28" s="95"/>
      <c r="H28" s="96" t="s">
        <v>89</v>
      </c>
      <c r="I28" s="103" t="s">
        <v>951</v>
      </c>
      <c r="J28" s="95"/>
      <c r="K28" s="113"/>
      <c r="L28" s="113"/>
      <c r="M28" s="100"/>
      <c r="N28" s="101"/>
      <c r="O28" s="102"/>
      <c r="P28" s="95"/>
      <c r="Q28" s="114"/>
      <c r="R28" s="115"/>
      <c r="S28" s="103"/>
      <c r="T28" s="103"/>
      <c r="V28" s="107"/>
    </row>
    <row r="29" ht="15.75" customHeight="1">
      <c r="A29" s="89"/>
      <c r="B29" s="96" t="s">
        <v>1052</v>
      </c>
      <c r="C29" s="103" t="s">
        <v>1066</v>
      </c>
      <c r="D29" s="95"/>
      <c r="E29" s="213" t="s">
        <v>1067</v>
      </c>
      <c r="F29" s="216" t="s">
        <v>1068</v>
      </c>
      <c r="G29" s="95"/>
      <c r="H29" s="96" t="s">
        <v>89</v>
      </c>
      <c r="I29" s="103" t="s">
        <v>849</v>
      </c>
      <c r="J29" s="95"/>
      <c r="K29" s="99"/>
      <c r="L29" s="99"/>
      <c r="M29" s="100"/>
      <c r="N29" s="127"/>
      <c r="O29" s="128"/>
      <c r="P29" s="95"/>
      <c r="Q29" s="95"/>
      <c r="R29" s="129"/>
      <c r="S29" s="95"/>
      <c r="T29" s="95"/>
      <c r="V29" s="107"/>
    </row>
    <row r="30" ht="15.75" customHeight="1">
      <c r="A30" s="89"/>
      <c r="B30" s="96" t="s">
        <v>1069</v>
      </c>
      <c r="C30" s="97" t="s">
        <v>1070</v>
      </c>
      <c r="D30" s="95"/>
      <c r="E30" s="130" t="s">
        <v>1071</v>
      </c>
      <c r="F30" s="194" t="s">
        <v>1072</v>
      </c>
      <c r="G30" s="95"/>
      <c r="H30" s="96" t="s">
        <v>89</v>
      </c>
      <c r="I30" s="103" t="s">
        <v>276</v>
      </c>
      <c r="J30" s="95"/>
      <c r="K30" s="99">
        <v>9000.0</v>
      </c>
      <c r="L30" s="99">
        <v>1500.0</v>
      </c>
      <c r="M30" s="100"/>
      <c r="N30" s="101" t="s">
        <v>45</v>
      </c>
      <c r="O30" s="128"/>
      <c r="P30" s="95"/>
      <c r="Q30" s="103">
        <v>5.0</v>
      </c>
      <c r="R30" s="171" t="s">
        <v>1073</v>
      </c>
      <c r="S30" s="103" t="s">
        <v>113</v>
      </c>
      <c r="T30" s="103" t="s">
        <v>1074</v>
      </c>
      <c r="V30" s="107"/>
    </row>
    <row r="31" ht="15.75" customHeight="1">
      <c r="A31" s="89"/>
      <c r="B31" s="96" t="s">
        <v>1075</v>
      </c>
      <c r="C31" s="122" t="s">
        <v>1076</v>
      </c>
      <c r="D31" s="95"/>
      <c r="E31" s="223" t="s">
        <v>1077</v>
      </c>
      <c r="F31" s="194" t="s">
        <v>1078</v>
      </c>
      <c r="G31" s="95"/>
      <c r="H31" s="96" t="s">
        <v>89</v>
      </c>
      <c r="I31" s="103" t="s">
        <v>90</v>
      </c>
      <c r="J31" s="95"/>
      <c r="K31" s="99"/>
      <c r="L31" s="99"/>
      <c r="M31" s="100"/>
      <c r="N31" s="101" t="s">
        <v>45</v>
      </c>
      <c r="O31" s="102" t="s">
        <v>1079</v>
      </c>
      <c r="P31" s="95"/>
      <c r="Q31" s="103">
        <v>5.0</v>
      </c>
      <c r="R31" s="171" t="s">
        <v>1080</v>
      </c>
      <c r="S31" s="103" t="s">
        <v>94</v>
      </c>
      <c r="T31" s="103" t="s">
        <v>1081</v>
      </c>
      <c r="V31" s="107"/>
    </row>
    <row r="32" ht="15.75" customHeight="1">
      <c r="A32" s="89"/>
      <c r="B32" s="96" t="s">
        <v>1075</v>
      </c>
      <c r="C32" s="97" t="s">
        <v>1082</v>
      </c>
      <c r="D32" s="95"/>
      <c r="E32" s="130" t="s">
        <v>1083</v>
      </c>
      <c r="F32" s="194" t="s">
        <v>1084</v>
      </c>
      <c r="G32" s="95"/>
      <c r="H32" s="96" t="s">
        <v>89</v>
      </c>
      <c r="I32" s="103" t="s">
        <v>951</v>
      </c>
      <c r="J32" s="95"/>
      <c r="K32" s="113"/>
      <c r="L32" s="113"/>
      <c r="M32" s="100"/>
      <c r="N32" s="127"/>
      <c r="O32" s="128"/>
      <c r="P32" s="95"/>
      <c r="Q32" s="103"/>
      <c r="R32" s="129"/>
      <c r="S32" s="95"/>
      <c r="T32" s="95"/>
      <c r="V32" s="107"/>
    </row>
    <row r="33" ht="15.75" customHeight="1">
      <c r="A33" s="89"/>
      <c r="B33" s="96" t="s">
        <v>1075</v>
      </c>
      <c r="C33" s="97" t="s">
        <v>1046</v>
      </c>
      <c r="D33" s="95"/>
      <c r="E33" s="130" t="s">
        <v>1047</v>
      </c>
      <c r="F33" s="194" t="s">
        <v>950</v>
      </c>
      <c r="G33" s="95"/>
      <c r="H33" s="96" t="s">
        <v>89</v>
      </c>
      <c r="I33" s="103" t="s">
        <v>849</v>
      </c>
      <c r="J33" s="95"/>
      <c r="K33" s="99"/>
      <c r="L33" s="99"/>
      <c r="M33" s="100"/>
      <c r="N33" s="101"/>
      <c r="O33" s="102" t="s">
        <v>1085</v>
      </c>
      <c r="P33" s="95"/>
      <c r="Q33" s="114"/>
      <c r="R33" s="106"/>
      <c r="S33" s="103"/>
      <c r="T33" s="103"/>
      <c r="V33" s="107"/>
    </row>
    <row r="34" ht="15.75" customHeight="1">
      <c r="A34" s="89"/>
      <c r="B34" s="96" t="s">
        <v>1069</v>
      </c>
      <c r="C34" s="97" t="s">
        <v>1024</v>
      </c>
      <c r="D34" s="95"/>
      <c r="E34" s="130" t="s">
        <v>1025</v>
      </c>
      <c r="F34" s="194" t="s">
        <v>1026</v>
      </c>
      <c r="G34" s="95"/>
      <c r="H34" s="96" t="s">
        <v>89</v>
      </c>
      <c r="I34" s="103" t="s">
        <v>90</v>
      </c>
      <c r="J34" s="95"/>
      <c r="K34" s="113"/>
      <c r="L34" s="113"/>
      <c r="M34" s="100"/>
      <c r="N34" s="101" t="s">
        <v>91</v>
      </c>
      <c r="O34" s="102"/>
      <c r="P34" s="95"/>
      <c r="Q34" s="103">
        <v>5.0</v>
      </c>
      <c r="R34" s="171" t="s">
        <v>1086</v>
      </c>
      <c r="S34" s="103" t="s">
        <v>94</v>
      </c>
      <c r="T34" s="103" t="s">
        <v>1087</v>
      </c>
      <c r="V34" s="107"/>
    </row>
    <row r="35" ht="15.75" customHeight="1">
      <c r="A35" s="89"/>
      <c r="B35" s="96" t="s">
        <v>1069</v>
      </c>
      <c r="C35" s="103" t="s">
        <v>1088</v>
      </c>
      <c r="D35" s="95"/>
      <c r="E35" s="130" t="s">
        <v>892</v>
      </c>
      <c r="F35" s="194" t="s">
        <v>893</v>
      </c>
      <c r="G35" s="95"/>
      <c r="H35" s="96" t="s">
        <v>89</v>
      </c>
      <c r="I35" s="103" t="s">
        <v>90</v>
      </c>
      <c r="J35" s="95"/>
      <c r="K35" s="99"/>
      <c r="L35" s="99"/>
      <c r="M35" s="100"/>
      <c r="N35" s="101" t="s">
        <v>45</v>
      </c>
      <c r="O35" s="102" t="s">
        <v>1089</v>
      </c>
      <c r="P35" s="95"/>
      <c r="Q35" s="103">
        <v>5.0</v>
      </c>
      <c r="R35" s="171" t="s">
        <v>1090</v>
      </c>
      <c r="S35" s="103" t="s">
        <v>94</v>
      </c>
      <c r="T35" s="103" t="s">
        <v>1091</v>
      </c>
      <c r="V35" s="107"/>
    </row>
    <row r="36" ht="15.75" customHeight="1">
      <c r="A36" s="89"/>
      <c r="B36" s="96" t="s">
        <v>1075</v>
      </c>
      <c r="C36" s="103" t="s">
        <v>1092</v>
      </c>
      <c r="D36" s="95"/>
      <c r="E36" s="130" t="s">
        <v>1093</v>
      </c>
      <c r="F36" s="194" t="s">
        <v>1094</v>
      </c>
      <c r="G36" s="95"/>
      <c r="H36" s="96" t="s">
        <v>89</v>
      </c>
      <c r="I36" s="103" t="s">
        <v>276</v>
      </c>
      <c r="J36" s="95"/>
      <c r="K36" s="99">
        <v>9000.0</v>
      </c>
      <c r="L36" s="99">
        <v>1500.0</v>
      </c>
      <c r="M36" s="100"/>
      <c r="N36" s="101" t="s">
        <v>45</v>
      </c>
      <c r="O36" s="102" t="s">
        <v>1095</v>
      </c>
      <c r="P36" s="95"/>
      <c r="Q36" s="103">
        <v>5.0</v>
      </c>
      <c r="R36" s="171" t="s">
        <v>1096</v>
      </c>
      <c r="S36" s="103" t="s">
        <v>113</v>
      </c>
      <c r="T36" s="103" t="s">
        <v>1097</v>
      </c>
      <c r="V36" s="107"/>
    </row>
    <row r="37" ht="15.75" customHeight="1">
      <c r="A37" s="89"/>
      <c r="B37" s="96" t="s">
        <v>1075</v>
      </c>
      <c r="C37" s="97" t="s">
        <v>1049</v>
      </c>
      <c r="D37" s="95"/>
      <c r="E37" s="130" t="s">
        <v>1098</v>
      </c>
      <c r="F37" s="194" t="s">
        <v>1051</v>
      </c>
      <c r="G37" s="95"/>
      <c r="H37" s="96" t="s">
        <v>89</v>
      </c>
      <c r="I37" s="103" t="s">
        <v>951</v>
      </c>
      <c r="J37" s="95"/>
      <c r="K37" s="99" t="s">
        <v>1099</v>
      </c>
      <c r="L37" s="99"/>
      <c r="M37" s="100"/>
      <c r="N37" s="101"/>
      <c r="O37" s="102"/>
      <c r="P37" s="95"/>
      <c r="Q37" s="114"/>
      <c r="R37" s="106"/>
      <c r="S37" s="103"/>
      <c r="T37" s="103"/>
      <c r="V37" s="107"/>
    </row>
    <row r="38" ht="15.75" customHeight="1">
      <c r="A38" s="89"/>
      <c r="B38" s="96" t="s">
        <v>1075</v>
      </c>
      <c r="C38" s="97" t="s">
        <v>1100</v>
      </c>
      <c r="D38" s="95"/>
      <c r="E38" s="130" t="s">
        <v>1101</v>
      </c>
      <c r="F38" s="194" t="s">
        <v>1102</v>
      </c>
      <c r="G38" s="95"/>
      <c r="H38" s="96" t="s">
        <v>89</v>
      </c>
      <c r="I38" s="103" t="s">
        <v>276</v>
      </c>
      <c r="J38" s="95"/>
      <c r="K38" s="99">
        <v>9000.0</v>
      </c>
      <c r="L38" s="99">
        <v>3000.0</v>
      </c>
      <c r="M38" s="100"/>
      <c r="N38" s="127"/>
      <c r="O38" s="128"/>
      <c r="P38" s="95"/>
      <c r="Q38" s="103">
        <v>5.0</v>
      </c>
      <c r="R38" s="171" t="s">
        <v>1103</v>
      </c>
      <c r="S38" s="103" t="s">
        <v>113</v>
      </c>
      <c r="T38" s="124" t="s">
        <v>1104</v>
      </c>
      <c r="V38" s="107"/>
    </row>
    <row r="39" ht="15.75" customHeight="1">
      <c r="A39" s="89"/>
      <c r="B39" s="96" t="s">
        <v>1075</v>
      </c>
      <c r="C39" s="97" t="s">
        <v>1105</v>
      </c>
      <c r="D39" s="95"/>
      <c r="E39" s="130" t="s">
        <v>1106</v>
      </c>
      <c r="F39" s="194" t="s">
        <v>1107</v>
      </c>
      <c r="G39" s="95"/>
      <c r="H39" s="96" t="s">
        <v>89</v>
      </c>
      <c r="I39" s="103" t="s">
        <v>849</v>
      </c>
      <c r="J39" s="95"/>
      <c r="K39" s="99"/>
      <c r="L39" s="99"/>
      <c r="M39" s="100"/>
      <c r="N39" s="127"/>
      <c r="O39" s="128"/>
      <c r="P39" s="95"/>
      <c r="Q39" s="114"/>
      <c r="R39" s="106"/>
      <c r="S39" s="95"/>
      <c r="T39" s="103"/>
      <c r="V39" s="107"/>
    </row>
    <row r="40" ht="15.75" customHeight="1">
      <c r="A40" s="89"/>
      <c r="B40" s="96" t="s">
        <v>1108</v>
      </c>
      <c r="C40" s="97" t="s">
        <v>1109</v>
      </c>
      <c r="D40" s="95"/>
      <c r="E40" s="130" t="s">
        <v>1110</v>
      </c>
      <c r="F40" s="194" t="s">
        <v>1111</v>
      </c>
      <c r="G40" s="95"/>
      <c r="H40" s="96" t="s">
        <v>89</v>
      </c>
      <c r="I40" s="103" t="s">
        <v>276</v>
      </c>
      <c r="J40" s="95"/>
      <c r="K40" s="99">
        <v>9000.0</v>
      </c>
      <c r="L40" s="99">
        <v>3000.0</v>
      </c>
      <c r="M40" s="100"/>
      <c r="N40" s="101"/>
      <c r="O40" s="102"/>
      <c r="P40" s="95"/>
      <c r="Q40" s="103">
        <v>5.0</v>
      </c>
      <c r="R40" s="171" t="s">
        <v>1112</v>
      </c>
      <c r="S40" s="103" t="s">
        <v>113</v>
      </c>
      <c r="T40" s="103" t="s">
        <v>1113</v>
      </c>
      <c r="V40" s="107"/>
    </row>
    <row r="41" ht="15.75" customHeight="1">
      <c r="A41" s="89"/>
      <c r="B41" s="96" t="s">
        <v>1108</v>
      </c>
      <c r="C41" s="97" t="s">
        <v>1114</v>
      </c>
      <c r="D41" s="95"/>
      <c r="E41" s="213" t="s">
        <v>1115</v>
      </c>
      <c r="F41" s="216" t="s">
        <v>1116</v>
      </c>
      <c r="G41" s="95"/>
      <c r="H41" s="96" t="s">
        <v>89</v>
      </c>
      <c r="I41" s="103" t="s">
        <v>849</v>
      </c>
      <c r="J41" s="95"/>
      <c r="K41" s="99"/>
      <c r="L41" s="99"/>
      <c r="M41" s="100"/>
      <c r="N41" s="127"/>
      <c r="O41" s="128"/>
      <c r="P41" s="95"/>
      <c r="Q41" s="95"/>
      <c r="R41" s="129"/>
      <c r="S41" s="95"/>
      <c r="T41" s="95"/>
      <c r="V41" s="107"/>
    </row>
    <row r="42" ht="15.75" customHeight="1">
      <c r="A42" s="89"/>
      <c r="B42" s="96" t="s">
        <v>1108</v>
      </c>
      <c r="C42" s="103" t="s">
        <v>1117</v>
      </c>
      <c r="D42" s="95"/>
      <c r="E42" s="130" t="s">
        <v>1118</v>
      </c>
      <c r="F42" s="194" t="s">
        <v>1119</v>
      </c>
      <c r="G42" s="95"/>
      <c r="H42" s="96" t="s">
        <v>89</v>
      </c>
      <c r="I42" s="103" t="s">
        <v>276</v>
      </c>
      <c r="J42" s="95"/>
      <c r="K42" s="99">
        <v>9000.0</v>
      </c>
      <c r="L42" s="99">
        <v>3000.0</v>
      </c>
      <c r="M42" s="100"/>
      <c r="N42" s="101"/>
      <c r="O42" s="102" t="s">
        <v>1120</v>
      </c>
      <c r="P42" s="95"/>
      <c r="Q42" s="103">
        <v>5.0</v>
      </c>
      <c r="R42" s="171" t="s">
        <v>1121</v>
      </c>
      <c r="S42" s="103" t="s">
        <v>113</v>
      </c>
      <c r="T42" s="103" t="s">
        <v>1122</v>
      </c>
      <c r="V42" s="107"/>
    </row>
    <row r="43" ht="15.75" customHeight="1">
      <c r="A43" s="89"/>
      <c r="B43" s="96" t="s">
        <v>1108</v>
      </c>
      <c r="C43" s="130" t="s">
        <v>1123</v>
      </c>
      <c r="D43" s="95"/>
      <c r="E43" s="130" t="s">
        <v>1124</v>
      </c>
      <c r="F43" s="194" t="s">
        <v>1125</v>
      </c>
      <c r="G43" s="95"/>
      <c r="H43" s="96" t="s">
        <v>89</v>
      </c>
      <c r="I43" s="103" t="s">
        <v>276</v>
      </c>
      <c r="J43" s="95"/>
      <c r="K43" s="99">
        <v>9000.0</v>
      </c>
      <c r="L43" s="99">
        <v>3000.0</v>
      </c>
      <c r="M43" s="100"/>
      <c r="N43" s="127"/>
      <c r="O43" s="128"/>
      <c r="P43" s="95"/>
      <c r="Q43" s="103">
        <v>5.0</v>
      </c>
      <c r="R43" s="171" t="s">
        <v>1126</v>
      </c>
      <c r="S43" s="103" t="s">
        <v>113</v>
      </c>
      <c r="T43" s="103" t="s">
        <v>1127</v>
      </c>
      <c r="V43" s="107"/>
    </row>
    <row r="44" ht="15.75" customHeight="1">
      <c r="A44" s="89"/>
      <c r="B44" s="96" t="s">
        <v>1108</v>
      </c>
      <c r="C44" s="130" t="s">
        <v>1128</v>
      </c>
      <c r="D44" s="95"/>
      <c r="E44" s="130" t="s">
        <v>1129</v>
      </c>
      <c r="F44" s="194" t="s">
        <v>1130</v>
      </c>
      <c r="G44" s="95"/>
      <c r="H44" s="96" t="s">
        <v>89</v>
      </c>
      <c r="I44" s="103" t="s">
        <v>90</v>
      </c>
      <c r="J44" s="95"/>
      <c r="K44" s="113"/>
      <c r="L44" s="113"/>
      <c r="M44" s="100"/>
      <c r="N44" s="101" t="s">
        <v>91</v>
      </c>
      <c r="O44" s="102" t="s">
        <v>1131</v>
      </c>
      <c r="P44" s="95"/>
      <c r="Q44" s="103">
        <v>5.0</v>
      </c>
      <c r="R44" s="171" t="s">
        <v>1132</v>
      </c>
      <c r="S44" s="103" t="s">
        <v>94</v>
      </c>
      <c r="T44" s="103" t="s">
        <v>1133</v>
      </c>
      <c r="V44" s="107"/>
    </row>
    <row r="45" ht="15.75" customHeight="1">
      <c r="A45" s="89"/>
      <c r="B45" s="96" t="s">
        <v>1108</v>
      </c>
      <c r="C45" s="97" t="s">
        <v>1134</v>
      </c>
      <c r="D45" s="95"/>
      <c r="E45" s="130" t="s">
        <v>1135</v>
      </c>
      <c r="F45" s="194" t="s">
        <v>1136</v>
      </c>
      <c r="G45" s="95"/>
      <c r="H45" s="96" t="s">
        <v>89</v>
      </c>
      <c r="I45" s="103" t="s">
        <v>276</v>
      </c>
      <c r="J45" s="95"/>
      <c r="K45" s="99">
        <v>9000.0</v>
      </c>
      <c r="L45" s="99">
        <v>1500.0</v>
      </c>
      <c r="M45" s="100"/>
      <c r="N45" s="101" t="s">
        <v>45</v>
      </c>
      <c r="O45" s="128"/>
      <c r="P45" s="95"/>
      <c r="Q45" s="103">
        <v>5.0</v>
      </c>
      <c r="R45" s="171" t="s">
        <v>1137</v>
      </c>
      <c r="S45" s="103" t="s">
        <v>113</v>
      </c>
      <c r="T45" s="103" t="s">
        <v>1138</v>
      </c>
      <c r="V45" s="107"/>
    </row>
    <row r="46" ht="15.75" customHeight="1">
      <c r="A46" s="89"/>
      <c r="B46" s="96" t="s">
        <v>1139</v>
      </c>
      <c r="C46" s="97" t="s">
        <v>1019</v>
      </c>
      <c r="D46" s="95"/>
      <c r="E46" s="130" t="s">
        <v>1020</v>
      </c>
      <c r="F46" s="194" t="s">
        <v>1021</v>
      </c>
      <c r="G46" s="95"/>
      <c r="H46" s="96" t="s">
        <v>89</v>
      </c>
      <c r="I46" s="103" t="s">
        <v>90</v>
      </c>
      <c r="J46" s="95"/>
      <c r="K46" s="113"/>
      <c r="L46" s="113"/>
      <c r="M46" s="100"/>
      <c r="N46" s="101" t="s">
        <v>45</v>
      </c>
      <c r="O46" s="102" t="s">
        <v>1140</v>
      </c>
      <c r="P46" s="95"/>
      <c r="Q46" s="103">
        <v>5.0</v>
      </c>
      <c r="R46" s="171" t="s">
        <v>1141</v>
      </c>
      <c r="S46" s="103" t="s">
        <v>94</v>
      </c>
      <c r="T46" s="103" t="s">
        <v>1142</v>
      </c>
      <c r="V46" s="107"/>
    </row>
    <row r="47" ht="15.75" customHeight="1">
      <c r="A47" s="89"/>
      <c r="B47" s="96" t="s">
        <v>1139</v>
      </c>
      <c r="C47" s="97" t="s">
        <v>1027</v>
      </c>
      <c r="D47" s="95"/>
      <c r="E47" s="130" t="s">
        <v>1023</v>
      </c>
      <c r="F47" s="194" t="s">
        <v>1028</v>
      </c>
      <c r="G47" s="95"/>
      <c r="H47" s="96" t="s">
        <v>89</v>
      </c>
      <c r="I47" s="103" t="s">
        <v>545</v>
      </c>
      <c r="J47" s="95"/>
      <c r="K47" s="99"/>
      <c r="L47" s="99"/>
      <c r="M47" s="100"/>
      <c r="N47" s="101"/>
      <c r="O47" s="102"/>
      <c r="P47" s="95"/>
      <c r="Q47" s="114"/>
      <c r="R47" s="115"/>
      <c r="S47" s="103"/>
      <c r="T47" s="103"/>
      <c r="V47" s="107"/>
    </row>
    <row r="48" ht="15.75" customHeight="1">
      <c r="A48" s="89"/>
      <c r="B48" s="96" t="s">
        <v>1139</v>
      </c>
      <c r="C48" s="97" t="s">
        <v>1143</v>
      </c>
      <c r="D48" s="95"/>
      <c r="E48" s="130" t="s">
        <v>1144</v>
      </c>
      <c r="F48" s="194" t="s">
        <v>1145</v>
      </c>
      <c r="G48" s="95"/>
      <c r="H48" s="96" t="s">
        <v>89</v>
      </c>
      <c r="I48" s="103" t="s">
        <v>276</v>
      </c>
      <c r="J48" s="95"/>
      <c r="K48" s="99">
        <v>9000.0</v>
      </c>
      <c r="L48" s="99">
        <v>3000.0</v>
      </c>
      <c r="M48" s="100"/>
      <c r="N48" s="101"/>
      <c r="O48" s="102" t="s">
        <v>1146</v>
      </c>
      <c r="P48" s="95"/>
      <c r="Q48" s="103">
        <v>5.0</v>
      </c>
      <c r="R48" s="171" t="s">
        <v>1147</v>
      </c>
      <c r="S48" s="103" t="s">
        <v>113</v>
      </c>
      <c r="T48" s="103" t="s">
        <v>1148</v>
      </c>
      <c r="V48" s="107"/>
    </row>
    <row r="49" ht="15.75" customHeight="1">
      <c r="A49" s="89"/>
      <c r="B49" s="96" t="s">
        <v>1139</v>
      </c>
      <c r="C49" s="97" t="s">
        <v>1149</v>
      </c>
      <c r="D49" s="95"/>
      <c r="E49" s="130" t="s">
        <v>1150</v>
      </c>
      <c r="F49" s="194" t="s">
        <v>1151</v>
      </c>
      <c r="G49" s="95"/>
      <c r="H49" s="96" t="s">
        <v>89</v>
      </c>
      <c r="I49" s="103" t="s">
        <v>276</v>
      </c>
      <c r="J49" s="95"/>
      <c r="K49" s="99">
        <v>9000.0</v>
      </c>
      <c r="L49" s="99">
        <v>3000.0</v>
      </c>
      <c r="M49" s="100"/>
      <c r="N49" s="101"/>
      <c r="O49" s="102"/>
      <c r="P49" s="95"/>
      <c r="Q49" s="103">
        <v>5.0</v>
      </c>
      <c r="R49" s="171" t="s">
        <v>1152</v>
      </c>
      <c r="S49" s="103" t="s">
        <v>113</v>
      </c>
      <c r="T49" s="103" t="s">
        <v>1153</v>
      </c>
      <c r="V49" s="107"/>
    </row>
    <row r="50" ht="15.75" customHeight="1">
      <c r="A50" s="89"/>
      <c r="B50" s="96" t="s">
        <v>1154</v>
      </c>
      <c r="C50" s="103" t="s">
        <v>1155</v>
      </c>
      <c r="D50" s="95"/>
      <c r="E50" s="130" t="s">
        <v>1156</v>
      </c>
      <c r="F50" s="194" t="s">
        <v>1157</v>
      </c>
      <c r="G50" s="95"/>
      <c r="H50" s="96" t="s">
        <v>89</v>
      </c>
      <c r="I50" s="103" t="s">
        <v>276</v>
      </c>
      <c r="J50" s="95"/>
      <c r="K50" s="99">
        <v>9000.0</v>
      </c>
      <c r="L50" s="99">
        <v>1500.0</v>
      </c>
      <c r="M50" s="100"/>
      <c r="N50" s="101" t="s">
        <v>55</v>
      </c>
      <c r="O50" s="102" t="s">
        <v>1158</v>
      </c>
      <c r="P50" s="95"/>
      <c r="Q50" s="103">
        <v>5.0</v>
      </c>
      <c r="R50" s="171" t="s">
        <v>1159</v>
      </c>
      <c r="S50" s="103" t="s">
        <v>113</v>
      </c>
      <c r="T50" s="103" t="s">
        <v>1160</v>
      </c>
      <c r="V50" s="107"/>
    </row>
    <row r="51" ht="15.75" customHeight="1">
      <c r="A51" s="89"/>
      <c r="B51" s="96" t="s">
        <v>1154</v>
      </c>
      <c r="C51" s="103" t="s">
        <v>1161</v>
      </c>
      <c r="D51" s="95"/>
      <c r="E51" s="130" t="s">
        <v>1162</v>
      </c>
      <c r="F51" s="194" t="s">
        <v>1163</v>
      </c>
      <c r="G51" s="95"/>
      <c r="H51" s="96" t="s">
        <v>89</v>
      </c>
      <c r="I51" s="103" t="s">
        <v>276</v>
      </c>
      <c r="J51" s="95"/>
      <c r="K51" s="99">
        <v>9000.0</v>
      </c>
      <c r="L51" s="99">
        <v>3000.0</v>
      </c>
      <c r="M51" s="100"/>
      <c r="N51" s="101"/>
      <c r="O51" s="102"/>
      <c r="P51" s="95"/>
      <c r="Q51" s="103">
        <v>5.0</v>
      </c>
      <c r="R51" s="171" t="s">
        <v>1164</v>
      </c>
      <c r="S51" s="103" t="s">
        <v>113</v>
      </c>
      <c r="T51" s="103" t="s">
        <v>1165</v>
      </c>
      <c r="V51" s="107"/>
    </row>
    <row r="52" ht="15.75" customHeight="1">
      <c r="A52" s="89"/>
      <c r="B52" s="96" t="s">
        <v>1166</v>
      </c>
      <c r="C52" s="103" t="s">
        <v>1167</v>
      </c>
      <c r="D52" s="95"/>
      <c r="E52" s="213" t="s">
        <v>1168</v>
      </c>
      <c r="F52" s="216" t="s">
        <v>1169</v>
      </c>
      <c r="G52" s="95"/>
      <c r="H52" s="96" t="s">
        <v>89</v>
      </c>
      <c r="I52" s="103" t="s">
        <v>849</v>
      </c>
      <c r="J52" s="95"/>
      <c r="K52" s="113"/>
      <c r="L52" s="113"/>
      <c r="M52" s="100"/>
      <c r="N52" s="127"/>
      <c r="O52" s="128"/>
      <c r="P52" s="95"/>
      <c r="Q52" s="137"/>
      <c r="R52" s="129"/>
      <c r="S52" s="95"/>
      <c r="T52" s="95"/>
      <c r="V52" s="107"/>
    </row>
    <row r="53" ht="15.75" customHeight="1">
      <c r="A53" s="89"/>
      <c r="B53" s="96" t="s">
        <v>1166</v>
      </c>
      <c r="C53" s="97" t="s">
        <v>1170</v>
      </c>
      <c r="D53" s="95"/>
      <c r="E53" s="213" t="s">
        <v>1171</v>
      </c>
      <c r="F53" s="123" t="s">
        <v>1172</v>
      </c>
      <c r="G53" s="95"/>
      <c r="H53" s="96" t="s">
        <v>89</v>
      </c>
      <c r="I53" s="103" t="s">
        <v>545</v>
      </c>
      <c r="J53" s="95"/>
      <c r="K53" s="99"/>
      <c r="L53" s="99"/>
      <c r="M53" s="100"/>
      <c r="N53" s="127"/>
      <c r="O53" s="128"/>
      <c r="P53" s="95"/>
      <c r="Q53" s="135"/>
      <c r="R53" s="106"/>
      <c r="S53" s="95"/>
      <c r="T53" s="103"/>
      <c r="V53" s="107"/>
    </row>
    <row r="54" ht="15.75" customHeight="1">
      <c r="A54" s="89"/>
      <c r="B54" s="96" t="s">
        <v>1166</v>
      </c>
      <c r="C54" s="122" t="s">
        <v>1173</v>
      </c>
      <c r="D54" s="95"/>
      <c r="E54" s="130" t="s">
        <v>1174</v>
      </c>
      <c r="F54" s="194" t="s">
        <v>1175</v>
      </c>
      <c r="G54" s="95"/>
      <c r="H54" s="96" t="s">
        <v>89</v>
      </c>
      <c r="I54" s="103" t="s">
        <v>276</v>
      </c>
      <c r="J54" s="95"/>
      <c r="K54" s="99">
        <v>9000.0</v>
      </c>
      <c r="L54" s="99">
        <v>3000.0</v>
      </c>
      <c r="M54" s="100"/>
      <c r="N54" s="101"/>
      <c r="O54" s="102"/>
      <c r="P54" s="95"/>
      <c r="Q54" s="103">
        <v>5.0</v>
      </c>
      <c r="R54" s="139" t="s">
        <v>1176</v>
      </c>
      <c r="S54" s="103" t="s">
        <v>113</v>
      </c>
      <c r="T54" s="103" t="s">
        <v>1177</v>
      </c>
      <c r="V54" s="107"/>
    </row>
    <row r="55" ht="15.75" customHeight="1">
      <c r="A55" s="89"/>
      <c r="B55" s="96" t="s">
        <v>1166</v>
      </c>
      <c r="C55" s="96" t="s">
        <v>1178</v>
      </c>
      <c r="D55" s="95"/>
      <c r="E55" s="130" t="s">
        <v>1179</v>
      </c>
      <c r="F55" s="194" t="s">
        <v>1180</v>
      </c>
      <c r="G55" s="95"/>
      <c r="H55" s="96" t="s">
        <v>89</v>
      </c>
      <c r="I55" s="103" t="s">
        <v>90</v>
      </c>
      <c r="J55" s="95"/>
      <c r="K55" s="99"/>
      <c r="L55" s="99"/>
      <c r="M55" s="100"/>
      <c r="N55" s="101" t="s">
        <v>45</v>
      </c>
      <c r="O55" s="102" t="s">
        <v>1181</v>
      </c>
      <c r="P55" s="95"/>
      <c r="Q55" s="103">
        <v>5.0</v>
      </c>
      <c r="R55" s="171" t="s">
        <v>1182</v>
      </c>
      <c r="S55" s="103" t="s">
        <v>94</v>
      </c>
      <c r="T55" s="103" t="s">
        <v>1183</v>
      </c>
      <c r="V55" s="107"/>
    </row>
    <row r="56" ht="15.75" customHeight="1">
      <c r="A56" s="89"/>
      <c r="B56" s="96" t="s">
        <v>1184</v>
      </c>
      <c r="C56" s="96" t="s">
        <v>1185</v>
      </c>
      <c r="D56" s="95"/>
      <c r="E56" s="130" t="s">
        <v>1186</v>
      </c>
      <c r="F56" s="194" t="s">
        <v>1187</v>
      </c>
      <c r="G56" s="95"/>
      <c r="H56" s="96" t="s">
        <v>89</v>
      </c>
      <c r="I56" s="103" t="s">
        <v>276</v>
      </c>
      <c r="J56" s="95"/>
      <c r="K56" s="99">
        <v>9000.0</v>
      </c>
      <c r="L56" s="99">
        <v>1500.0</v>
      </c>
      <c r="M56" s="100"/>
      <c r="N56" s="101" t="s">
        <v>45</v>
      </c>
      <c r="O56" s="128"/>
      <c r="P56" s="95"/>
      <c r="Q56" s="103">
        <v>5.0</v>
      </c>
      <c r="R56" s="171" t="s">
        <v>1188</v>
      </c>
      <c r="S56" s="103" t="s">
        <v>113</v>
      </c>
      <c r="T56" s="103" t="s">
        <v>1189</v>
      </c>
      <c r="V56" s="107"/>
    </row>
    <row r="57" ht="15.75" customHeight="1">
      <c r="A57" s="89"/>
      <c r="B57" s="96" t="s">
        <v>1184</v>
      </c>
      <c r="C57" s="96" t="s">
        <v>1190</v>
      </c>
      <c r="D57" s="95"/>
      <c r="E57" s="130" t="s">
        <v>1191</v>
      </c>
      <c r="F57" s="194" t="s">
        <v>1192</v>
      </c>
      <c r="G57" s="95"/>
      <c r="H57" s="96" t="s">
        <v>89</v>
      </c>
      <c r="I57" s="103" t="s">
        <v>545</v>
      </c>
      <c r="J57" s="95"/>
      <c r="K57" s="99"/>
      <c r="L57" s="99"/>
      <c r="M57" s="100"/>
      <c r="N57" s="127"/>
      <c r="O57" s="128"/>
      <c r="P57" s="95"/>
      <c r="Q57" s="103"/>
      <c r="R57" s="129"/>
      <c r="S57" s="95"/>
      <c r="T57" s="103"/>
      <c r="V57" s="107"/>
    </row>
    <row r="58" ht="15.75" customHeight="1">
      <c r="A58" s="89"/>
      <c r="B58" s="96" t="s">
        <v>1184</v>
      </c>
      <c r="C58" s="106" t="s">
        <v>1193</v>
      </c>
      <c r="D58" s="95"/>
      <c r="E58" s="130" t="s">
        <v>1194</v>
      </c>
      <c r="F58" s="194" t="s">
        <v>1195</v>
      </c>
      <c r="G58" s="95"/>
      <c r="H58" s="96" t="s">
        <v>89</v>
      </c>
      <c r="I58" s="103" t="s">
        <v>276</v>
      </c>
      <c r="J58" s="95"/>
      <c r="K58" s="99">
        <v>9000.0</v>
      </c>
      <c r="L58" s="99">
        <v>3000.0</v>
      </c>
      <c r="M58" s="100"/>
      <c r="N58" s="101"/>
      <c r="O58" s="102"/>
      <c r="P58" s="95"/>
      <c r="Q58" s="103">
        <v>5.0</v>
      </c>
      <c r="R58" s="171" t="s">
        <v>1196</v>
      </c>
      <c r="S58" s="103" t="s">
        <v>113</v>
      </c>
      <c r="T58" s="103" t="s">
        <v>1197</v>
      </c>
      <c r="V58" s="107"/>
    </row>
    <row r="59" ht="15.75" customHeight="1">
      <c r="A59" s="89"/>
      <c r="B59" s="96" t="s">
        <v>1184</v>
      </c>
      <c r="C59" s="106" t="s">
        <v>1198</v>
      </c>
      <c r="D59" s="95"/>
      <c r="E59" s="130" t="s">
        <v>1199</v>
      </c>
      <c r="F59" s="194" t="s">
        <v>1200</v>
      </c>
      <c r="G59" s="95"/>
      <c r="H59" s="96" t="s">
        <v>89</v>
      </c>
      <c r="I59" s="103" t="s">
        <v>90</v>
      </c>
      <c r="J59" s="95"/>
      <c r="K59" s="99"/>
      <c r="L59" s="99"/>
      <c r="M59" s="100"/>
      <c r="N59" s="101" t="s">
        <v>45</v>
      </c>
      <c r="O59" s="102" t="s">
        <v>1201</v>
      </c>
      <c r="P59" s="95"/>
      <c r="Q59" s="103">
        <v>5.0</v>
      </c>
      <c r="R59" s="171" t="s">
        <v>1202</v>
      </c>
      <c r="S59" s="103" t="s">
        <v>94</v>
      </c>
      <c r="T59" s="103" t="s">
        <v>1203</v>
      </c>
      <c r="V59" s="107"/>
    </row>
    <row r="60" ht="15.75" customHeight="1">
      <c r="A60" s="89"/>
      <c r="B60" s="96" t="s">
        <v>1204</v>
      </c>
      <c r="C60" s="106" t="s">
        <v>1190</v>
      </c>
      <c r="D60" s="95"/>
      <c r="E60" s="130" t="s">
        <v>1191</v>
      </c>
      <c r="F60" s="224" t="s">
        <v>1192</v>
      </c>
      <c r="G60" s="95"/>
      <c r="H60" s="96" t="s">
        <v>89</v>
      </c>
      <c r="I60" s="103" t="s">
        <v>90</v>
      </c>
      <c r="J60" s="95"/>
      <c r="K60" s="113"/>
      <c r="L60" s="113"/>
      <c r="M60" s="100"/>
      <c r="N60" s="101" t="s">
        <v>45</v>
      </c>
      <c r="O60" s="102" t="s">
        <v>1205</v>
      </c>
      <c r="P60" s="95"/>
      <c r="Q60" s="103">
        <v>5.0</v>
      </c>
      <c r="R60" s="171" t="s">
        <v>1206</v>
      </c>
      <c r="S60" s="103" t="s">
        <v>94</v>
      </c>
      <c r="T60" s="103" t="s">
        <v>1207</v>
      </c>
      <c r="V60" s="107"/>
    </row>
    <row r="61" ht="15.75" customHeight="1">
      <c r="A61" s="89"/>
      <c r="B61" s="96" t="s">
        <v>1204</v>
      </c>
      <c r="C61" s="96" t="s">
        <v>1208</v>
      </c>
      <c r="D61" s="95"/>
      <c r="E61" s="130" t="s">
        <v>1209</v>
      </c>
      <c r="F61" s="194" t="s">
        <v>1210</v>
      </c>
      <c r="G61" s="95"/>
      <c r="H61" s="96" t="s">
        <v>89</v>
      </c>
      <c r="I61" s="103" t="s">
        <v>276</v>
      </c>
      <c r="J61" s="95"/>
      <c r="K61" s="99">
        <v>9000.0</v>
      </c>
      <c r="L61" s="99">
        <v>3000.0</v>
      </c>
      <c r="M61" s="100"/>
      <c r="N61" s="127"/>
      <c r="O61" s="128"/>
      <c r="P61" s="95"/>
      <c r="Q61" s="103">
        <v>5.0</v>
      </c>
      <c r="R61" s="171" t="s">
        <v>1211</v>
      </c>
      <c r="S61" s="103" t="s">
        <v>113</v>
      </c>
      <c r="T61" s="103" t="s">
        <v>1212</v>
      </c>
      <c r="V61" s="107"/>
    </row>
    <row r="62" ht="15.75" customHeight="1">
      <c r="A62" s="89"/>
      <c r="B62" s="96" t="s">
        <v>1204</v>
      </c>
      <c r="C62" s="96" t="s">
        <v>1213</v>
      </c>
      <c r="D62" s="95"/>
      <c r="E62" s="130" t="s">
        <v>1214</v>
      </c>
      <c r="F62" s="194" t="s">
        <v>1215</v>
      </c>
      <c r="G62" s="95"/>
      <c r="H62" s="96" t="s">
        <v>89</v>
      </c>
      <c r="I62" s="103" t="s">
        <v>545</v>
      </c>
      <c r="J62" s="95"/>
      <c r="K62" s="113"/>
      <c r="L62" s="113"/>
      <c r="M62" s="100"/>
      <c r="N62" s="127"/>
      <c r="O62" s="128"/>
      <c r="P62" s="95"/>
      <c r="Q62" s="103"/>
      <c r="R62" s="106"/>
      <c r="S62" s="103"/>
      <c r="T62" s="95"/>
      <c r="V62" s="107"/>
    </row>
    <row r="63" ht="15.75" customHeight="1">
      <c r="A63" s="89"/>
      <c r="B63" s="96" t="s">
        <v>1216</v>
      </c>
      <c r="C63" s="140" t="s">
        <v>1217</v>
      </c>
      <c r="D63" s="95"/>
      <c r="E63" s="130" t="s">
        <v>1218</v>
      </c>
      <c r="F63" s="146" t="s">
        <v>1219</v>
      </c>
      <c r="G63" s="95"/>
      <c r="H63" s="96" t="s">
        <v>89</v>
      </c>
      <c r="I63" s="103" t="s">
        <v>276</v>
      </c>
      <c r="J63" s="95"/>
      <c r="K63" s="99">
        <v>9000.0</v>
      </c>
      <c r="L63" s="99">
        <v>3000.0</v>
      </c>
      <c r="M63" s="100"/>
      <c r="N63" s="127"/>
      <c r="O63" s="102" t="s">
        <v>1220</v>
      </c>
      <c r="P63" s="95"/>
      <c r="Q63" s="103">
        <v>5.0</v>
      </c>
      <c r="R63" s="171" t="s">
        <v>1221</v>
      </c>
      <c r="S63" s="103" t="s">
        <v>113</v>
      </c>
      <c r="T63" s="103" t="s">
        <v>1222</v>
      </c>
      <c r="V63" s="107"/>
    </row>
    <row r="64" ht="15.75" customHeight="1">
      <c r="A64" s="89"/>
      <c r="B64" s="96" t="s">
        <v>1216</v>
      </c>
      <c r="C64" s="130" t="s">
        <v>1223</v>
      </c>
      <c r="D64" s="95"/>
      <c r="E64" s="130" t="s">
        <v>1224</v>
      </c>
      <c r="F64" s="194" t="s">
        <v>1225</v>
      </c>
      <c r="G64" s="95"/>
      <c r="H64" s="96" t="s">
        <v>89</v>
      </c>
      <c r="I64" s="103" t="s">
        <v>90</v>
      </c>
      <c r="J64" s="95"/>
      <c r="K64" s="113"/>
      <c r="L64" s="113"/>
      <c r="M64" s="100"/>
      <c r="N64" s="101" t="s">
        <v>45</v>
      </c>
      <c r="O64" s="102" t="s">
        <v>1226</v>
      </c>
      <c r="P64" s="95"/>
      <c r="Q64" s="103">
        <v>5.0</v>
      </c>
      <c r="R64" s="170" t="s">
        <v>1227</v>
      </c>
      <c r="S64" s="103" t="s">
        <v>94</v>
      </c>
      <c r="T64" s="103" t="s">
        <v>1228</v>
      </c>
      <c r="V64" s="107"/>
    </row>
    <row r="65" ht="15.75" customHeight="1">
      <c r="A65" s="89"/>
      <c r="B65" s="96" t="s">
        <v>1216</v>
      </c>
      <c r="C65" s="97" t="s">
        <v>1167</v>
      </c>
      <c r="D65" s="95"/>
      <c r="E65" s="130" t="s">
        <v>1168</v>
      </c>
      <c r="F65" s="194" t="s">
        <v>1169</v>
      </c>
      <c r="G65" s="95"/>
      <c r="H65" s="96" t="s">
        <v>89</v>
      </c>
      <c r="I65" s="103" t="s">
        <v>276</v>
      </c>
      <c r="J65" s="95"/>
      <c r="K65" s="99">
        <v>9000.0</v>
      </c>
      <c r="L65" s="99">
        <v>3000.0</v>
      </c>
      <c r="M65" s="100"/>
      <c r="N65" s="101"/>
      <c r="O65" s="102"/>
      <c r="P65" s="95"/>
      <c r="Q65" s="103">
        <v>5.0</v>
      </c>
      <c r="R65" s="170" t="s">
        <v>1229</v>
      </c>
      <c r="S65" s="103" t="s">
        <v>113</v>
      </c>
      <c r="T65" s="103" t="s">
        <v>1230</v>
      </c>
      <c r="V65" s="107"/>
    </row>
    <row r="66" ht="15.75" customHeight="1">
      <c r="A66" s="89"/>
      <c r="B66" s="96" t="s">
        <v>1216</v>
      </c>
      <c r="C66" s="106" t="s">
        <v>1231</v>
      </c>
      <c r="D66" s="95"/>
      <c r="E66" s="130" t="s">
        <v>1232</v>
      </c>
      <c r="F66" s="194" t="s">
        <v>1233</v>
      </c>
      <c r="G66" s="95"/>
      <c r="H66" s="96" t="s">
        <v>89</v>
      </c>
      <c r="I66" s="103" t="s">
        <v>90</v>
      </c>
      <c r="J66" s="95"/>
      <c r="K66" s="99"/>
      <c r="L66" s="99"/>
      <c r="M66" s="100"/>
      <c r="N66" s="101" t="s">
        <v>60</v>
      </c>
      <c r="O66" s="102" t="s">
        <v>1234</v>
      </c>
      <c r="P66" s="95"/>
      <c r="Q66" s="103">
        <v>5.0</v>
      </c>
      <c r="R66" s="171" t="s">
        <v>1235</v>
      </c>
      <c r="S66" s="103" t="s">
        <v>94</v>
      </c>
      <c r="T66" s="103" t="s">
        <v>1236</v>
      </c>
      <c r="V66" s="107"/>
    </row>
    <row r="67" ht="15.75" customHeight="1">
      <c r="A67" s="89"/>
      <c r="B67" s="96" t="s">
        <v>1237</v>
      </c>
      <c r="C67" s="106" t="s">
        <v>1238</v>
      </c>
      <c r="D67" s="95"/>
      <c r="E67" s="130" t="s">
        <v>1239</v>
      </c>
      <c r="F67" s="194" t="s">
        <v>1240</v>
      </c>
      <c r="G67" s="95"/>
      <c r="H67" s="96" t="s">
        <v>89</v>
      </c>
      <c r="I67" s="103" t="s">
        <v>90</v>
      </c>
      <c r="J67" s="95"/>
      <c r="K67" s="99"/>
      <c r="L67" s="99"/>
      <c r="M67" s="100"/>
      <c r="N67" s="127"/>
      <c r="O67" s="102" t="s">
        <v>1241</v>
      </c>
      <c r="P67" s="95"/>
      <c r="Q67" s="103">
        <v>5.0</v>
      </c>
      <c r="R67" s="171" t="s">
        <v>1242</v>
      </c>
      <c r="S67" s="103" t="s">
        <v>94</v>
      </c>
      <c r="T67" s="103" t="s">
        <v>1243</v>
      </c>
      <c r="V67" s="107"/>
    </row>
    <row r="68" ht="15.75" customHeight="1">
      <c r="A68" s="89"/>
      <c r="B68" s="96" t="s">
        <v>1244</v>
      </c>
      <c r="C68" s="106" t="s">
        <v>1245</v>
      </c>
      <c r="D68" s="95"/>
      <c r="E68" s="130" t="s">
        <v>1246</v>
      </c>
      <c r="F68" s="194" t="s">
        <v>1247</v>
      </c>
      <c r="G68" s="95"/>
      <c r="H68" s="96" t="s">
        <v>89</v>
      </c>
      <c r="I68" s="103" t="s">
        <v>276</v>
      </c>
      <c r="J68" s="95"/>
      <c r="K68" s="99">
        <v>9000.0</v>
      </c>
      <c r="L68" s="99">
        <v>3000.0</v>
      </c>
      <c r="M68" s="100"/>
      <c r="N68" s="127"/>
      <c r="O68" s="102" t="s">
        <v>1248</v>
      </c>
      <c r="P68" s="95"/>
      <c r="Q68" s="103">
        <v>5.0</v>
      </c>
      <c r="R68" s="171" t="s">
        <v>1249</v>
      </c>
      <c r="S68" s="103" t="s">
        <v>113</v>
      </c>
      <c r="T68" s="103" t="s">
        <v>1250</v>
      </c>
      <c r="V68" s="107"/>
    </row>
    <row r="69" ht="15.75" customHeight="1">
      <c r="A69" s="89"/>
      <c r="B69" s="96" t="s">
        <v>1244</v>
      </c>
      <c r="C69" s="130" t="s">
        <v>1251</v>
      </c>
      <c r="D69" s="95"/>
      <c r="E69" s="130" t="s">
        <v>1252</v>
      </c>
      <c r="F69" s="194" t="s">
        <v>1253</v>
      </c>
      <c r="G69" s="95"/>
      <c r="H69" s="96" t="s">
        <v>89</v>
      </c>
      <c r="I69" s="103" t="s">
        <v>276</v>
      </c>
      <c r="J69" s="95"/>
      <c r="K69" s="99">
        <v>9000.0</v>
      </c>
      <c r="L69" s="99">
        <v>3000.0</v>
      </c>
      <c r="M69" s="100"/>
      <c r="N69" s="127"/>
      <c r="O69" s="128"/>
      <c r="P69" s="95"/>
      <c r="Q69" s="103">
        <v>5.0</v>
      </c>
      <c r="R69" s="171" t="s">
        <v>1254</v>
      </c>
      <c r="S69" s="103" t="s">
        <v>113</v>
      </c>
      <c r="T69" s="103" t="s">
        <v>1255</v>
      </c>
      <c r="V69" s="107"/>
    </row>
    <row r="70" ht="15.75" customHeight="1">
      <c r="A70" s="89"/>
      <c r="B70" s="96" t="s">
        <v>1256</v>
      </c>
      <c r="C70" s="96" t="s">
        <v>1170</v>
      </c>
      <c r="D70" s="95"/>
      <c r="E70" s="213" t="s">
        <v>1171</v>
      </c>
      <c r="F70" s="215" t="s">
        <v>1172</v>
      </c>
      <c r="G70" s="95"/>
      <c r="H70" s="96" t="s">
        <v>89</v>
      </c>
      <c r="I70" s="103" t="s">
        <v>90</v>
      </c>
      <c r="J70" s="95"/>
      <c r="K70" s="113"/>
      <c r="L70" s="113"/>
      <c r="M70" s="100"/>
      <c r="N70" s="101" t="s">
        <v>91</v>
      </c>
      <c r="O70" s="102" t="s">
        <v>1257</v>
      </c>
      <c r="P70" s="95"/>
      <c r="Q70" s="103">
        <v>5.0</v>
      </c>
      <c r="R70" s="171" t="s">
        <v>1258</v>
      </c>
      <c r="S70" s="103" t="s">
        <v>94</v>
      </c>
      <c r="T70" s="103" t="s">
        <v>1259</v>
      </c>
      <c r="V70" s="107"/>
    </row>
    <row r="71" ht="15.75" customHeight="1">
      <c r="A71" s="89"/>
      <c r="B71" s="96" t="s">
        <v>1256</v>
      </c>
      <c r="C71" s="96" t="s">
        <v>1260</v>
      </c>
      <c r="D71" s="95"/>
      <c r="E71" s="213" t="s">
        <v>1261</v>
      </c>
      <c r="F71" s="217" t="s">
        <v>1262</v>
      </c>
      <c r="G71" s="95"/>
      <c r="H71" s="96" t="s">
        <v>89</v>
      </c>
      <c r="I71" s="103" t="s">
        <v>849</v>
      </c>
      <c r="J71" s="95"/>
      <c r="K71" s="99"/>
      <c r="L71" s="99"/>
      <c r="M71" s="100"/>
      <c r="N71" s="127"/>
      <c r="O71" s="128"/>
      <c r="P71" s="95"/>
      <c r="Q71" s="135"/>
      <c r="R71" s="106"/>
      <c r="S71" s="103"/>
      <c r="T71" s="103"/>
      <c r="V71" s="107"/>
    </row>
    <row r="72" ht="15.75" customHeight="1">
      <c r="A72" s="89"/>
      <c r="B72" s="96" t="s">
        <v>1256</v>
      </c>
      <c r="C72" s="96" t="s">
        <v>1263</v>
      </c>
      <c r="D72" s="95"/>
      <c r="E72" s="213" t="s">
        <v>1264</v>
      </c>
      <c r="F72" s="215" t="s">
        <v>1265</v>
      </c>
      <c r="G72" s="95"/>
      <c r="H72" s="96" t="s">
        <v>89</v>
      </c>
      <c r="I72" s="103" t="s">
        <v>849</v>
      </c>
      <c r="J72" s="95"/>
      <c r="K72" s="113"/>
      <c r="L72" s="113"/>
      <c r="M72" s="100"/>
      <c r="N72" s="101"/>
      <c r="O72" s="128"/>
      <c r="P72" s="95"/>
      <c r="Q72" s="135"/>
      <c r="R72" s="106"/>
      <c r="S72" s="103"/>
      <c r="T72" s="103"/>
      <c r="V72" s="107"/>
    </row>
    <row r="73" ht="15.75" customHeight="1">
      <c r="A73" s="89"/>
      <c r="B73" s="96" t="s">
        <v>1266</v>
      </c>
      <c r="C73" s="96" t="s">
        <v>1267</v>
      </c>
      <c r="D73" s="95"/>
      <c r="E73" s="130" t="s">
        <v>1268</v>
      </c>
      <c r="F73" s="194" t="s">
        <v>1269</v>
      </c>
      <c r="G73" s="95"/>
      <c r="H73" s="96" t="s">
        <v>89</v>
      </c>
      <c r="I73" s="103" t="s">
        <v>90</v>
      </c>
      <c r="J73" s="95"/>
      <c r="K73" s="99"/>
      <c r="L73" s="99"/>
      <c r="M73" s="100"/>
      <c r="N73" s="101" t="s">
        <v>45</v>
      </c>
      <c r="O73" s="102" t="s">
        <v>1270</v>
      </c>
      <c r="P73" s="95"/>
      <c r="Q73" s="103">
        <v>5.0</v>
      </c>
      <c r="R73" s="171" t="s">
        <v>1271</v>
      </c>
      <c r="S73" s="103" t="s">
        <v>94</v>
      </c>
      <c r="T73" s="103" t="s">
        <v>1272</v>
      </c>
      <c r="V73" s="107"/>
    </row>
    <row r="74" ht="15.75" customHeight="1">
      <c r="A74" s="89"/>
      <c r="B74" s="96" t="s">
        <v>1266</v>
      </c>
      <c r="C74" s="130" t="s">
        <v>1273</v>
      </c>
      <c r="D74" s="95"/>
      <c r="E74" s="130" t="s">
        <v>1274</v>
      </c>
      <c r="F74" s="194" t="s">
        <v>1275</v>
      </c>
      <c r="G74" s="95"/>
      <c r="H74" s="96" t="s">
        <v>89</v>
      </c>
      <c r="I74" s="103" t="s">
        <v>276</v>
      </c>
      <c r="J74" s="95"/>
      <c r="K74" s="99">
        <v>9000.0</v>
      </c>
      <c r="L74" s="99">
        <v>1500.0</v>
      </c>
      <c r="M74" s="100"/>
      <c r="N74" s="101" t="s">
        <v>45</v>
      </c>
      <c r="O74" s="102" t="s">
        <v>1276</v>
      </c>
      <c r="P74" s="95"/>
      <c r="Q74" s="103">
        <v>5.0</v>
      </c>
      <c r="R74" s="171" t="s">
        <v>1277</v>
      </c>
      <c r="S74" s="103" t="s">
        <v>113</v>
      </c>
      <c r="T74" s="103" t="s">
        <v>1278</v>
      </c>
      <c r="V74" s="107"/>
    </row>
    <row r="75" ht="15.75" customHeight="1">
      <c r="A75" s="89"/>
      <c r="B75" s="96" t="s">
        <v>1266</v>
      </c>
      <c r="C75" s="222" t="s">
        <v>1279</v>
      </c>
      <c r="D75" s="95"/>
      <c r="E75" s="213" t="s">
        <v>1280</v>
      </c>
      <c r="F75" s="216" t="s">
        <v>1281</v>
      </c>
      <c r="G75" s="95"/>
      <c r="H75" s="96" t="s">
        <v>89</v>
      </c>
      <c r="I75" s="103" t="s">
        <v>849</v>
      </c>
      <c r="J75" s="95"/>
      <c r="K75" s="99"/>
      <c r="L75" s="99"/>
      <c r="M75" s="100"/>
      <c r="N75" s="127"/>
      <c r="O75" s="128"/>
      <c r="P75" s="95"/>
      <c r="Q75" s="137"/>
      <c r="R75" s="129"/>
      <c r="S75" s="95"/>
      <c r="T75" s="95"/>
      <c r="V75" s="107"/>
    </row>
    <row r="76" ht="15.75" customHeight="1">
      <c r="A76" s="89"/>
      <c r="B76" s="96" t="s">
        <v>1266</v>
      </c>
      <c r="C76" s="96" t="s">
        <v>1282</v>
      </c>
      <c r="D76" s="95"/>
      <c r="E76" s="130" t="s">
        <v>1283</v>
      </c>
      <c r="F76" s="194" t="s">
        <v>1284</v>
      </c>
      <c r="G76" s="95"/>
      <c r="H76" s="96" t="s">
        <v>89</v>
      </c>
      <c r="I76" s="103" t="s">
        <v>276</v>
      </c>
      <c r="J76" s="95"/>
      <c r="K76" s="99">
        <v>9000.0</v>
      </c>
      <c r="L76" s="99">
        <v>3000.0</v>
      </c>
      <c r="M76" s="100"/>
      <c r="N76" s="101"/>
      <c r="O76" s="128"/>
      <c r="P76" s="95"/>
      <c r="Q76" s="103">
        <v>5.0</v>
      </c>
      <c r="R76" s="171" t="s">
        <v>1285</v>
      </c>
      <c r="S76" s="103" t="s">
        <v>113</v>
      </c>
      <c r="T76" s="103" t="s">
        <v>1286</v>
      </c>
      <c r="V76" s="107"/>
    </row>
    <row r="77" ht="15.75" customHeight="1">
      <c r="A77" s="89"/>
      <c r="B77" s="96" t="s">
        <v>1266</v>
      </c>
      <c r="C77" s="96" t="s">
        <v>1287</v>
      </c>
      <c r="D77" s="95"/>
      <c r="E77" s="130" t="s">
        <v>1288</v>
      </c>
      <c r="F77" s="194" t="s">
        <v>1289</v>
      </c>
      <c r="G77" s="95"/>
      <c r="H77" s="96" t="s">
        <v>89</v>
      </c>
      <c r="I77" s="103" t="s">
        <v>276</v>
      </c>
      <c r="J77" s="95"/>
      <c r="K77" s="99">
        <v>9000.0</v>
      </c>
      <c r="L77" s="99">
        <v>3000.0</v>
      </c>
      <c r="M77" s="100"/>
      <c r="N77" s="127"/>
      <c r="O77" s="102" t="s">
        <v>1290</v>
      </c>
      <c r="P77" s="95"/>
      <c r="Q77" s="103">
        <v>5.0</v>
      </c>
      <c r="R77" s="171" t="s">
        <v>1291</v>
      </c>
      <c r="S77" s="103" t="s">
        <v>113</v>
      </c>
      <c r="T77" s="103" t="s">
        <v>1292</v>
      </c>
      <c r="V77" s="107"/>
    </row>
    <row r="78" ht="15.75" customHeight="1">
      <c r="A78" s="89"/>
      <c r="B78" s="96" t="s">
        <v>1293</v>
      </c>
      <c r="C78" s="96" t="s">
        <v>1213</v>
      </c>
      <c r="D78" s="95"/>
      <c r="E78" s="130" t="s">
        <v>1214</v>
      </c>
      <c r="F78" s="194" t="s">
        <v>1215</v>
      </c>
      <c r="G78" s="95"/>
      <c r="H78" s="96" t="s">
        <v>89</v>
      </c>
      <c r="I78" s="103" t="s">
        <v>951</v>
      </c>
      <c r="J78" s="95"/>
      <c r="K78" s="99" t="s">
        <v>1294</v>
      </c>
      <c r="L78" s="113"/>
      <c r="M78" s="100"/>
      <c r="N78" s="101"/>
      <c r="O78" s="128"/>
      <c r="P78" s="95"/>
      <c r="Q78" s="114"/>
      <c r="R78" s="106"/>
      <c r="S78" s="103"/>
      <c r="T78" s="103"/>
      <c r="V78" s="107"/>
    </row>
    <row r="79" ht="15.75" customHeight="1">
      <c r="A79" s="89"/>
      <c r="B79" s="96" t="s">
        <v>1295</v>
      </c>
      <c r="C79" s="96" t="s">
        <v>1296</v>
      </c>
      <c r="D79" s="95"/>
      <c r="E79" s="130" t="s">
        <v>1297</v>
      </c>
      <c r="F79" s="194" t="s">
        <v>1298</v>
      </c>
      <c r="G79" s="95"/>
      <c r="H79" s="96" t="s">
        <v>89</v>
      </c>
      <c r="I79" s="103" t="s">
        <v>276</v>
      </c>
      <c r="J79" s="95"/>
      <c r="K79" s="99">
        <v>10500.0</v>
      </c>
      <c r="L79" s="99">
        <v>3000.0</v>
      </c>
      <c r="M79" s="100"/>
      <c r="N79" s="127"/>
      <c r="O79" s="102" t="s">
        <v>1299</v>
      </c>
      <c r="P79" s="95"/>
      <c r="Q79" s="103">
        <v>6.0</v>
      </c>
      <c r="R79" s="171" t="s">
        <v>1300</v>
      </c>
      <c r="S79" s="103" t="s">
        <v>113</v>
      </c>
      <c r="T79" s="103" t="s">
        <v>1301</v>
      </c>
      <c r="V79" s="107"/>
    </row>
    <row r="80" ht="15.75" customHeight="1">
      <c r="A80" s="89"/>
      <c r="B80" s="96" t="s">
        <v>1295</v>
      </c>
      <c r="C80" s="96" t="s">
        <v>1302</v>
      </c>
      <c r="D80" s="95"/>
      <c r="E80" s="130" t="s">
        <v>1303</v>
      </c>
      <c r="F80" s="194" t="s">
        <v>1304</v>
      </c>
      <c r="G80" s="95"/>
      <c r="H80" s="96" t="s">
        <v>89</v>
      </c>
      <c r="I80" s="103" t="s">
        <v>276</v>
      </c>
      <c r="J80" s="95"/>
      <c r="K80" s="99">
        <v>10500.0</v>
      </c>
      <c r="L80" s="99">
        <v>3000.0</v>
      </c>
      <c r="M80" s="100"/>
      <c r="N80" s="101" t="s">
        <v>60</v>
      </c>
      <c r="O80" s="102" t="s">
        <v>1305</v>
      </c>
      <c r="P80" s="95"/>
      <c r="Q80" s="103">
        <v>6.0</v>
      </c>
      <c r="R80" s="171" t="s">
        <v>1306</v>
      </c>
      <c r="S80" s="103" t="s">
        <v>113</v>
      </c>
      <c r="T80" s="225" t="s">
        <v>1307</v>
      </c>
      <c r="V80" s="107"/>
    </row>
    <row r="81" ht="15.75" customHeight="1">
      <c r="A81" s="89"/>
      <c r="B81" s="96" t="s">
        <v>1308</v>
      </c>
      <c r="C81" s="106" t="s">
        <v>1309</v>
      </c>
      <c r="D81" s="95"/>
      <c r="E81" s="213" t="s">
        <v>1310</v>
      </c>
      <c r="F81" s="144" t="s">
        <v>1311</v>
      </c>
      <c r="G81" s="95"/>
      <c r="H81" s="96" t="s">
        <v>89</v>
      </c>
      <c r="I81" s="103" t="s">
        <v>849</v>
      </c>
      <c r="J81" s="95"/>
      <c r="K81" s="99"/>
      <c r="L81" s="99"/>
      <c r="M81" s="100"/>
      <c r="N81" s="101"/>
      <c r="O81" s="102"/>
      <c r="P81" s="95"/>
      <c r="Q81" s="114"/>
      <c r="R81" s="142"/>
      <c r="S81" s="103"/>
      <c r="T81" s="103"/>
      <c r="V81" s="107"/>
    </row>
    <row r="82" ht="15.75" customHeight="1">
      <c r="A82" s="89"/>
      <c r="B82" s="96" t="s">
        <v>1308</v>
      </c>
      <c r="C82" s="130" t="s">
        <v>1263</v>
      </c>
      <c r="D82" s="95"/>
      <c r="E82" s="130" t="s">
        <v>1264</v>
      </c>
      <c r="F82" s="194" t="s">
        <v>1265</v>
      </c>
      <c r="G82" s="95"/>
      <c r="H82" s="96" t="s">
        <v>89</v>
      </c>
      <c r="I82" s="103" t="s">
        <v>110</v>
      </c>
      <c r="J82" s="95"/>
      <c r="K82" s="99">
        <v>9000.0</v>
      </c>
      <c r="L82" s="99">
        <v>9000.0</v>
      </c>
      <c r="M82" s="100"/>
      <c r="N82" s="101"/>
      <c r="O82" s="102"/>
      <c r="P82" s="95"/>
      <c r="Q82" s="103">
        <v>6.0</v>
      </c>
      <c r="R82" s="171" t="s">
        <v>1312</v>
      </c>
      <c r="S82" s="103" t="s">
        <v>113</v>
      </c>
      <c r="T82" s="103" t="s">
        <v>1313</v>
      </c>
      <c r="V82" s="107"/>
    </row>
    <row r="83" ht="15.75" customHeight="1">
      <c r="A83" s="89"/>
      <c r="B83" s="96" t="s">
        <v>1314</v>
      </c>
      <c r="C83" s="96" t="s">
        <v>1315</v>
      </c>
      <c r="D83" s="95"/>
      <c r="E83" s="130" t="s">
        <v>1316</v>
      </c>
      <c r="F83" s="194" t="s">
        <v>1317</v>
      </c>
      <c r="G83" s="95"/>
      <c r="H83" s="96" t="s">
        <v>89</v>
      </c>
      <c r="I83" s="103" t="s">
        <v>276</v>
      </c>
      <c r="J83" s="95"/>
      <c r="K83" s="99">
        <v>10500.0</v>
      </c>
      <c r="L83" s="99">
        <v>3000.0</v>
      </c>
      <c r="M83" s="100"/>
      <c r="N83" s="127"/>
      <c r="O83" s="128"/>
      <c r="P83" s="95"/>
      <c r="Q83" s="103">
        <v>6.0</v>
      </c>
      <c r="R83" s="171" t="s">
        <v>1318</v>
      </c>
      <c r="S83" s="103" t="s">
        <v>113</v>
      </c>
      <c r="T83" s="103" t="s">
        <v>1319</v>
      </c>
      <c r="V83" s="107"/>
    </row>
    <row r="84" ht="15.75" customHeight="1">
      <c r="A84" s="89"/>
      <c r="B84" s="96" t="s">
        <v>1266</v>
      </c>
      <c r="C84" s="96" t="s">
        <v>1320</v>
      </c>
      <c r="D84" s="95"/>
      <c r="E84" s="130" t="s">
        <v>1321</v>
      </c>
      <c r="F84" s="194" t="s">
        <v>1322</v>
      </c>
      <c r="G84" s="95"/>
      <c r="H84" s="96" t="s">
        <v>89</v>
      </c>
      <c r="I84" s="103"/>
      <c r="J84" s="95"/>
      <c r="K84" s="113"/>
      <c r="L84" s="113"/>
      <c r="M84" s="100"/>
      <c r="N84" s="101"/>
      <c r="O84" s="102" t="s">
        <v>1323</v>
      </c>
      <c r="P84" s="95"/>
      <c r="Q84" s="103">
        <v>6.0</v>
      </c>
      <c r="R84" s="171" t="s">
        <v>1324</v>
      </c>
      <c r="S84" s="103" t="s">
        <v>157</v>
      </c>
      <c r="T84" s="103" t="s">
        <v>1325</v>
      </c>
      <c r="V84" s="107"/>
    </row>
    <row r="85" ht="15.75" customHeight="1">
      <c r="A85" s="89"/>
      <c r="B85" s="96" t="s">
        <v>1266</v>
      </c>
      <c r="C85" s="143" t="s">
        <v>1326</v>
      </c>
      <c r="D85" s="95"/>
      <c r="E85" s="130" t="s">
        <v>1327</v>
      </c>
      <c r="F85" s="194" t="s">
        <v>1328</v>
      </c>
      <c r="G85" s="95"/>
      <c r="H85" s="96" t="s">
        <v>89</v>
      </c>
      <c r="I85" s="103" t="s">
        <v>90</v>
      </c>
      <c r="J85" s="95"/>
      <c r="K85" s="99"/>
      <c r="L85" s="99"/>
      <c r="M85" s="100"/>
      <c r="N85" s="101" t="s">
        <v>91</v>
      </c>
      <c r="O85" s="102" t="s">
        <v>1329</v>
      </c>
      <c r="P85" s="95"/>
      <c r="Q85" s="103">
        <v>6.0</v>
      </c>
      <c r="R85" s="171" t="s">
        <v>1330</v>
      </c>
      <c r="S85" s="103" t="s">
        <v>157</v>
      </c>
      <c r="T85" s="103" t="s">
        <v>1331</v>
      </c>
      <c r="V85" s="107"/>
    </row>
    <row r="86" ht="15.75" customHeight="1">
      <c r="A86" s="89"/>
      <c r="B86" s="96" t="s">
        <v>1266</v>
      </c>
      <c r="C86" s="97" t="s">
        <v>1332</v>
      </c>
      <c r="D86" s="95"/>
      <c r="E86" s="130" t="s">
        <v>1333</v>
      </c>
      <c r="F86" s="194" t="s">
        <v>1334</v>
      </c>
      <c r="G86" s="95"/>
      <c r="H86" s="96" t="s">
        <v>89</v>
      </c>
      <c r="I86" s="103" t="s">
        <v>951</v>
      </c>
      <c r="J86" s="95"/>
      <c r="K86" s="113"/>
      <c r="L86" s="113"/>
      <c r="M86" s="100"/>
      <c r="N86" s="101"/>
      <c r="O86" s="102"/>
      <c r="P86" s="95"/>
      <c r="Q86" s="135"/>
      <c r="R86" s="115"/>
      <c r="S86" s="103"/>
      <c r="T86" s="103"/>
      <c r="V86" s="107"/>
    </row>
    <row r="87" ht="15.75" customHeight="1">
      <c r="A87" s="89"/>
      <c r="B87" s="177"/>
      <c r="C87" s="96"/>
      <c r="D87" s="95"/>
      <c r="E87" s="176"/>
      <c r="F87" s="144"/>
      <c r="G87" s="95"/>
      <c r="H87" s="96"/>
      <c r="I87" s="103"/>
      <c r="J87" s="95"/>
      <c r="K87" s="99"/>
      <c r="L87" s="99"/>
      <c r="M87" s="100"/>
      <c r="N87" s="127"/>
      <c r="O87" s="102"/>
      <c r="P87" s="95"/>
      <c r="Q87" s="137"/>
      <c r="R87" s="106"/>
      <c r="S87" s="103"/>
      <c r="T87" s="103"/>
      <c r="V87" s="107"/>
    </row>
    <row r="88" ht="15.75" customHeight="1">
      <c r="A88" s="89"/>
      <c r="B88" s="177"/>
      <c r="C88" s="96"/>
      <c r="D88" s="95"/>
      <c r="E88" s="176"/>
      <c r="F88" s="144"/>
      <c r="G88" s="95"/>
      <c r="H88" s="96"/>
      <c r="I88" s="103"/>
      <c r="J88" s="95"/>
      <c r="K88" s="113"/>
      <c r="L88" s="113"/>
      <c r="M88" s="100"/>
      <c r="N88" s="101"/>
      <c r="O88" s="102"/>
      <c r="P88" s="95"/>
      <c r="Q88" s="114"/>
      <c r="R88" s="106"/>
      <c r="S88" s="103"/>
      <c r="T88" s="103"/>
      <c r="V88" s="107"/>
    </row>
    <row r="89" ht="15.75" customHeight="1">
      <c r="A89" s="89"/>
      <c r="B89" s="177"/>
      <c r="C89" s="96"/>
      <c r="D89" s="95"/>
      <c r="E89" s="176"/>
      <c r="F89" s="144"/>
      <c r="G89" s="95"/>
      <c r="H89" s="96"/>
      <c r="I89" s="103"/>
      <c r="J89" s="95"/>
      <c r="K89" s="99"/>
      <c r="L89" s="99"/>
      <c r="M89" s="100"/>
      <c r="N89" s="127"/>
      <c r="O89" s="128"/>
      <c r="P89" s="95"/>
      <c r="Q89" s="95"/>
      <c r="R89" s="129"/>
      <c r="S89" s="95"/>
      <c r="T89" s="95"/>
      <c r="V89" s="107"/>
    </row>
    <row r="90" ht="15.75" customHeight="1">
      <c r="A90" s="89"/>
      <c r="B90" s="177"/>
      <c r="C90" s="144"/>
      <c r="D90" s="95"/>
      <c r="E90" s="176"/>
      <c r="F90" s="180"/>
      <c r="G90" s="95"/>
      <c r="H90" s="96"/>
      <c r="I90" s="103"/>
      <c r="J90" s="95"/>
      <c r="K90" s="113"/>
      <c r="L90" s="113"/>
      <c r="M90" s="100"/>
      <c r="N90" s="101"/>
      <c r="O90" s="102"/>
      <c r="P90" s="95"/>
      <c r="Q90" s="103"/>
      <c r="R90" s="106"/>
      <c r="S90" s="103"/>
      <c r="T90" s="103"/>
      <c r="V90" s="107"/>
    </row>
    <row r="91" ht="15.75" customHeight="1">
      <c r="A91" s="89"/>
      <c r="B91" s="177"/>
      <c r="C91" s="146"/>
      <c r="D91" s="95"/>
      <c r="E91" s="176"/>
      <c r="F91" s="144"/>
      <c r="G91" s="95"/>
      <c r="H91" s="96"/>
      <c r="I91" s="103"/>
      <c r="J91" s="95"/>
      <c r="K91" s="99"/>
      <c r="L91" s="99"/>
      <c r="M91" s="100"/>
      <c r="N91" s="127"/>
      <c r="O91" s="128"/>
      <c r="P91" s="95"/>
      <c r="Q91" s="95"/>
      <c r="R91" s="129"/>
      <c r="S91" s="95"/>
      <c r="T91" s="95"/>
      <c r="V91" s="107"/>
    </row>
    <row r="92" ht="15.75" customHeight="1">
      <c r="A92" s="89"/>
      <c r="B92" s="177"/>
      <c r="C92" s="144"/>
      <c r="D92" s="95"/>
      <c r="E92" s="176"/>
      <c r="F92" s="144"/>
      <c r="G92" s="95"/>
      <c r="H92" s="96"/>
      <c r="I92" s="103"/>
      <c r="J92" s="95"/>
      <c r="K92" s="113"/>
      <c r="L92" s="113"/>
      <c r="M92" s="100"/>
      <c r="N92" s="101"/>
      <c r="O92" s="102"/>
      <c r="P92" s="95"/>
      <c r="Q92" s="135"/>
      <c r="R92" s="106"/>
      <c r="S92" s="103"/>
      <c r="T92" s="103"/>
      <c r="V92" s="107"/>
    </row>
    <row r="93" ht="15.75" customHeight="1">
      <c r="A93" s="89"/>
      <c r="B93" s="177"/>
      <c r="C93" s="146"/>
      <c r="D93" s="95"/>
      <c r="E93" s="144"/>
      <c r="F93" s="144"/>
      <c r="G93" s="95"/>
      <c r="H93" s="96"/>
      <c r="I93" s="103"/>
      <c r="J93" s="95"/>
      <c r="K93" s="99"/>
      <c r="L93" s="99"/>
      <c r="M93" s="100"/>
      <c r="N93" s="127"/>
      <c r="O93" s="128"/>
      <c r="P93" s="95"/>
      <c r="Q93" s="137"/>
      <c r="R93" s="129"/>
      <c r="S93" s="95"/>
      <c r="T93" s="95"/>
      <c r="V93" s="107"/>
    </row>
    <row r="94" ht="15.75" customHeight="1">
      <c r="A94" s="89"/>
      <c r="B94" s="177"/>
      <c r="C94" s="96"/>
      <c r="D94" s="95"/>
      <c r="E94" s="176"/>
      <c r="F94" s="144"/>
      <c r="G94" s="95"/>
      <c r="H94" s="96"/>
      <c r="I94" s="103"/>
      <c r="J94" s="95"/>
      <c r="K94" s="113"/>
      <c r="L94" s="113"/>
      <c r="M94" s="100"/>
      <c r="N94" s="127"/>
      <c r="O94" s="128"/>
      <c r="P94" s="95"/>
      <c r="Q94" s="95"/>
      <c r="R94" s="129"/>
      <c r="S94" s="95"/>
      <c r="T94" s="95"/>
      <c r="V94" s="107"/>
    </row>
    <row r="95" ht="15.75" customHeight="1">
      <c r="A95" s="89"/>
      <c r="B95" s="177"/>
      <c r="C95" s="96"/>
      <c r="D95" s="95"/>
      <c r="E95" s="176"/>
      <c r="F95" s="144"/>
      <c r="G95" s="95"/>
      <c r="H95" s="96"/>
      <c r="I95" s="103"/>
      <c r="J95" s="95"/>
      <c r="K95" s="99"/>
      <c r="L95" s="99"/>
      <c r="M95" s="100"/>
      <c r="N95" s="101"/>
      <c r="O95" s="102"/>
      <c r="P95" s="95"/>
      <c r="Q95" s="114"/>
      <c r="R95" s="106"/>
      <c r="S95" s="103"/>
      <c r="T95" s="103"/>
      <c r="V95" s="107"/>
    </row>
    <row r="96" ht="15.75" customHeight="1">
      <c r="A96" s="89"/>
      <c r="B96" s="177"/>
      <c r="C96" s="96"/>
      <c r="D96" s="95"/>
      <c r="E96" s="176"/>
      <c r="F96" s="144"/>
      <c r="G96" s="95"/>
      <c r="H96" s="96"/>
      <c r="I96" s="103"/>
      <c r="J96" s="95"/>
      <c r="K96" s="113"/>
      <c r="L96" s="113"/>
      <c r="M96" s="100"/>
      <c r="N96" s="127"/>
      <c r="O96" s="128"/>
      <c r="P96" s="95"/>
      <c r="Q96" s="95"/>
      <c r="R96" s="129"/>
      <c r="S96" s="95"/>
      <c r="T96" s="95"/>
      <c r="V96" s="107"/>
    </row>
    <row r="97" ht="15.75" customHeight="1">
      <c r="A97" s="89"/>
      <c r="B97" s="177"/>
      <c r="C97" s="96"/>
      <c r="D97" s="95"/>
      <c r="E97" s="181"/>
      <c r="F97" s="144"/>
      <c r="G97" s="95"/>
      <c r="H97" s="96"/>
      <c r="I97" s="103"/>
      <c r="J97" s="95"/>
      <c r="K97" s="99"/>
      <c r="L97" s="99"/>
      <c r="M97" s="100"/>
      <c r="N97" s="127"/>
      <c r="O97" s="128"/>
      <c r="P97" s="95"/>
      <c r="Q97" s="137"/>
      <c r="R97" s="129"/>
      <c r="S97" s="95"/>
      <c r="T97" s="95"/>
      <c r="V97" s="107"/>
    </row>
    <row r="98" ht="15.75" customHeight="1">
      <c r="A98" s="89"/>
      <c r="B98" s="177"/>
      <c r="C98" s="106"/>
      <c r="D98" s="95"/>
      <c r="E98" s="176"/>
      <c r="F98" s="144"/>
      <c r="G98" s="95"/>
      <c r="H98" s="96"/>
      <c r="I98" s="103"/>
      <c r="J98" s="95"/>
      <c r="K98" s="113"/>
      <c r="L98" s="113"/>
      <c r="M98" s="100"/>
      <c r="N98" s="127"/>
      <c r="O98" s="128"/>
      <c r="P98" s="95"/>
      <c r="Q98" s="135"/>
      <c r="R98" s="106"/>
      <c r="S98" s="95"/>
      <c r="T98" s="103"/>
      <c r="V98" s="107"/>
    </row>
    <row r="99" ht="15.75" customHeight="1">
      <c r="A99" s="89"/>
      <c r="B99" s="177"/>
      <c r="C99" s="106"/>
      <c r="D99" s="95"/>
      <c r="E99" s="176"/>
      <c r="F99" s="144"/>
      <c r="G99" s="95"/>
      <c r="H99" s="96"/>
      <c r="I99" s="103"/>
      <c r="J99" s="95"/>
      <c r="K99" s="99"/>
      <c r="L99" s="99"/>
      <c r="M99" s="100"/>
      <c r="N99" s="127"/>
      <c r="O99" s="128"/>
      <c r="P99" s="95"/>
      <c r="Q99" s="135"/>
      <c r="R99" s="106"/>
      <c r="S99" s="95"/>
      <c r="T99" s="103"/>
      <c r="V99" s="107"/>
    </row>
    <row r="100" ht="15.75" customHeight="1">
      <c r="A100" s="89"/>
      <c r="B100" s="177"/>
      <c r="C100" s="96"/>
      <c r="D100" s="95"/>
      <c r="E100" s="96"/>
      <c r="F100" s="146"/>
      <c r="G100" s="95"/>
      <c r="H100" s="96"/>
      <c r="I100" s="103"/>
      <c r="J100" s="95"/>
      <c r="K100" s="113"/>
      <c r="L100" s="113"/>
      <c r="M100" s="100"/>
      <c r="N100" s="127"/>
      <c r="O100" s="128"/>
      <c r="P100" s="95"/>
      <c r="Q100" s="137"/>
      <c r="R100" s="129"/>
      <c r="S100" s="95"/>
      <c r="T100" s="95"/>
      <c r="V100" s="107"/>
    </row>
    <row r="101" ht="15.75" customHeight="1">
      <c r="A101" s="89"/>
      <c r="B101" s="177"/>
      <c r="C101" s="96"/>
      <c r="D101" s="95"/>
      <c r="E101" s="176"/>
      <c r="F101" s="144"/>
      <c r="G101" s="95"/>
      <c r="H101" s="96"/>
      <c r="I101" s="103"/>
      <c r="J101" s="95"/>
      <c r="K101" s="99"/>
      <c r="L101" s="99"/>
      <c r="M101" s="100"/>
      <c r="N101" s="127"/>
      <c r="O101" s="128"/>
      <c r="P101" s="95"/>
      <c r="Q101" s="95"/>
      <c r="R101" s="129"/>
      <c r="S101" s="95"/>
      <c r="T101" s="95"/>
      <c r="V101" s="107"/>
    </row>
    <row r="102" ht="15.75" customHeight="1">
      <c r="A102" s="89"/>
      <c r="B102" s="177"/>
      <c r="C102" s="96"/>
      <c r="D102" s="95"/>
      <c r="E102" s="176"/>
      <c r="F102" s="144"/>
      <c r="G102" s="95"/>
      <c r="H102" s="96"/>
      <c r="I102" s="103"/>
      <c r="J102" s="95"/>
      <c r="K102" s="113"/>
      <c r="L102" s="113"/>
      <c r="M102" s="100"/>
      <c r="N102" s="101"/>
      <c r="O102" s="102"/>
      <c r="P102" s="95"/>
      <c r="Q102" s="114"/>
      <c r="R102" s="115"/>
      <c r="S102" s="103"/>
      <c r="T102" s="103"/>
      <c r="V102" s="107"/>
    </row>
    <row r="103" ht="15.75" customHeight="1">
      <c r="A103" s="89"/>
      <c r="B103" s="182"/>
      <c r="C103" s="149"/>
      <c r="D103" s="95"/>
      <c r="E103" s="149"/>
      <c r="F103" s="180"/>
      <c r="G103" s="95"/>
      <c r="H103" s="96"/>
      <c r="I103" s="103"/>
      <c r="J103" s="95"/>
      <c r="K103" s="99"/>
      <c r="L103" s="99"/>
      <c r="M103" s="100"/>
      <c r="N103" s="101"/>
      <c r="O103" s="128"/>
      <c r="P103" s="95"/>
      <c r="Q103" s="137"/>
      <c r="R103" s="129"/>
      <c r="S103" s="103"/>
      <c r="T103" s="95"/>
      <c r="V103" s="107"/>
    </row>
    <row r="104" ht="15.75" customHeight="1">
      <c r="A104" s="89"/>
      <c r="B104" s="182"/>
      <c r="C104" s="149"/>
      <c r="D104" s="95"/>
      <c r="E104" s="149"/>
      <c r="F104" s="149"/>
      <c r="G104" s="95"/>
      <c r="H104" s="96"/>
      <c r="I104" s="103"/>
      <c r="J104" s="95"/>
      <c r="K104" s="113"/>
      <c r="L104" s="113"/>
      <c r="M104" s="100"/>
      <c r="N104" s="101"/>
      <c r="O104" s="128"/>
      <c r="P104" s="95"/>
      <c r="Q104" s="95"/>
      <c r="R104" s="129"/>
      <c r="S104" s="103"/>
      <c r="T104" s="95"/>
      <c r="V104" s="107"/>
    </row>
    <row r="105" ht="15.75" customHeight="1">
      <c r="A105" s="89"/>
      <c r="B105" s="182"/>
      <c r="C105" s="107"/>
      <c r="D105" s="95"/>
      <c r="E105" s="149"/>
      <c r="F105" s="149"/>
      <c r="G105" s="95"/>
      <c r="H105" s="96"/>
      <c r="I105" s="103"/>
      <c r="J105" s="95"/>
      <c r="K105" s="99"/>
      <c r="L105" s="99"/>
      <c r="M105" s="100"/>
      <c r="N105" s="101"/>
      <c r="O105" s="128"/>
      <c r="P105" s="95"/>
      <c r="Q105" s="137"/>
      <c r="R105" s="129"/>
      <c r="S105" s="103"/>
      <c r="T105" s="95"/>
      <c r="V105" s="107"/>
    </row>
    <row r="106" ht="15.75" customHeight="1">
      <c r="A106" s="89"/>
      <c r="B106" s="182"/>
      <c r="C106" s="107"/>
      <c r="D106" s="95"/>
      <c r="E106" s="149"/>
      <c r="F106" s="149"/>
      <c r="G106" s="95"/>
      <c r="H106" s="96"/>
      <c r="I106" s="103"/>
      <c r="J106" s="95"/>
      <c r="K106" s="113"/>
      <c r="L106" s="113"/>
      <c r="M106" s="100"/>
      <c r="N106" s="101"/>
      <c r="O106" s="128"/>
      <c r="P106" s="95"/>
      <c r="Q106" s="137"/>
      <c r="R106" s="129"/>
      <c r="S106" s="103"/>
      <c r="T106" s="95"/>
      <c r="V106" s="107"/>
    </row>
    <row r="107" ht="15.75" customHeight="1">
      <c r="A107" s="89"/>
      <c r="B107" s="182"/>
      <c r="C107" s="149"/>
      <c r="D107" s="95"/>
      <c r="E107" s="149"/>
      <c r="F107" s="149"/>
      <c r="G107" s="95"/>
      <c r="H107" s="96"/>
      <c r="I107" s="103"/>
      <c r="J107" s="95"/>
      <c r="K107" s="99"/>
      <c r="L107" s="99"/>
      <c r="M107" s="100"/>
      <c r="N107" s="101"/>
      <c r="O107" s="128"/>
      <c r="P107" s="95"/>
      <c r="Q107" s="137"/>
      <c r="R107" s="129"/>
      <c r="S107" s="103"/>
      <c r="T107" s="95"/>
      <c r="V107" s="107"/>
    </row>
    <row r="108" ht="15.75" customHeight="1">
      <c r="A108" s="89"/>
      <c r="B108" s="182"/>
      <c r="C108" s="149"/>
      <c r="D108" s="95"/>
      <c r="E108" s="149"/>
      <c r="F108" s="149"/>
      <c r="G108" s="95"/>
      <c r="H108" s="96"/>
      <c r="I108" s="103"/>
      <c r="J108" s="95"/>
      <c r="K108" s="113"/>
      <c r="L108" s="113"/>
      <c r="M108" s="100"/>
      <c r="N108" s="101"/>
      <c r="O108" s="128"/>
      <c r="P108" s="95"/>
      <c r="Q108" s="95"/>
      <c r="R108" s="129"/>
      <c r="S108" s="103"/>
      <c r="T108" s="95"/>
      <c r="V108" s="107"/>
    </row>
    <row r="109" ht="15.75" customHeight="1">
      <c r="A109" s="89"/>
      <c r="B109" s="182"/>
      <c r="C109" s="149"/>
      <c r="D109" s="95"/>
      <c r="E109" s="149"/>
      <c r="F109" s="149"/>
      <c r="G109" s="95"/>
      <c r="H109" s="96"/>
      <c r="I109" s="103"/>
      <c r="J109" s="95"/>
      <c r="K109" s="99"/>
      <c r="L109" s="99"/>
      <c r="M109" s="100"/>
      <c r="N109" s="101"/>
      <c r="O109" s="128"/>
      <c r="P109" s="95"/>
      <c r="Q109" s="137"/>
      <c r="R109" s="129"/>
      <c r="S109" s="103"/>
      <c r="T109" s="95"/>
      <c r="V109" s="107"/>
    </row>
    <row r="110" ht="15.75" customHeight="1">
      <c r="A110" s="89"/>
      <c r="B110" s="182"/>
      <c r="C110" s="149"/>
      <c r="D110" s="95"/>
      <c r="E110" s="149"/>
      <c r="F110" s="149"/>
      <c r="G110" s="95"/>
      <c r="H110" s="149"/>
      <c r="I110" s="151"/>
      <c r="J110" s="95"/>
      <c r="K110" s="113"/>
      <c r="L110" s="113"/>
      <c r="M110" s="100"/>
      <c r="N110" s="127"/>
      <c r="O110" s="128"/>
      <c r="P110" s="95"/>
      <c r="Q110" s="95"/>
      <c r="R110" s="129"/>
      <c r="S110" s="95"/>
      <c r="T110" s="95"/>
      <c r="V110" s="107"/>
    </row>
    <row r="111" ht="15.75" customHeight="1">
      <c r="A111" s="89"/>
      <c r="B111" s="182"/>
      <c r="C111" s="149"/>
      <c r="D111" s="95"/>
      <c r="E111" s="149"/>
      <c r="F111" s="149"/>
      <c r="G111" s="95"/>
      <c r="H111" s="149"/>
      <c r="I111" s="95"/>
      <c r="J111" s="95"/>
      <c r="K111" s="99"/>
      <c r="L111" s="99"/>
      <c r="M111" s="100"/>
      <c r="N111" s="127"/>
      <c r="O111" s="128"/>
      <c r="P111" s="95"/>
      <c r="Q111" s="137"/>
      <c r="R111" s="129"/>
      <c r="S111" s="95"/>
      <c r="T111" s="95"/>
      <c r="V111" s="107"/>
    </row>
    <row r="112" ht="15.75" customHeight="1">
      <c r="A112" s="89"/>
      <c r="B112" s="182"/>
      <c r="C112" s="107"/>
      <c r="D112" s="95"/>
      <c r="E112" s="149"/>
      <c r="F112" s="149"/>
      <c r="G112" s="95"/>
      <c r="H112" s="149"/>
      <c r="I112" s="95"/>
      <c r="J112" s="95"/>
      <c r="K112" s="113"/>
      <c r="L112" s="113"/>
      <c r="M112" s="100"/>
      <c r="N112" s="127"/>
      <c r="O112" s="128"/>
      <c r="P112" s="95"/>
      <c r="Q112" s="95"/>
      <c r="R112" s="129"/>
      <c r="S112" s="95"/>
      <c r="T112" s="95"/>
      <c r="V112" s="107"/>
    </row>
    <row r="113" ht="15.75" customHeight="1">
      <c r="A113" s="89"/>
      <c r="B113" s="182"/>
      <c r="C113" s="107"/>
      <c r="D113" s="95"/>
      <c r="E113" s="149"/>
      <c r="F113" s="149"/>
      <c r="G113" s="95"/>
      <c r="H113" s="149"/>
      <c r="I113" s="95"/>
      <c r="J113" s="95"/>
      <c r="K113" s="99"/>
      <c r="L113" s="99"/>
      <c r="M113" s="100"/>
      <c r="N113" s="127"/>
      <c r="O113" s="128"/>
      <c r="P113" s="95"/>
      <c r="Q113" s="95"/>
      <c r="R113" s="129"/>
      <c r="S113" s="95"/>
      <c r="T113" s="95"/>
      <c r="V113" s="107"/>
    </row>
    <row r="114" ht="15.75" customHeight="1">
      <c r="A114" s="89"/>
      <c r="B114" s="182"/>
      <c r="C114" s="107"/>
      <c r="D114" s="95"/>
      <c r="E114" s="149"/>
      <c r="F114" s="149"/>
      <c r="G114" s="95"/>
      <c r="H114" s="149"/>
      <c r="I114" s="95"/>
      <c r="J114" s="95"/>
      <c r="K114" s="113"/>
      <c r="L114" s="113"/>
      <c r="M114" s="100"/>
      <c r="N114" s="127"/>
      <c r="O114" s="128"/>
      <c r="P114" s="95"/>
      <c r="Q114" s="95"/>
      <c r="R114" s="129"/>
      <c r="S114" s="95"/>
      <c r="T114" s="95"/>
      <c r="V114" s="107"/>
    </row>
    <row r="115" ht="15.75" customHeight="1">
      <c r="A115" s="89"/>
      <c r="B115" s="182"/>
      <c r="C115" s="149"/>
      <c r="D115" s="95"/>
      <c r="E115" s="149"/>
      <c r="F115" s="149"/>
      <c r="G115" s="95"/>
      <c r="H115" s="149"/>
      <c r="I115" s="95"/>
      <c r="J115" s="95"/>
      <c r="K115" s="99"/>
      <c r="L115" s="99"/>
      <c r="M115" s="100"/>
      <c r="N115" s="127"/>
      <c r="O115" s="128"/>
      <c r="P115" s="95"/>
      <c r="Q115" s="95"/>
      <c r="R115" s="129"/>
      <c r="S115" s="95"/>
      <c r="T115" s="95"/>
      <c r="V115" s="107"/>
    </row>
    <row r="116" ht="15.75" customHeight="1">
      <c r="A116" s="89"/>
      <c r="B116" s="182"/>
      <c r="C116" s="149"/>
      <c r="D116" s="95"/>
      <c r="E116" s="149"/>
      <c r="F116" s="149"/>
      <c r="G116" s="95"/>
      <c r="H116" s="149"/>
      <c r="I116" s="95"/>
      <c r="J116" s="95"/>
      <c r="K116" s="113"/>
      <c r="L116" s="113"/>
      <c r="M116" s="100"/>
      <c r="N116" s="127"/>
      <c r="O116" s="128"/>
      <c r="P116" s="95"/>
      <c r="Q116" s="95"/>
      <c r="R116" s="129"/>
      <c r="S116" s="95"/>
      <c r="T116" s="95"/>
      <c r="V116" s="107"/>
    </row>
    <row r="117" ht="15.75" customHeight="1">
      <c r="A117" s="89"/>
      <c r="B117" s="182"/>
      <c r="C117" s="149"/>
      <c r="D117" s="95"/>
      <c r="E117" s="149"/>
      <c r="F117" s="149"/>
      <c r="G117" s="95"/>
      <c r="H117" s="149"/>
      <c r="I117" s="95"/>
      <c r="J117" s="95"/>
      <c r="K117" s="99"/>
      <c r="L117" s="99"/>
      <c r="M117" s="100"/>
      <c r="N117" s="127"/>
      <c r="O117" s="128"/>
      <c r="P117" s="95"/>
      <c r="Q117" s="95"/>
      <c r="R117" s="129"/>
      <c r="S117" s="95"/>
      <c r="T117" s="95"/>
      <c r="V117" s="107"/>
    </row>
    <row r="118" ht="15.75" customHeight="1">
      <c r="A118" s="89"/>
      <c r="B118" s="182"/>
      <c r="C118" s="149"/>
      <c r="D118" s="95"/>
      <c r="E118" s="149"/>
      <c r="F118" s="149"/>
      <c r="G118" s="95"/>
      <c r="H118" s="149"/>
      <c r="I118" s="95"/>
      <c r="J118" s="95"/>
      <c r="K118" s="113"/>
      <c r="L118" s="113"/>
      <c r="M118" s="100"/>
      <c r="N118" s="127"/>
      <c r="O118" s="128"/>
      <c r="P118" s="95"/>
      <c r="Q118" s="95"/>
      <c r="R118" s="129"/>
      <c r="S118" s="95"/>
      <c r="T118" s="95"/>
      <c r="V118" s="107"/>
    </row>
    <row r="119" ht="15.75" customHeight="1">
      <c r="A119" s="89"/>
      <c r="B119" s="182"/>
      <c r="C119" s="149"/>
      <c r="D119" s="95"/>
      <c r="E119" s="149"/>
      <c r="F119" s="149"/>
      <c r="G119" s="95"/>
      <c r="H119" s="149"/>
      <c r="I119" s="95"/>
      <c r="J119" s="95"/>
      <c r="K119" s="99"/>
      <c r="L119" s="99"/>
      <c r="M119" s="100"/>
      <c r="N119" s="127"/>
      <c r="O119" s="128"/>
      <c r="P119" s="95"/>
      <c r="Q119" s="137"/>
      <c r="R119" s="129"/>
      <c r="S119" s="95"/>
      <c r="T119" s="95"/>
      <c r="V119" s="107"/>
    </row>
    <row r="120" ht="15.75" customHeight="1">
      <c r="A120" s="89"/>
      <c r="B120" s="182"/>
      <c r="C120" s="107"/>
      <c r="D120" s="95"/>
      <c r="E120" s="149"/>
      <c r="F120" s="149"/>
      <c r="G120" s="95"/>
      <c r="H120" s="149"/>
      <c r="I120" s="95"/>
      <c r="J120" s="95"/>
      <c r="K120" s="113"/>
      <c r="L120" s="113"/>
      <c r="M120" s="100"/>
      <c r="N120" s="127"/>
      <c r="O120" s="128"/>
      <c r="P120" s="95"/>
      <c r="Q120" s="95"/>
      <c r="R120" s="129"/>
      <c r="S120" s="95"/>
      <c r="T120" s="95"/>
      <c r="V120" s="107"/>
    </row>
    <row r="121" ht="15.75" customHeight="1">
      <c r="A121" s="89"/>
      <c r="B121" s="182"/>
      <c r="C121" s="107"/>
      <c r="D121" s="95"/>
      <c r="E121" s="149"/>
      <c r="F121" s="149"/>
      <c r="G121" s="95"/>
      <c r="H121" s="149"/>
      <c r="I121" s="95"/>
      <c r="J121" s="95"/>
      <c r="K121" s="99"/>
      <c r="L121" s="99"/>
      <c r="M121" s="100"/>
      <c r="N121" s="127"/>
      <c r="O121" s="128"/>
      <c r="P121" s="95"/>
      <c r="Q121" s="95"/>
      <c r="R121" s="129"/>
      <c r="S121" s="95"/>
      <c r="T121" s="95"/>
      <c r="V121" s="107"/>
    </row>
    <row r="122" ht="15.75" customHeight="1">
      <c r="A122" s="89"/>
      <c r="B122" s="182"/>
      <c r="C122" s="107"/>
      <c r="D122" s="95"/>
      <c r="E122" s="149"/>
      <c r="F122" s="149"/>
      <c r="G122" s="95"/>
      <c r="H122" s="149"/>
      <c r="I122" s="95"/>
      <c r="J122" s="95"/>
      <c r="K122" s="113"/>
      <c r="L122" s="113"/>
      <c r="M122" s="100"/>
      <c r="N122" s="127"/>
      <c r="O122" s="128"/>
      <c r="P122" s="95"/>
      <c r="Q122" s="137"/>
      <c r="R122" s="129"/>
      <c r="S122" s="95"/>
      <c r="T122" s="95"/>
      <c r="V122" s="107"/>
    </row>
    <row r="123" ht="15.75" customHeight="1">
      <c r="A123" s="89"/>
      <c r="B123" s="182"/>
      <c r="C123" s="149"/>
      <c r="D123" s="95"/>
      <c r="E123" s="149"/>
      <c r="F123" s="149"/>
      <c r="G123" s="95"/>
      <c r="H123" s="149"/>
      <c r="I123" s="95"/>
      <c r="J123" s="95"/>
      <c r="K123" s="99"/>
      <c r="L123" s="99"/>
      <c r="M123" s="100"/>
      <c r="N123" s="127"/>
      <c r="O123" s="128"/>
      <c r="P123" s="95"/>
      <c r="Q123" s="137"/>
      <c r="R123" s="129"/>
      <c r="S123" s="95"/>
      <c r="T123" s="95"/>
      <c r="V123" s="107"/>
    </row>
    <row r="124" ht="15.75" customHeight="1">
      <c r="A124" s="89"/>
      <c r="B124" s="182"/>
      <c r="C124" s="149"/>
      <c r="D124" s="95"/>
      <c r="E124" s="149"/>
      <c r="F124" s="149"/>
      <c r="G124" s="95"/>
      <c r="H124" s="149"/>
      <c r="I124" s="95"/>
      <c r="J124" s="95"/>
      <c r="K124" s="113"/>
      <c r="L124" s="113"/>
      <c r="M124" s="100"/>
      <c r="N124" s="127"/>
      <c r="O124" s="128"/>
      <c r="P124" s="95"/>
      <c r="Q124" s="137"/>
      <c r="R124" s="129"/>
      <c r="S124" s="95"/>
      <c r="T124" s="95"/>
      <c r="V124" s="107"/>
    </row>
    <row r="125" ht="15.75" customHeight="1">
      <c r="A125" s="89"/>
      <c r="B125" s="182"/>
      <c r="C125" s="149"/>
      <c r="D125" s="95"/>
      <c r="E125" s="149"/>
      <c r="F125" s="149"/>
      <c r="G125" s="95"/>
      <c r="H125" s="149"/>
      <c r="I125" s="95"/>
      <c r="J125" s="95"/>
      <c r="K125" s="99"/>
      <c r="L125" s="99"/>
      <c r="M125" s="100"/>
      <c r="N125" s="127"/>
      <c r="O125" s="128"/>
      <c r="P125" s="95"/>
      <c r="Q125" s="137"/>
      <c r="R125" s="129"/>
      <c r="S125" s="95"/>
      <c r="T125" s="95"/>
      <c r="V125" s="107"/>
    </row>
    <row r="126" ht="15.75" customHeight="1">
      <c r="A126" s="89"/>
      <c r="B126" s="182"/>
      <c r="C126" s="149"/>
      <c r="D126" s="95"/>
      <c r="E126" s="149"/>
      <c r="F126" s="149"/>
      <c r="G126" s="95"/>
      <c r="H126" s="149"/>
      <c r="I126" s="95"/>
      <c r="J126" s="95"/>
      <c r="K126" s="113"/>
      <c r="L126" s="113"/>
      <c r="M126" s="100"/>
      <c r="N126" s="127"/>
      <c r="O126" s="128"/>
      <c r="P126" s="95"/>
      <c r="Q126" s="137"/>
      <c r="R126" s="129"/>
      <c r="S126" s="95"/>
      <c r="T126" s="95"/>
      <c r="V126" s="107"/>
    </row>
    <row r="127" ht="15.75" customHeight="1">
      <c r="A127" s="89"/>
      <c r="B127" s="182"/>
      <c r="C127" s="149"/>
      <c r="D127" s="95"/>
      <c r="E127" s="149"/>
      <c r="F127" s="149"/>
      <c r="G127" s="95"/>
      <c r="H127" s="149"/>
      <c r="I127" s="95"/>
      <c r="J127" s="95"/>
      <c r="K127" s="99"/>
      <c r="L127" s="99"/>
      <c r="M127" s="100"/>
      <c r="N127" s="127"/>
      <c r="O127" s="128"/>
      <c r="P127" s="95"/>
      <c r="Q127" s="137"/>
      <c r="R127" s="129"/>
      <c r="S127" s="95"/>
      <c r="T127" s="95"/>
      <c r="V127" s="107"/>
    </row>
    <row r="128" ht="15.75" customHeight="1">
      <c r="A128" s="89"/>
      <c r="B128" s="182"/>
      <c r="C128" s="107"/>
      <c r="D128" s="95"/>
      <c r="E128" s="149"/>
      <c r="F128" s="149"/>
      <c r="G128" s="95"/>
      <c r="H128" s="149"/>
      <c r="I128" s="95"/>
      <c r="J128" s="95"/>
      <c r="K128" s="113"/>
      <c r="L128" s="113"/>
      <c r="M128" s="100"/>
      <c r="N128" s="127"/>
      <c r="O128" s="128"/>
      <c r="P128" s="95"/>
      <c r="Q128" s="95"/>
      <c r="R128" s="129"/>
      <c r="S128" s="95"/>
      <c r="T128" s="95"/>
      <c r="V128" s="107"/>
    </row>
    <row r="129" ht="15.75" customHeight="1">
      <c r="A129" s="89"/>
      <c r="B129" s="182"/>
      <c r="C129" s="107"/>
      <c r="D129" s="95"/>
      <c r="E129" s="149"/>
      <c r="F129" s="149"/>
      <c r="G129" s="95"/>
      <c r="H129" s="149"/>
      <c r="I129" s="95"/>
      <c r="J129" s="95"/>
      <c r="K129" s="99"/>
      <c r="L129" s="99"/>
      <c r="M129" s="100"/>
      <c r="N129" s="127"/>
      <c r="O129" s="128"/>
      <c r="P129" s="95"/>
      <c r="Q129" s="137"/>
      <c r="R129" s="129"/>
      <c r="S129" s="95"/>
      <c r="T129" s="95"/>
      <c r="V129" s="107"/>
    </row>
    <row r="130" ht="15.75" customHeight="1">
      <c r="A130" s="89"/>
      <c r="B130" s="182"/>
      <c r="C130" s="107"/>
      <c r="D130" s="95"/>
      <c r="E130" s="149"/>
      <c r="F130" s="149"/>
      <c r="G130" s="95"/>
      <c r="H130" s="149"/>
      <c r="I130" s="95"/>
      <c r="J130" s="95"/>
      <c r="K130" s="113"/>
      <c r="L130" s="113"/>
      <c r="M130" s="100"/>
      <c r="N130" s="127"/>
      <c r="O130" s="128"/>
      <c r="P130" s="95"/>
      <c r="Q130" s="95"/>
      <c r="R130" s="129"/>
      <c r="S130" s="95"/>
      <c r="T130" s="95"/>
      <c r="V130" s="107"/>
    </row>
    <row r="131" ht="15.75" customHeight="1">
      <c r="A131" s="89"/>
      <c r="B131" s="182"/>
      <c r="C131" s="149"/>
      <c r="D131" s="95"/>
      <c r="E131" s="149"/>
      <c r="F131" s="149"/>
      <c r="G131" s="95"/>
      <c r="H131" s="149"/>
      <c r="I131" s="95"/>
      <c r="J131" s="95"/>
      <c r="K131" s="99"/>
      <c r="L131" s="99"/>
      <c r="M131" s="100"/>
      <c r="N131" s="127"/>
      <c r="O131" s="128"/>
      <c r="P131" s="95"/>
      <c r="Q131" s="95"/>
      <c r="R131" s="129"/>
      <c r="S131" s="95"/>
      <c r="T131" s="95"/>
      <c r="V131" s="107"/>
    </row>
    <row r="132" ht="15.75" customHeight="1">
      <c r="A132" s="89"/>
      <c r="B132" s="182"/>
      <c r="C132" s="149"/>
      <c r="D132" s="95"/>
      <c r="E132" s="149"/>
      <c r="F132" s="149"/>
      <c r="G132" s="95"/>
      <c r="H132" s="149"/>
      <c r="I132" s="95"/>
      <c r="J132" s="95"/>
      <c r="K132" s="113"/>
      <c r="L132" s="113"/>
      <c r="M132" s="100"/>
      <c r="N132" s="127"/>
      <c r="O132" s="128"/>
      <c r="P132" s="95"/>
      <c r="Q132" s="137"/>
      <c r="R132" s="129"/>
      <c r="S132" s="95"/>
      <c r="T132" s="95"/>
      <c r="V132" s="107"/>
    </row>
    <row r="133" ht="15.75" customHeight="1">
      <c r="A133" s="89"/>
      <c r="B133" s="182"/>
      <c r="C133" s="149"/>
      <c r="D133" s="95"/>
      <c r="E133" s="149"/>
      <c r="F133" s="149"/>
      <c r="G133" s="95"/>
      <c r="H133" s="149"/>
      <c r="I133" s="95"/>
      <c r="J133" s="95"/>
      <c r="K133" s="99"/>
      <c r="L133" s="99"/>
      <c r="M133" s="100"/>
      <c r="N133" s="127"/>
      <c r="O133" s="128"/>
      <c r="P133" s="95"/>
      <c r="Q133" s="95"/>
      <c r="R133" s="129"/>
      <c r="S133" s="95"/>
      <c r="T133" s="95"/>
      <c r="V133" s="107"/>
    </row>
    <row r="134" ht="15.75" customHeight="1">
      <c r="A134" s="89"/>
      <c r="B134" s="182"/>
      <c r="C134" s="149"/>
      <c r="D134" s="95"/>
      <c r="E134" s="149"/>
      <c r="F134" s="149"/>
      <c r="G134" s="95"/>
      <c r="H134" s="149"/>
      <c r="I134" s="95"/>
      <c r="J134" s="95"/>
      <c r="K134" s="113"/>
      <c r="L134" s="113"/>
      <c r="M134" s="100"/>
      <c r="N134" s="127"/>
      <c r="O134" s="128"/>
      <c r="P134" s="95"/>
      <c r="Q134" s="95"/>
      <c r="R134" s="129"/>
      <c r="S134" s="95"/>
      <c r="T134" s="95"/>
      <c r="V134" s="107"/>
    </row>
    <row r="135" ht="15.75" customHeight="1">
      <c r="A135" s="89"/>
      <c r="B135" s="182"/>
      <c r="C135" s="149"/>
      <c r="D135" s="95"/>
      <c r="E135" s="149"/>
      <c r="F135" s="149"/>
      <c r="G135" s="95"/>
      <c r="H135" s="149"/>
      <c r="I135" s="95"/>
      <c r="J135" s="95"/>
      <c r="K135" s="99"/>
      <c r="L135" s="99"/>
      <c r="M135" s="100"/>
      <c r="N135" s="127"/>
      <c r="O135" s="128"/>
      <c r="P135" s="95"/>
      <c r="Q135" s="137"/>
      <c r="R135" s="129"/>
      <c r="S135" s="95"/>
      <c r="T135" s="95"/>
      <c r="V135" s="107"/>
    </row>
    <row r="136" ht="15.75" customHeight="1">
      <c r="A136" s="89"/>
      <c r="B136" s="182"/>
      <c r="C136" s="107"/>
      <c r="D136" s="95"/>
      <c r="E136" s="149"/>
      <c r="F136" s="149"/>
      <c r="G136" s="95"/>
      <c r="H136" s="149"/>
      <c r="I136" s="95"/>
      <c r="J136" s="95"/>
      <c r="K136" s="113"/>
      <c r="L136" s="113"/>
      <c r="M136" s="100"/>
      <c r="N136" s="127"/>
      <c r="O136" s="128"/>
      <c r="P136" s="95"/>
      <c r="Q136" s="95"/>
      <c r="R136" s="129"/>
      <c r="S136" s="95"/>
      <c r="T136" s="95"/>
      <c r="V136" s="107"/>
    </row>
    <row r="137" ht="15.75" customHeight="1">
      <c r="A137" s="89"/>
      <c r="B137" s="182"/>
      <c r="C137" s="107"/>
      <c r="D137" s="95"/>
      <c r="E137" s="149"/>
      <c r="F137" s="149"/>
      <c r="G137" s="95"/>
      <c r="H137" s="149"/>
      <c r="I137" s="95"/>
      <c r="J137" s="95"/>
      <c r="K137" s="99"/>
      <c r="L137" s="99"/>
      <c r="M137" s="100"/>
      <c r="N137" s="127"/>
      <c r="O137" s="128"/>
      <c r="P137" s="95"/>
      <c r="Q137" s="137"/>
      <c r="R137" s="129"/>
      <c r="S137" s="95"/>
      <c r="T137" s="95"/>
      <c r="V137" s="107"/>
    </row>
    <row r="138" ht="15.75" customHeight="1">
      <c r="A138" s="89"/>
      <c r="B138" s="182"/>
      <c r="C138" s="107"/>
      <c r="D138" s="95"/>
      <c r="E138" s="149"/>
      <c r="F138" s="149"/>
      <c r="G138" s="95"/>
      <c r="H138" s="149"/>
      <c r="I138" s="95"/>
      <c r="J138" s="95"/>
      <c r="K138" s="113"/>
      <c r="L138" s="113"/>
      <c r="M138" s="100"/>
      <c r="N138" s="127"/>
      <c r="O138" s="128"/>
      <c r="P138" s="95"/>
      <c r="Q138" s="137"/>
      <c r="R138" s="129"/>
      <c r="S138" s="95"/>
      <c r="T138" s="95"/>
      <c r="V138" s="107"/>
    </row>
    <row r="139" ht="15.75" customHeight="1">
      <c r="A139" s="89"/>
      <c r="B139" s="182"/>
      <c r="C139" s="149"/>
      <c r="D139" s="95"/>
      <c r="E139" s="149"/>
      <c r="F139" s="149"/>
      <c r="G139" s="95"/>
      <c r="H139" s="149"/>
      <c r="I139" s="95"/>
      <c r="J139" s="95"/>
      <c r="K139" s="99"/>
      <c r="L139" s="99"/>
      <c r="M139" s="100"/>
      <c r="N139" s="127"/>
      <c r="O139" s="128"/>
      <c r="P139" s="95"/>
      <c r="Q139" s="137"/>
      <c r="R139" s="129"/>
      <c r="S139" s="95"/>
      <c r="T139" s="95"/>
      <c r="V139" s="107"/>
    </row>
    <row r="140" ht="15.75" customHeight="1">
      <c r="A140" s="89"/>
      <c r="B140" s="182"/>
      <c r="C140" s="149"/>
      <c r="D140" s="95"/>
      <c r="E140" s="149"/>
      <c r="F140" s="149"/>
      <c r="G140" s="95"/>
      <c r="H140" s="149"/>
      <c r="I140" s="95"/>
      <c r="J140" s="95"/>
      <c r="K140" s="113"/>
      <c r="L140" s="113"/>
      <c r="M140" s="100"/>
      <c r="N140" s="127"/>
      <c r="O140" s="128"/>
      <c r="P140" s="95"/>
      <c r="Q140" s="95"/>
      <c r="R140" s="129"/>
      <c r="S140" s="95"/>
      <c r="T140" s="95"/>
      <c r="V140" s="107"/>
    </row>
    <row r="141" ht="15.75" customHeight="1">
      <c r="A141" s="89"/>
      <c r="B141" s="182"/>
      <c r="C141" s="149"/>
      <c r="D141" s="95"/>
      <c r="E141" s="149"/>
      <c r="F141" s="149"/>
      <c r="G141" s="95"/>
      <c r="H141" s="149"/>
      <c r="I141" s="95"/>
      <c r="J141" s="95"/>
      <c r="K141" s="99"/>
      <c r="L141" s="99"/>
      <c r="M141" s="100"/>
      <c r="N141" s="127"/>
      <c r="O141" s="128"/>
      <c r="P141" s="95"/>
      <c r="Q141" s="137"/>
      <c r="R141" s="129"/>
      <c r="S141" s="95"/>
      <c r="T141" s="95"/>
      <c r="V141" s="107"/>
    </row>
    <row r="142" ht="15.75" customHeight="1">
      <c r="A142" s="89"/>
      <c r="B142" s="182"/>
      <c r="C142" s="149"/>
      <c r="D142" s="95"/>
      <c r="E142" s="149"/>
      <c r="F142" s="149"/>
      <c r="G142" s="95"/>
      <c r="H142" s="149"/>
      <c r="I142" s="95"/>
      <c r="J142" s="95"/>
      <c r="K142" s="113"/>
      <c r="L142" s="113"/>
      <c r="M142" s="100"/>
      <c r="N142" s="127"/>
      <c r="O142" s="128"/>
      <c r="P142" s="95"/>
      <c r="Q142" s="95"/>
      <c r="R142" s="129"/>
      <c r="S142" s="95"/>
      <c r="T142" s="95"/>
      <c r="V142" s="107"/>
    </row>
    <row r="143" ht="15.75" customHeight="1">
      <c r="A143" s="89"/>
      <c r="B143" s="182"/>
      <c r="C143" s="149"/>
      <c r="D143" s="95"/>
      <c r="E143" s="149"/>
      <c r="F143" s="183"/>
      <c r="G143" s="95"/>
      <c r="H143" s="149"/>
      <c r="I143" s="95"/>
      <c r="J143" s="95"/>
      <c r="K143" s="99"/>
      <c r="L143" s="99"/>
      <c r="M143" s="100"/>
      <c r="N143" s="127"/>
      <c r="O143" s="128"/>
      <c r="P143" s="95"/>
      <c r="Q143" s="137"/>
      <c r="R143" s="129"/>
      <c r="S143" s="95"/>
      <c r="T143" s="95"/>
      <c r="V143" s="107"/>
    </row>
    <row r="144" ht="15.75" customHeight="1">
      <c r="A144" s="89"/>
      <c r="B144" s="182"/>
      <c r="C144" s="107"/>
      <c r="D144" s="95"/>
      <c r="E144" s="149"/>
      <c r="F144" s="149"/>
      <c r="G144" s="95"/>
      <c r="H144" s="149"/>
      <c r="I144" s="95"/>
      <c r="J144" s="95"/>
      <c r="K144" s="113"/>
      <c r="L144" s="113"/>
      <c r="M144" s="100"/>
      <c r="N144" s="127"/>
      <c r="O144" s="128"/>
      <c r="P144" s="95"/>
      <c r="Q144" s="95"/>
      <c r="R144" s="129"/>
      <c r="S144" s="95"/>
      <c r="T144" s="95"/>
      <c r="V144" s="107"/>
    </row>
    <row r="145" ht="15.75" customHeight="1">
      <c r="A145" s="89"/>
      <c r="B145" s="182"/>
      <c r="C145" s="107"/>
      <c r="D145" s="95"/>
      <c r="E145" s="149"/>
      <c r="F145" s="149"/>
      <c r="G145" s="95"/>
      <c r="H145" s="149"/>
      <c r="I145" s="95"/>
      <c r="J145" s="95"/>
      <c r="K145" s="99"/>
      <c r="L145" s="99"/>
      <c r="M145" s="100"/>
      <c r="N145" s="127"/>
      <c r="O145" s="128"/>
      <c r="P145" s="95"/>
      <c r="Q145" s="137"/>
      <c r="R145" s="129"/>
      <c r="S145" s="95"/>
      <c r="T145" s="95"/>
      <c r="V145" s="107"/>
    </row>
    <row r="146" ht="15.75" customHeight="1">
      <c r="A146" s="89"/>
      <c r="B146" s="182"/>
      <c r="C146" s="149"/>
      <c r="D146" s="95"/>
      <c r="E146" s="149"/>
      <c r="F146" s="149"/>
      <c r="G146" s="95"/>
      <c r="H146" s="149"/>
      <c r="I146" s="95"/>
      <c r="J146" s="95"/>
      <c r="K146" s="113"/>
      <c r="L146" s="113"/>
      <c r="M146" s="100"/>
      <c r="N146" s="127"/>
      <c r="O146" s="128"/>
      <c r="P146" s="95"/>
      <c r="Q146" s="137"/>
      <c r="R146" s="129"/>
      <c r="S146" s="95"/>
      <c r="T146" s="95"/>
      <c r="V146" s="107"/>
    </row>
    <row r="147" ht="15.75" customHeight="1">
      <c r="A147" s="89"/>
      <c r="B147" s="182"/>
      <c r="C147" s="149"/>
      <c r="D147" s="95"/>
      <c r="E147" s="149"/>
      <c r="F147" s="149"/>
      <c r="G147" s="95"/>
      <c r="H147" s="149"/>
      <c r="I147" s="95"/>
      <c r="J147" s="95"/>
      <c r="K147" s="99"/>
      <c r="L147" s="99"/>
      <c r="M147" s="100"/>
      <c r="N147" s="127"/>
      <c r="O147" s="128"/>
      <c r="P147" s="95"/>
      <c r="Q147" s="137"/>
      <c r="R147" s="129"/>
      <c r="S147" s="95"/>
      <c r="T147" s="95"/>
      <c r="V147" s="107"/>
    </row>
    <row r="148" ht="15.75" customHeight="1">
      <c r="A148" s="89"/>
      <c r="B148" s="182"/>
      <c r="C148" s="149"/>
      <c r="D148" s="95"/>
      <c r="E148" s="149"/>
      <c r="F148" s="149"/>
      <c r="G148" s="95"/>
      <c r="H148" s="149"/>
      <c r="I148" s="95"/>
      <c r="J148" s="95"/>
      <c r="K148" s="113"/>
      <c r="L148" s="113"/>
      <c r="M148" s="100"/>
      <c r="N148" s="127"/>
      <c r="O148" s="128"/>
      <c r="P148" s="95"/>
      <c r="Q148" s="137"/>
      <c r="R148" s="129"/>
      <c r="S148" s="95"/>
      <c r="T148" s="95"/>
      <c r="V148" s="107"/>
    </row>
    <row r="149" ht="15.75" customHeight="1">
      <c r="A149" s="89"/>
      <c r="B149" s="182"/>
      <c r="C149" s="149"/>
      <c r="D149" s="95"/>
      <c r="E149" s="149"/>
      <c r="F149" s="149"/>
      <c r="G149" s="95"/>
      <c r="H149" s="149"/>
      <c r="I149" s="95"/>
      <c r="J149" s="95"/>
      <c r="K149" s="99"/>
      <c r="L149" s="99"/>
      <c r="M149" s="100"/>
      <c r="N149" s="127"/>
      <c r="O149" s="128"/>
      <c r="P149" s="95"/>
      <c r="Q149" s="137"/>
      <c r="R149" s="129"/>
      <c r="S149" s="95"/>
      <c r="T149" s="95"/>
      <c r="V149" s="107"/>
    </row>
    <row r="150" ht="15.75" customHeight="1">
      <c r="A150" s="89"/>
      <c r="B150" s="182"/>
      <c r="C150" s="149"/>
      <c r="D150" s="95"/>
      <c r="E150" s="149"/>
      <c r="F150" s="149"/>
      <c r="G150" s="95"/>
      <c r="H150" s="149"/>
      <c r="I150" s="95"/>
      <c r="J150" s="95"/>
      <c r="K150" s="113"/>
      <c r="L150" s="113"/>
      <c r="M150" s="100"/>
      <c r="N150" s="127"/>
      <c r="O150" s="128"/>
      <c r="P150" s="95"/>
      <c r="Q150" s="137"/>
      <c r="R150" s="129"/>
      <c r="S150" s="95"/>
      <c r="T150" s="95"/>
      <c r="V150" s="107"/>
    </row>
    <row r="151" ht="15.75" customHeight="1">
      <c r="A151" s="89"/>
      <c r="B151" s="182"/>
      <c r="C151" s="107"/>
      <c r="D151" s="95"/>
      <c r="E151" s="149"/>
      <c r="F151" s="149"/>
      <c r="G151" s="95"/>
      <c r="H151" s="149"/>
      <c r="I151" s="95"/>
      <c r="J151" s="95"/>
      <c r="K151" s="99"/>
      <c r="L151" s="99"/>
      <c r="M151" s="100"/>
      <c r="N151" s="127"/>
      <c r="O151" s="128"/>
      <c r="P151" s="95"/>
      <c r="Q151" s="137"/>
      <c r="R151" s="129"/>
      <c r="S151" s="95"/>
      <c r="T151" s="95"/>
      <c r="V151" s="107"/>
    </row>
    <row r="152" ht="15.75" customHeight="1">
      <c r="A152" s="89"/>
      <c r="B152" s="182"/>
      <c r="C152" s="149"/>
      <c r="D152" s="95"/>
      <c r="E152" s="149"/>
      <c r="F152" s="149"/>
      <c r="G152" s="95"/>
      <c r="H152" s="149"/>
      <c r="I152" s="95"/>
      <c r="J152" s="95"/>
      <c r="K152" s="113"/>
      <c r="L152" s="113"/>
      <c r="M152" s="100"/>
      <c r="N152" s="127"/>
      <c r="O152" s="128"/>
      <c r="P152" s="95"/>
      <c r="Q152" s="137"/>
      <c r="R152" s="129"/>
      <c r="S152" s="95"/>
      <c r="T152" s="95"/>
      <c r="V152" s="107"/>
    </row>
    <row r="153" ht="15.75" customHeight="1">
      <c r="A153" s="89"/>
      <c r="B153" s="182"/>
      <c r="C153" s="149"/>
      <c r="D153" s="95"/>
      <c r="E153" s="149"/>
      <c r="F153" s="149"/>
      <c r="G153" s="95"/>
      <c r="H153" s="149"/>
      <c r="I153" s="95"/>
      <c r="J153" s="95"/>
      <c r="K153" s="99"/>
      <c r="L153" s="99"/>
      <c r="M153" s="100"/>
      <c r="N153" s="127"/>
      <c r="O153" s="128"/>
      <c r="P153" s="95"/>
      <c r="Q153" s="137"/>
      <c r="R153" s="129"/>
      <c r="S153" s="95"/>
      <c r="T153" s="95"/>
      <c r="V153" s="107"/>
    </row>
    <row r="154" ht="15.75" customHeight="1">
      <c r="A154" s="89"/>
      <c r="B154" s="182"/>
      <c r="C154" s="149"/>
      <c r="D154" s="95"/>
      <c r="E154" s="149"/>
      <c r="F154" s="149"/>
      <c r="G154" s="95"/>
      <c r="H154" s="149"/>
      <c r="I154" s="95"/>
      <c r="J154" s="95"/>
      <c r="K154" s="113"/>
      <c r="L154" s="113"/>
      <c r="M154" s="100"/>
      <c r="N154" s="127"/>
      <c r="O154" s="128"/>
      <c r="P154" s="95"/>
      <c r="Q154" s="137"/>
      <c r="R154" s="129"/>
      <c r="S154" s="95"/>
      <c r="T154" s="95"/>
      <c r="V154" s="107"/>
    </row>
    <row r="155" ht="15.75" customHeight="1">
      <c r="A155" s="89"/>
      <c r="B155" s="182"/>
      <c r="C155" s="149"/>
      <c r="D155" s="95"/>
      <c r="E155" s="149"/>
      <c r="F155" s="149"/>
      <c r="G155" s="95"/>
      <c r="H155" s="149"/>
      <c r="I155" s="95"/>
      <c r="J155" s="95"/>
      <c r="K155" s="99"/>
      <c r="L155" s="99"/>
      <c r="M155" s="100"/>
      <c r="N155" s="127"/>
      <c r="O155" s="128"/>
      <c r="P155" s="95"/>
      <c r="Q155" s="137"/>
      <c r="R155" s="129"/>
      <c r="S155" s="95"/>
      <c r="T155" s="95"/>
      <c r="V155" s="107"/>
    </row>
    <row r="156" ht="15.75" customHeight="1">
      <c r="A156" s="89"/>
      <c r="B156" s="182"/>
      <c r="C156" s="149"/>
      <c r="D156" s="95"/>
      <c r="E156" s="149"/>
      <c r="F156" s="149"/>
      <c r="G156" s="95"/>
      <c r="H156" s="149"/>
      <c r="I156" s="95"/>
      <c r="J156" s="95"/>
      <c r="K156" s="113"/>
      <c r="L156" s="113"/>
      <c r="M156" s="100"/>
      <c r="N156" s="127"/>
      <c r="O156" s="128"/>
      <c r="P156" s="95"/>
      <c r="Q156" s="137"/>
      <c r="R156" s="129"/>
      <c r="S156" s="95"/>
      <c r="T156" s="95"/>
      <c r="V156" s="107"/>
    </row>
    <row r="157" ht="15.75" customHeight="1">
      <c r="A157" s="89"/>
      <c r="B157" s="182"/>
      <c r="C157" s="107"/>
      <c r="D157" s="95"/>
      <c r="E157" s="149"/>
      <c r="F157" s="149"/>
      <c r="G157" s="95"/>
      <c r="H157" s="149"/>
      <c r="I157" s="95"/>
      <c r="J157" s="95"/>
      <c r="K157" s="99"/>
      <c r="L157" s="99"/>
      <c r="M157" s="100"/>
      <c r="N157" s="127"/>
      <c r="O157" s="128"/>
      <c r="P157" s="95"/>
      <c r="Q157" s="137"/>
      <c r="R157" s="129"/>
      <c r="S157" s="95"/>
      <c r="T157" s="95"/>
      <c r="V157" s="107"/>
    </row>
    <row r="158" ht="15.75" customHeight="1">
      <c r="A158" s="89"/>
      <c r="B158" s="182"/>
      <c r="C158" s="149"/>
      <c r="D158" s="95"/>
      <c r="E158" s="149"/>
      <c r="F158" s="149"/>
      <c r="G158" s="95"/>
      <c r="H158" s="149"/>
      <c r="I158" s="95"/>
      <c r="J158" s="95"/>
      <c r="K158" s="113"/>
      <c r="L158" s="113"/>
      <c r="M158" s="100"/>
      <c r="N158" s="127"/>
      <c r="O158" s="128"/>
      <c r="P158" s="95"/>
      <c r="Q158" s="137"/>
      <c r="R158" s="129"/>
      <c r="S158" s="95"/>
      <c r="T158" s="95"/>
      <c r="V158" s="107"/>
    </row>
    <row r="159" ht="15.75" customHeight="1">
      <c r="A159" s="89"/>
      <c r="B159" s="182"/>
      <c r="C159" s="149"/>
      <c r="D159" s="95"/>
      <c r="E159" s="149"/>
      <c r="F159" s="149"/>
      <c r="G159" s="95"/>
      <c r="H159" s="149"/>
      <c r="I159" s="95"/>
      <c r="J159" s="95"/>
      <c r="K159" s="99"/>
      <c r="L159" s="99"/>
      <c r="M159" s="100"/>
      <c r="N159" s="127"/>
      <c r="O159" s="128"/>
      <c r="P159" s="95"/>
      <c r="Q159" s="137"/>
      <c r="R159" s="129"/>
      <c r="S159" s="95"/>
      <c r="T159" s="95"/>
      <c r="V159" s="107"/>
    </row>
    <row r="160" ht="15.75" customHeight="1">
      <c r="A160" s="89"/>
      <c r="B160" s="182"/>
      <c r="C160" s="149"/>
      <c r="D160" s="95"/>
      <c r="E160" s="149"/>
      <c r="F160" s="149"/>
      <c r="G160" s="95"/>
      <c r="H160" s="149"/>
      <c r="I160" s="95"/>
      <c r="J160" s="95"/>
      <c r="K160" s="113"/>
      <c r="L160" s="113"/>
      <c r="M160" s="100"/>
      <c r="N160" s="127"/>
      <c r="O160" s="128"/>
      <c r="P160" s="95"/>
      <c r="Q160" s="137"/>
      <c r="R160" s="129"/>
      <c r="S160" s="95"/>
      <c r="T160" s="95"/>
      <c r="V160" s="107"/>
    </row>
    <row r="161" ht="15.75" customHeight="1">
      <c r="A161" s="89"/>
      <c r="B161" s="182"/>
      <c r="C161" s="149"/>
      <c r="D161" s="95"/>
      <c r="E161" s="149"/>
      <c r="F161" s="149"/>
      <c r="G161" s="95"/>
      <c r="H161" s="149"/>
      <c r="I161" s="95"/>
      <c r="J161" s="95"/>
      <c r="K161" s="99"/>
      <c r="L161" s="99"/>
      <c r="M161" s="100"/>
      <c r="N161" s="127"/>
      <c r="O161" s="128"/>
      <c r="P161" s="95"/>
      <c r="Q161" s="137"/>
      <c r="R161" s="129"/>
      <c r="S161" s="95"/>
      <c r="T161" s="95"/>
      <c r="V161" s="107"/>
    </row>
    <row r="162" ht="15.75" customHeight="1">
      <c r="A162" s="89"/>
      <c r="B162" s="182"/>
      <c r="C162" s="149"/>
      <c r="D162" s="95"/>
      <c r="E162" s="149"/>
      <c r="F162" s="149"/>
      <c r="G162" s="95"/>
      <c r="H162" s="149"/>
      <c r="I162" s="95"/>
      <c r="J162" s="95"/>
      <c r="K162" s="113"/>
      <c r="L162" s="113"/>
      <c r="M162" s="100"/>
      <c r="N162" s="127"/>
      <c r="O162" s="128"/>
      <c r="P162" s="95"/>
      <c r="Q162" s="137"/>
      <c r="R162" s="129"/>
      <c r="S162" s="95"/>
      <c r="T162" s="95"/>
      <c r="V162" s="107"/>
    </row>
    <row r="163" ht="15.75" customHeight="1">
      <c r="A163" s="89"/>
      <c r="B163" s="182"/>
      <c r="C163" s="107"/>
      <c r="D163" s="95"/>
      <c r="E163" s="149"/>
      <c r="F163" s="149"/>
      <c r="G163" s="95"/>
      <c r="H163" s="149"/>
      <c r="I163" s="95"/>
      <c r="J163" s="95"/>
      <c r="K163" s="99"/>
      <c r="L163" s="99"/>
      <c r="M163" s="100"/>
      <c r="N163" s="127"/>
      <c r="O163" s="128"/>
      <c r="P163" s="95"/>
      <c r="Q163" s="137"/>
      <c r="R163" s="129"/>
      <c r="S163" s="95"/>
      <c r="T163" s="95"/>
      <c r="V163" s="107"/>
    </row>
    <row r="164" ht="15.75" customHeight="1">
      <c r="A164" s="89"/>
      <c r="B164" s="182"/>
      <c r="C164" s="149"/>
      <c r="D164" s="95"/>
      <c r="E164" s="149"/>
      <c r="F164" s="149"/>
      <c r="G164" s="95"/>
      <c r="H164" s="149"/>
      <c r="I164" s="95"/>
      <c r="J164" s="95"/>
      <c r="K164" s="113"/>
      <c r="L164" s="113"/>
      <c r="M164" s="100"/>
      <c r="N164" s="127"/>
      <c r="O164" s="128"/>
      <c r="P164" s="95"/>
      <c r="Q164" s="137"/>
      <c r="R164" s="129"/>
      <c r="S164" s="95"/>
      <c r="T164" s="95"/>
      <c r="V164" s="107"/>
    </row>
    <row r="165" ht="15.75" customHeight="1">
      <c r="A165" s="89"/>
      <c r="B165" s="182"/>
      <c r="C165" s="149"/>
      <c r="D165" s="95"/>
      <c r="E165" s="149"/>
      <c r="F165" s="149"/>
      <c r="G165" s="95"/>
      <c r="H165" s="149"/>
      <c r="I165" s="95"/>
      <c r="J165" s="95"/>
      <c r="K165" s="99"/>
      <c r="L165" s="99"/>
      <c r="M165" s="100"/>
      <c r="N165" s="127"/>
      <c r="O165" s="128"/>
      <c r="P165" s="95"/>
      <c r="Q165" s="137"/>
      <c r="R165" s="129"/>
      <c r="S165" s="95"/>
      <c r="T165" s="95"/>
      <c r="V165" s="107"/>
    </row>
    <row r="166" ht="15.75" customHeight="1">
      <c r="A166" s="89"/>
      <c r="B166" s="182"/>
      <c r="C166" s="149"/>
      <c r="D166" s="95"/>
      <c r="E166" s="149"/>
      <c r="F166" s="149"/>
      <c r="G166" s="95"/>
      <c r="H166" s="149"/>
      <c r="I166" s="95"/>
      <c r="J166" s="95"/>
      <c r="K166" s="113"/>
      <c r="L166" s="113"/>
      <c r="M166" s="100"/>
      <c r="N166" s="127"/>
      <c r="O166" s="128"/>
      <c r="P166" s="95"/>
      <c r="Q166" s="137"/>
      <c r="R166" s="129"/>
      <c r="S166" s="95"/>
      <c r="T166" s="95"/>
      <c r="V166" s="107"/>
    </row>
    <row r="167" ht="15.75" customHeight="1">
      <c r="A167" s="89"/>
      <c r="B167" s="182"/>
      <c r="C167" s="149"/>
      <c r="D167" s="95"/>
      <c r="E167" s="149"/>
      <c r="F167" s="149"/>
      <c r="G167" s="95"/>
      <c r="H167" s="149"/>
      <c r="I167" s="95"/>
      <c r="J167" s="95"/>
      <c r="K167" s="99"/>
      <c r="L167" s="99"/>
      <c r="M167" s="100"/>
      <c r="N167" s="127"/>
      <c r="O167" s="128"/>
      <c r="P167" s="95"/>
      <c r="Q167" s="137"/>
      <c r="R167" s="129"/>
      <c r="S167" s="95"/>
      <c r="T167" s="95"/>
      <c r="V167" s="107"/>
    </row>
    <row r="168" ht="15.75" customHeight="1">
      <c r="A168" s="89"/>
      <c r="B168" s="182"/>
      <c r="C168" s="149"/>
      <c r="D168" s="95"/>
      <c r="E168" s="149"/>
      <c r="F168" s="149"/>
      <c r="G168" s="95"/>
      <c r="H168" s="149"/>
      <c r="I168" s="95"/>
      <c r="J168" s="95"/>
      <c r="K168" s="113"/>
      <c r="L168" s="113"/>
      <c r="M168" s="100"/>
      <c r="N168" s="127"/>
      <c r="O168" s="128"/>
      <c r="P168" s="95"/>
      <c r="Q168" s="137"/>
      <c r="R168" s="129"/>
      <c r="S168" s="95"/>
      <c r="T168" s="95"/>
      <c r="V168" s="107"/>
    </row>
    <row r="169" ht="15.75" customHeight="1">
      <c r="A169" s="89"/>
      <c r="B169" s="182"/>
      <c r="C169" s="107"/>
      <c r="D169" s="95"/>
      <c r="E169" s="149"/>
      <c r="F169" s="149"/>
      <c r="G169" s="95"/>
      <c r="H169" s="149"/>
      <c r="I169" s="95"/>
      <c r="J169" s="95"/>
      <c r="K169" s="99"/>
      <c r="L169" s="99"/>
      <c r="M169" s="100"/>
      <c r="N169" s="127"/>
      <c r="O169" s="128"/>
      <c r="P169" s="95"/>
      <c r="Q169" s="137"/>
      <c r="R169" s="129"/>
      <c r="S169" s="95"/>
      <c r="T169" s="95"/>
      <c r="V169" s="107"/>
    </row>
    <row r="170" ht="15.75" customHeight="1">
      <c r="A170" s="89"/>
      <c r="B170" s="182"/>
      <c r="C170" s="149"/>
      <c r="D170" s="95"/>
      <c r="E170" s="149"/>
      <c r="F170" s="149"/>
      <c r="G170" s="95"/>
      <c r="H170" s="149"/>
      <c r="I170" s="95"/>
      <c r="J170" s="95"/>
      <c r="K170" s="113"/>
      <c r="L170" s="113"/>
      <c r="M170" s="100"/>
      <c r="N170" s="127"/>
      <c r="O170" s="128"/>
      <c r="P170" s="95"/>
      <c r="Q170" s="137"/>
      <c r="R170" s="129"/>
      <c r="S170" s="95"/>
      <c r="T170" s="95"/>
      <c r="V170" s="107"/>
    </row>
    <row r="171" ht="15.75" customHeight="1">
      <c r="A171" s="89"/>
      <c r="B171" s="182"/>
      <c r="C171" s="149"/>
      <c r="D171" s="95"/>
      <c r="E171" s="149"/>
      <c r="F171" s="149"/>
      <c r="G171" s="95"/>
      <c r="H171" s="149"/>
      <c r="I171" s="95"/>
      <c r="J171" s="95"/>
      <c r="K171" s="99"/>
      <c r="L171" s="99"/>
      <c r="M171" s="100"/>
      <c r="N171" s="127"/>
      <c r="O171" s="128"/>
      <c r="P171" s="95"/>
      <c r="Q171" s="137"/>
      <c r="R171" s="129"/>
      <c r="S171" s="95"/>
      <c r="T171" s="95"/>
      <c r="V171" s="107"/>
    </row>
    <row r="172" ht="15.75" customHeight="1">
      <c r="A172" s="89"/>
      <c r="B172" s="182"/>
      <c r="C172" s="149"/>
      <c r="D172" s="95"/>
      <c r="E172" s="149"/>
      <c r="F172" s="149"/>
      <c r="G172" s="95"/>
      <c r="H172" s="149"/>
      <c r="I172" s="95"/>
      <c r="J172" s="95"/>
      <c r="K172" s="113"/>
      <c r="L172" s="113"/>
      <c r="M172" s="100"/>
      <c r="N172" s="127"/>
      <c r="O172" s="128"/>
      <c r="P172" s="95"/>
      <c r="Q172" s="137"/>
      <c r="R172" s="129"/>
      <c r="S172" s="95"/>
      <c r="T172" s="95"/>
      <c r="V172" s="107"/>
    </row>
    <row r="173" ht="15.75" customHeight="1">
      <c r="A173" s="89"/>
      <c r="B173" s="182"/>
      <c r="C173" s="149"/>
      <c r="D173" s="95"/>
      <c r="E173" s="149"/>
      <c r="F173" s="149"/>
      <c r="G173" s="95"/>
      <c r="H173" s="149"/>
      <c r="I173" s="95"/>
      <c r="J173" s="95"/>
      <c r="K173" s="99"/>
      <c r="L173" s="99"/>
      <c r="M173" s="100"/>
      <c r="N173" s="127"/>
      <c r="O173" s="128"/>
      <c r="P173" s="95"/>
      <c r="Q173" s="137"/>
      <c r="R173" s="129"/>
      <c r="S173" s="95"/>
      <c r="T173" s="95"/>
      <c r="V173" s="107"/>
    </row>
    <row r="174" ht="15.75" customHeight="1">
      <c r="A174" s="89"/>
      <c r="B174" s="182"/>
      <c r="C174" s="149"/>
      <c r="D174" s="95"/>
      <c r="E174" s="149"/>
      <c r="F174" s="149"/>
      <c r="G174" s="95"/>
      <c r="H174" s="149"/>
      <c r="I174" s="95"/>
      <c r="J174" s="95"/>
      <c r="K174" s="113"/>
      <c r="L174" s="113"/>
      <c r="M174" s="100"/>
      <c r="N174" s="127"/>
      <c r="O174" s="128"/>
      <c r="P174" s="95"/>
      <c r="Q174" s="137"/>
      <c r="R174" s="129"/>
      <c r="S174" s="95"/>
      <c r="T174" s="95"/>
      <c r="V174" s="107"/>
    </row>
    <row r="175" ht="15.75" customHeight="1">
      <c r="A175" s="89"/>
      <c r="B175" s="182"/>
      <c r="C175" s="107"/>
      <c r="D175" s="95"/>
      <c r="E175" s="149"/>
      <c r="F175" s="149"/>
      <c r="G175" s="95"/>
      <c r="H175" s="149"/>
      <c r="I175" s="95"/>
      <c r="J175" s="95"/>
      <c r="K175" s="99"/>
      <c r="L175" s="99"/>
      <c r="M175" s="100"/>
      <c r="N175" s="127"/>
      <c r="O175" s="128"/>
      <c r="P175" s="95"/>
      <c r="Q175" s="137"/>
      <c r="R175" s="129"/>
      <c r="S175" s="95"/>
      <c r="T175" s="95"/>
      <c r="V175" s="107"/>
    </row>
    <row r="176" ht="15.75" customHeight="1">
      <c r="A176" s="89"/>
      <c r="B176" s="182"/>
      <c r="C176" s="149"/>
      <c r="D176" s="95"/>
      <c r="E176" s="149"/>
      <c r="F176" s="149"/>
      <c r="G176" s="95"/>
      <c r="H176" s="149"/>
      <c r="I176" s="95"/>
      <c r="J176" s="95"/>
      <c r="K176" s="113"/>
      <c r="L176" s="113"/>
      <c r="M176" s="100"/>
      <c r="N176" s="127"/>
      <c r="O176" s="128"/>
      <c r="P176" s="95"/>
      <c r="Q176" s="137"/>
      <c r="R176" s="129"/>
      <c r="S176" s="95"/>
      <c r="T176" s="95"/>
      <c r="V176" s="107"/>
    </row>
    <row r="177" ht="15.75" customHeight="1">
      <c r="A177" s="89"/>
      <c r="B177" s="182"/>
      <c r="C177" s="149"/>
      <c r="D177" s="95"/>
      <c r="E177" s="149"/>
      <c r="F177" s="149"/>
      <c r="G177" s="95"/>
      <c r="H177" s="149"/>
      <c r="I177" s="95"/>
      <c r="J177" s="95"/>
      <c r="K177" s="99"/>
      <c r="L177" s="99"/>
      <c r="M177" s="100"/>
      <c r="N177" s="127"/>
      <c r="O177" s="128"/>
      <c r="P177" s="95"/>
      <c r="Q177" s="137"/>
      <c r="R177" s="129"/>
      <c r="S177" s="95"/>
      <c r="T177" s="95"/>
      <c r="V177" s="107"/>
    </row>
    <row r="178" ht="15.75" customHeight="1">
      <c r="A178" s="89"/>
      <c r="B178" s="182"/>
      <c r="C178" s="149"/>
      <c r="D178" s="95"/>
      <c r="E178" s="149"/>
      <c r="F178" s="149"/>
      <c r="G178" s="95"/>
      <c r="H178" s="149"/>
      <c r="I178" s="95"/>
      <c r="J178" s="95"/>
      <c r="K178" s="113"/>
      <c r="L178" s="113"/>
      <c r="M178" s="100"/>
      <c r="N178" s="127"/>
      <c r="O178" s="128"/>
      <c r="P178" s="95"/>
      <c r="Q178" s="137"/>
      <c r="R178" s="129"/>
      <c r="S178" s="95"/>
      <c r="T178" s="95"/>
      <c r="V178" s="107"/>
    </row>
    <row r="179" ht="15.75" customHeight="1">
      <c r="A179" s="89"/>
      <c r="B179" s="182"/>
      <c r="C179" s="149"/>
      <c r="D179" s="95"/>
      <c r="E179" s="149"/>
      <c r="F179" s="149"/>
      <c r="G179" s="95"/>
      <c r="H179" s="149"/>
      <c r="I179" s="95"/>
      <c r="J179" s="95"/>
      <c r="K179" s="99"/>
      <c r="L179" s="99"/>
      <c r="M179" s="100"/>
      <c r="N179" s="127"/>
      <c r="O179" s="128"/>
      <c r="P179" s="95"/>
      <c r="Q179" s="137"/>
      <c r="R179" s="129"/>
      <c r="S179" s="95"/>
      <c r="T179" s="95"/>
      <c r="V179" s="107"/>
    </row>
    <row r="180" ht="15.75" customHeight="1">
      <c r="A180" s="89"/>
      <c r="B180" s="182"/>
      <c r="C180" s="149"/>
      <c r="D180" s="95"/>
      <c r="E180" s="149"/>
      <c r="F180" s="149"/>
      <c r="G180" s="95"/>
      <c r="H180" s="149"/>
      <c r="I180" s="95"/>
      <c r="J180" s="95"/>
      <c r="K180" s="113"/>
      <c r="L180" s="113"/>
      <c r="M180" s="100"/>
      <c r="N180" s="127"/>
      <c r="O180" s="128"/>
      <c r="P180" s="95"/>
      <c r="Q180" s="137"/>
      <c r="R180" s="129"/>
      <c r="S180" s="95"/>
      <c r="T180" s="95"/>
      <c r="V180" s="107"/>
    </row>
    <row r="181" ht="15.75" customHeight="1">
      <c r="A181" s="89"/>
      <c r="B181" s="182"/>
      <c r="C181" s="107"/>
      <c r="D181" s="95"/>
      <c r="E181" s="149"/>
      <c r="F181" s="149"/>
      <c r="G181" s="95"/>
      <c r="H181" s="149"/>
      <c r="I181" s="95"/>
      <c r="J181" s="95"/>
      <c r="K181" s="99"/>
      <c r="L181" s="99"/>
      <c r="M181" s="100"/>
      <c r="N181" s="127"/>
      <c r="O181" s="128"/>
      <c r="P181" s="95"/>
      <c r="Q181" s="137"/>
      <c r="R181" s="129"/>
      <c r="S181" s="95"/>
      <c r="T181" s="95"/>
      <c r="V181" s="107"/>
    </row>
    <row r="182" ht="15.75" customHeight="1">
      <c r="A182" s="89"/>
      <c r="B182" s="182"/>
      <c r="C182" s="149"/>
      <c r="D182" s="95"/>
      <c r="E182" s="149"/>
      <c r="F182" s="149"/>
      <c r="G182" s="95"/>
      <c r="H182" s="149"/>
      <c r="I182" s="95"/>
      <c r="J182" s="95"/>
      <c r="K182" s="113"/>
      <c r="L182" s="113"/>
      <c r="M182" s="100"/>
      <c r="N182" s="127"/>
      <c r="O182" s="128"/>
      <c r="P182" s="95"/>
      <c r="Q182" s="137"/>
      <c r="R182" s="129"/>
      <c r="S182" s="95"/>
      <c r="T182" s="95"/>
      <c r="V182" s="107"/>
    </row>
    <row r="183" ht="15.75" customHeight="1">
      <c r="A183" s="89"/>
      <c r="B183" s="182"/>
      <c r="C183" s="149"/>
      <c r="D183" s="95"/>
      <c r="E183" s="149"/>
      <c r="F183" s="149"/>
      <c r="G183" s="95"/>
      <c r="H183" s="149"/>
      <c r="I183" s="95"/>
      <c r="J183" s="95"/>
      <c r="K183" s="99"/>
      <c r="L183" s="99"/>
      <c r="M183" s="100"/>
      <c r="N183" s="127"/>
      <c r="O183" s="128"/>
      <c r="P183" s="95"/>
      <c r="Q183" s="137"/>
      <c r="R183" s="129"/>
      <c r="S183" s="95"/>
      <c r="T183" s="95"/>
      <c r="V183" s="107"/>
    </row>
    <row r="184" ht="15.75" customHeight="1">
      <c r="A184" s="89"/>
      <c r="B184" s="182"/>
      <c r="C184" s="149"/>
      <c r="D184" s="95"/>
      <c r="E184" s="149"/>
      <c r="F184" s="149"/>
      <c r="G184" s="95"/>
      <c r="H184" s="149"/>
      <c r="I184" s="95"/>
      <c r="J184" s="95"/>
      <c r="K184" s="113"/>
      <c r="L184" s="113"/>
      <c r="M184" s="100"/>
      <c r="N184" s="127"/>
      <c r="O184" s="128"/>
      <c r="P184" s="95"/>
      <c r="Q184" s="137"/>
      <c r="R184" s="129"/>
      <c r="S184" s="95"/>
      <c r="T184" s="95"/>
      <c r="V184" s="107"/>
    </row>
    <row r="185" ht="15.75" customHeight="1">
      <c r="A185" s="89"/>
      <c r="B185" s="182"/>
      <c r="C185" s="149"/>
      <c r="D185" s="95"/>
      <c r="E185" s="149"/>
      <c r="F185" s="149"/>
      <c r="G185" s="95"/>
      <c r="H185" s="149"/>
      <c r="I185" s="95"/>
      <c r="J185" s="95"/>
      <c r="K185" s="99"/>
      <c r="L185" s="99"/>
      <c r="M185" s="100"/>
      <c r="N185" s="127"/>
      <c r="O185" s="128"/>
      <c r="P185" s="95"/>
      <c r="Q185" s="137"/>
      <c r="R185" s="129"/>
      <c r="S185" s="95"/>
      <c r="T185" s="95"/>
      <c r="V185" s="107"/>
    </row>
    <row r="186" ht="15.75" customHeight="1">
      <c r="A186" s="89"/>
      <c r="B186" s="182"/>
      <c r="C186" s="149"/>
      <c r="D186" s="95"/>
      <c r="E186" s="149"/>
      <c r="F186" s="149"/>
      <c r="G186" s="95"/>
      <c r="H186" s="149"/>
      <c r="I186" s="95"/>
      <c r="J186" s="95"/>
      <c r="K186" s="113"/>
      <c r="L186" s="113"/>
      <c r="M186" s="100"/>
      <c r="N186" s="127"/>
      <c r="O186" s="128"/>
      <c r="P186" s="95"/>
      <c r="Q186" s="137"/>
      <c r="R186" s="129"/>
      <c r="S186" s="95"/>
      <c r="T186" s="95"/>
      <c r="V186" s="107"/>
    </row>
    <row r="187" ht="15.75" customHeight="1">
      <c r="A187" s="89"/>
      <c r="B187" s="182"/>
      <c r="C187" s="107"/>
      <c r="D187" s="95"/>
      <c r="E187" s="149"/>
      <c r="F187" s="149"/>
      <c r="G187" s="95"/>
      <c r="H187" s="149"/>
      <c r="I187" s="95"/>
      <c r="J187" s="95"/>
      <c r="K187" s="99"/>
      <c r="L187" s="99"/>
      <c r="M187" s="100"/>
      <c r="N187" s="127"/>
      <c r="O187" s="128"/>
      <c r="P187" s="95"/>
      <c r="Q187" s="137"/>
      <c r="R187" s="129"/>
      <c r="S187" s="95"/>
      <c r="T187" s="95"/>
      <c r="V187" s="107"/>
    </row>
    <row r="188" ht="15.75" customHeight="1">
      <c r="A188" s="89"/>
      <c r="B188" s="182"/>
      <c r="C188" s="149"/>
      <c r="D188" s="95"/>
      <c r="E188" s="149"/>
      <c r="F188" s="149"/>
      <c r="G188" s="95"/>
      <c r="H188" s="149"/>
      <c r="I188" s="95"/>
      <c r="J188" s="95"/>
      <c r="K188" s="113"/>
      <c r="L188" s="113"/>
      <c r="M188" s="100"/>
      <c r="N188" s="127"/>
      <c r="O188" s="128"/>
      <c r="P188" s="95"/>
      <c r="Q188" s="137"/>
      <c r="R188" s="129"/>
      <c r="S188" s="95"/>
      <c r="T188" s="95"/>
      <c r="V188" s="107"/>
    </row>
    <row r="189" ht="15.75" customHeight="1">
      <c r="A189" s="89"/>
      <c r="B189" s="182"/>
      <c r="C189" s="149"/>
      <c r="D189" s="95"/>
      <c r="E189" s="149"/>
      <c r="F189" s="149"/>
      <c r="G189" s="95"/>
      <c r="H189" s="149"/>
      <c r="I189" s="95"/>
      <c r="J189" s="95"/>
      <c r="K189" s="99"/>
      <c r="L189" s="99"/>
      <c r="M189" s="100"/>
      <c r="N189" s="127"/>
      <c r="O189" s="128"/>
      <c r="P189" s="95"/>
      <c r="Q189" s="137"/>
      <c r="R189" s="129"/>
      <c r="S189" s="95"/>
      <c r="T189" s="95"/>
      <c r="V189" s="107"/>
    </row>
    <row r="190" ht="15.75" customHeight="1">
      <c r="A190" s="89"/>
      <c r="B190" s="182"/>
      <c r="C190" s="149"/>
      <c r="D190" s="95"/>
      <c r="E190" s="149"/>
      <c r="F190" s="149"/>
      <c r="G190" s="95"/>
      <c r="H190" s="149"/>
      <c r="I190" s="95"/>
      <c r="J190" s="95"/>
      <c r="K190" s="113"/>
      <c r="L190" s="113"/>
      <c r="M190" s="100"/>
      <c r="N190" s="127"/>
      <c r="O190" s="128"/>
      <c r="P190" s="95"/>
      <c r="Q190" s="137"/>
      <c r="R190" s="129"/>
      <c r="S190" s="95"/>
      <c r="T190" s="95"/>
      <c r="V190" s="107"/>
    </row>
    <row r="191" ht="15.75" customHeight="1">
      <c r="A191" s="89"/>
      <c r="B191" s="182"/>
      <c r="C191" s="149"/>
      <c r="D191" s="95"/>
      <c r="E191" s="149"/>
      <c r="F191" s="149"/>
      <c r="G191" s="95"/>
      <c r="H191" s="149"/>
      <c r="I191" s="95"/>
      <c r="J191" s="95"/>
      <c r="K191" s="99"/>
      <c r="L191" s="99"/>
      <c r="M191" s="100"/>
      <c r="N191" s="127"/>
      <c r="O191" s="128"/>
      <c r="P191" s="95"/>
      <c r="Q191" s="137"/>
      <c r="R191" s="129"/>
      <c r="S191" s="95"/>
      <c r="T191" s="95"/>
      <c r="V191" s="107"/>
    </row>
    <row r="192" ht="15.75" customHeight="1">
      <c r="A192" s="89"/>
      <c r="B192" s="182"/>
      <c r="C192" s="149"/>
      <c r="D192" s="95"/>
      <c r="E192" s="149"/>
      <c r="F192" s="149"/>
      <c r="G192" s="95"/>
      <c r="H192" s="149"/>
      <c r="I192" s="95"/>
      <c r="J192" s="95"/>
      <c r="K192" s="113"/>
      <c r="L192" s="113"/>
      <c r="M192" s="100"/>
      <c r="N192" s="127"/>
      <c r="O192" s="128"/>
      <c r="P192" s="95"/>
      <c r="Q192" s="137"/>
      <c r="R192" s="129"/>
      <c r="S192" s="95"/>
      <c r="T192" s="95"/>
      <c r="V192" s="107"/>
    </row>
    <row r="193" ht="15.75" customHeight="1">
      <c r="A193" s="89"/>
      <c r="B193" s="182"/>
      <c r="C193" s="107"/>
      <c r="D193" s="95"/>
      <c r="E193" s="149"/>
      <c r="F193" s="149"/>
      <c r="G193" s="95"/>
      <c r="H193" s="149"/>
      <c r="I193" s="95"/>
      <c r="J193" s="95"/>
      <c r="K193" s="99"/>
      <c r="L193" s="99"/>
      <c r="M193" s="100"/>
      <c r="N193" s="127"/>
      <c r="O193" s="128"/>
      <c r="P193" s="95"/>
      <c r="Q193" s="137"/>
      <c r="R193" s="129"/>
      <c r="S193" s="95"/>
      <c r="T193" s="95"/>
      <c r="V193" s="107"/>
    </row>
    <row r="194" ht="15.75" customHeight="1">
      <c r="A194" s="89"/>
      <c r="B194" s="182"/>
      <c r="C194" s="149"/>
      <c r="D194" s="95"/>
      <c r="E194" s="149"/>
      <c r="F194" s="149"/>
      <c r="G194" s="95"/>
      <c r="H194" s="149"/>
      <c r="I194" s="95"/>
      <c r="J194" s="95"/>
      <c r="K194" s="113"/>
      <c r="L194" s="113"/>
      <c r="M194" s="100"/>
      <c r="N194" s="127"/>
      <c r="O194" s="128"/>
      <c r="P194" s="95"/>
      <c r="Q194" s="137"/>
      <c r="R194" s="129"/>
      <c r="S194" s="95"/>
      <c r="T194" s="95"/>
      <c r="V194" s="107"/>
    </row>
    <row r="195" ht="15.75" customHeight="1">
      <c r="A195" s="89"/>
      <c r="B195" s="182"/>
      <c r="C195" s="149"/>
      <c r="D195" s="95"/>
      <c r="E195" s="149"/>
      <c r="F195" s="149"/>
      <c r="G195" s="95"/>
      <c r="H195" s="149"/>
      <c r="I195" s="95"/>
      <c r="J195" s="95"/>
      <c r="K195" s="99"/>
      <c r="L195" s="99"/>
      <c r="M195" s="100"/>
      <c r="N195" s="127"/>
      <c r="O195" s="128"/>
      <c r="P195" s="95"/>
      <c r="Q195" s="137"/>
      <c r="R195" s="129"/>
      <c r="S195" s="95"/>
      <c r="T195" s="95"/>
      <c r="V195" s="107"/>
    </row>
    <row r="196" ht="15.75" customHeight="1">
      <c r="A196" s="89"/>
      <c r="B196" s="182"/>
      <c r="C196" s="149"/>
      <c r="D196" s="95"/>
      <c r="E196" s="149"/>
      <c r="F196" s="149"/>
      <c r="G196" s="95"/>
      <c r="H196" s="149"/>
      <c r="I196" s="95"/>
      <c r="J196" s="95"/>
      <c r="K196" s="113"/>
      <c r="L196" s="113"/>
      <c r="M196" s="100"/>
      <c r="N196" s="127"/>
      <c r="O196" s="128"/>
      <c r="P196" s="95"/>
      <c r="Q196" s="137"/>
      <c r="R196" s="129"/>
      <c r="S196" s="95"/>
      <c r="T196" s="95"/>
      <c r="V196" s="107"/>
    </row>
    <row r="197" ht="15.75" customHeight="1">
      <c r="A197" s="89"/>
      <c r="B197" s="182"/>
      <c r="C197" s="149"/>
      <c r="D197" s="95"/>
      <c r="E197" s="149"/>
      <c r="F197" s="149"/>
      <c r="G197" s="95"/>
      <c r="H197" s="149"/>
      <c r="I197" s="95"/>
      <c r="J197" s="95"/>
      <c r="K197" s="99"/>
      <c r="L197" s="99"/>
      <c r="M197" s="100"/>
      <c r="N197" s="127"/>
      <c r="O197" s="128"/>
      <c r="P197" s="95"/>
      <c r="Q197" s="137"/>
      <c r="R197" s="129"/>
      <c r="S197" s="95"/>
      <c r="T197" s="95"/>
      <c r="V197" s="107"/>
    </row>
    <row r="198" ht="15.75" customHeight="1">
      <c r="A198" s="89"/>
      <c r="B198" s="182"/>
      <c r="C198" s="149"/>
      <c r="D198" s="95"/>
      <c r="E198" s="149"/>
      <c r="F198" s="149"/>
      <c r="G198" s="95"/>
      <c r="H198" s="149"/>
      <c r="I198" s="95"/>
      <c r="J198" s="95"/>
      <c r="K198" s="113"/>
      <c r="L198" s="113"/>
      <c r="M198" s="100"/>
      <c r="N198" s="127"/>
      <c r="O198" s="128"/>
      <c r="P198" s="95"/>
      <c r="Q198" s="137"/>
      <c r="R198" s="129"/>
      <c r="S198" s="95"/>
      <c r="T198" s="95"/>
      <c r="V198" s="107"/>
    </row>
    <row r="199" ht="15.75" customHeight="1">
      <c r="A199" s="89"/>
      <c r="B199" s="182"/>
      <c r="C199" s="107"/>
      <c r="D199" s="95"/>
      <c r="E199" s="149"/>
      <c r="F199" s="149"/>
      <c r="G199" s="95"/>
      <c r="H199" s="149"/>
      <c r="I199" s="95"/>
      <c r="J199" s="95"/>
      <c r="K199" s="99"/>
      <c r="L199" s="99"/>
      <c r="M199" s="100"/>
      <c r="N199" s="127"/>
      <c r="O199" s="128"/>
      <c r="P199" s="95"/>
      <c r="Q199" s="137"/>
      <c r="R199" s="129"/>
      <c r="S199" s="95"/>
      <c r="T199" s="95"/>
      <c r="V199" s="107"/>
    </row>
    <row r="200" ht="15.75" customHeight="1">
      <c r="A200" s="89"/>
      <c r="B200" s="182"/>
      <c r="C200" s="149"/>
      <c r="D200" s="95"/>
      <c r="E200" s="149"/>
      <c r="F200" s="149"/>
      <c r="G200" s="95"/>
      <c r="H200" s="149"/>
      <c r="I200" s="95"/>
      <c r="J200" s="95"/>
      <c r="K200" s="113"/>
      <c r="L200" s="113"/>
      <c r="M200" s="100"/>
      <c r="N200" s="127"/>
      <c r="O200" s="128"/>
      <c r="P200" s="95"/>
      <c r="Q200" s="137"/>
      <c r="R200" s="129"/>
      <c r="S200" s="95"/>
      <c r="T200" s="95"/>
      <c r="V200" s="107"/>
    </row>
    <row r="201" ht="15.75" customHeight="1">
      <c r="A201" s="89"/>
      <c r="B201" s="182"/>
      <c r="C201" s="149"/>
      <c r="D201" s="95"/>
      <c r="E201" s="149"/>
      <c r="F201" s="149"/>
      <c r="G201" s="95"/>
      <c r="H201" s="149"/>
      <c r="I201" s="95"/>
      <c r="J201" s="95"/>
      <c r="K201" s="99"/>
      <c r="L201" s="99"/>
      <c r="M201" s="100"/>
      <c r="N201" s="127"/>
      <c r="O201" s="128"/>
      <c r="P201" s="95"/>
      <c r="Q201" s="137"/>
      <c r="R201" s="129"/>
      <c r="S201" s="95"/>
      <c r="T201" s="95"/>
      <c r="V201" s="107"/>
    </row>
    <row r="202" ht="15.75" customHeight="1">
      <c r="A202" s="89"/>
      <c r="B202" s="182"/>
      <c r="C202" s="149"/>
      <c r="D202" s="95"/>
      <c r="E202" s="149"/>
      <c r="F202" s="149"/>
      <c r="G202" s="95"/>
      <c r="H202" s="149"/>
      <c r="I202" s="95"/>
      <c r="J202" s="95"/>
      <c r="K202" s="113"/>
      <c r="L202" s="113"/>
      <c r="M202" s="100"/>
      <c r="N202" s="127"/>
      <c r="O202" s="128"/>
      <c r="P202" s="95"/>
      <c r="Q202" s="137"/>
      <c r="R202" s="129"/>
      <c r="S202" s="95"/>
      <c r="T202" s="95"/>
      <c r="V202" s="107"/>
    </row>
    <row r="203" ht="15.75" customHeight="1">
      <c r="A203" s="89"/>
      <c r="B203" s="182"/>
      <c r="C203" s="149"/>
      <c r="D203" s="95"/>
      <c r="E203" s="149"/>
      <c r="F203" s="149"/>
      <c r="G203" s="95"/>
      <c r="H203" s="149"/>
      <c r="I203" s="95"/>
      <c r="J203" s="95"/>
      <c r="K203" s="99"/>
      <c r="L203" s="99"/>
      <c r="M203" s="100"/>
      <c r="N203" s="127"/>
      <c r="O203" s="128"/>
      <c r="P203" s="95"/>
      <c r="Q203" s="137"/>
      <c r="R203" s="129"/>
      <c r="S203" s="95"/>
      <c r="T203" s="95"/>
      <c r="V203" s="107"/>
    </row>
    <row r="204" ht="15.75" customHeight="1">
      <c r="A204" s="89"/>
      <c r="B204" s="182"/>
      <c r="C204" s="149"/>
      <c r="D204" s="95"/>
      <c r="E204" s="149"/>
      <c r="F204" s="149"/>
      <c r="G204" s="95"/>
      <c r="H204" s="149"/>
      <c r="I204" s="95"/>
      <c r="J204" s="95"/>
      <c r="K204" s="113"/>
      <c r="L204" s="113"/>
      <c r="M204" s="100"/>
      <c r="N204" s="127"/>
      <c r="O204" s="128"/>
      <c r="P204" s="95"/>
      <c r="Q204" s="137"/>
      <c r="R204" s="129"/>
      <c r="S204" s="95"/>
      <c r="T204" s="95"/>
      <c r="V204" s="107"/>
    </row>
    <row r="205" ht="15.75" customHeight="1">
      <c r="A205" s="89"/>
      <c r="B205" s="182"/>
      <c r="C205" s="107"/>
      <c r="D205" s="95"/>
      <c r="E205" s="149"/>
      <c r="F205" s="149"/>
      <c r="G205" s="95"/>
      <c r="H205" s="149"/>
      <c r="I205" s="95"/>
      <c r="J205" s="95"/>
      <c r="K205" s="99"/>
      <c r="L205" s="99"/>
      <c r="M205" s="100"/>
      <c r="N205" s="127"/>
      <c r="O205" s="128"/>
      <c r="P205" s="95"/>
      <c r="Q205" s="137"/>
      <c r="R205" s="129"/>
      <c r="S205" s="95"/>
      <c r="T205" s="95"/>
      <c r="V205" s="107"/>
    </row>
    <row r="206" ht="15.75" customHeight="1">
      <c r="A206" s="89"/>
      <c r="B206" s="182"/>
      <c r="C206" s="149"/>
      <c r="D206" s="95"/>
      <c r="E206" s="149"/>
      <c r="F206" s="149"/>
      <c r="G206" s="95"/>
      <c r="H206" s="149"/>
      <c r="I206" s="95"/>
      <c r="J206" s="95"/>
      <c r="K206" s="113"/>
      <c r="L206" s="113"/>
      <c r="M206" s="100"/>
      <c r="N206" s="127"/>
      <c r="O206" s="128"/>
      <c r="P206" s="95"/>
      <c r="Q206" s="137"/>
      <c r="R206" s="129"/>
      <c r="S206" s="95"/>
      <c r="T206" s="95"/>
      <c r="V206" s="107"/>
    </row>
    <row r="207" ht="15.75" customHeight="1">
      <c r="A207" s="89"/>
      <c r="B207" s="182"/>
      <c r="C207" s="149"/>
      <c r="D207" s="95"/>
      <c r="E207" s="149"/>
      <c r="F207" s="149"/>
      <c r="G207" s="95"/>
      <c r="H207" s="149"/>
      <c r="I207" s="95"/>
      <c r="J207" s="95"/>
      <c r="K207" s="99"/>
      <c r="L207" s="99"/>
      <c r="M207" s="100"/>
      <c r="N207" s="127"/>
      <c r="O207" s="128"/>
      <c r="P207" s="95"/>
      <c r="Q207" s="137"/>
      <c r="R207" s="129"/>
      <c r="S207" s="95"/>
      <c r="T207" s="95"/>
      <c r="V207" s="107"/>
    </row>
    <row r="208" ht="15.75" customHeight="1">
      <c r="A208" s="89"/>
      <c r="B208" s="182"/>
      <c r="C208" s="149"/>
      <c r="D208" s="95"/>
      <c r="E208" s="149"/>
      <c r="F208" s="149"/>
      <c r="G208" s="95"/>
      <c r="H208" s="149"/>
      <c r="I208" s="95"/>
      <c r="J208" s="95"/>
      <c r="K208" s="113"/>
      <c r="L208" s="113"/>
      <c r="M208" s="100"/>
      <c r="N208" s="127"/>
      <c r="O208" s="128"/>
      <c r="P208" s="95"/>
      <c r="Q208" s="137"/>
      <c r="R208" s="129"/>
      <c r="S208" s="95"/>
      <c r="T208" s="95"/>
      <c r="V208" s="107"/>
    </row>
    <row r="209" ht="15.75" customHeight="1">
      <c r="A209" s="89"/>
      <c r="B209" s="182"/>
      <c r="C209" s="149"/>
      <c r="D209" s="95"/>
      <c r="E209" s="149"/>
      <c r="F209" s="149"/>
      <c r="G209" s="95"/>
      <c r="H209" s="149"/>
      <c r="I209" s="95"/>
      <c r="J209" s="95"/>
      <c r="K209" s="99"/>
      <c r="L209" s="99"/>
      <c r="M209" s="100"/>
      <c r="N209" s="127"/>
      <c r="O209" s="128"/>
      <c r="P209" s="95"/>
      <c r="Q209" s="137"/>
      <c r="R209" s="129"/>
      <c r="S209" s="95"/>
      <c r="T209" s="95"/>
      <c r="V209" s="107"/>
    </row>
    <row r="210" ht="15.75" customHeight="1">
      <c r="A210" s="89"/>
      <c r="B210" s="182"/>
      <c r="C210" s="149"/>
      <c r="D210" s="95"/>
      <c r="E210" s="149"/>
      <c r="F210" s="149"/>
      <c r="G210" s="95"/>
      <c r="H210" s="149"/>
      <c r="I210" s="95"/>
      <c r="J210" s="95"/>
      <c r="K210" s="113"/>
      <c r="L210" s="113"/>
      <c r="M210" s="100"/>
      <c r="N210" s="127"/>
      <c r="O210" s="128"/>
      <c r="P210" s="95"/>
      <c r="Q210" s="137"/>
      <c r="R210" s="129"/>
      <c r="S210" s="95"/>
      <c r="T210" s="95"/>
      <c r="V210" s="107"/>
    </row>
    <row r="211" ht="15.75" customHeight="1">
      <c r="A211" s="89"/>
      <c r="B211" s="182"/>
      <c r="C211" s="107"/>
      <c r="D211" s="95"/>
      <c r="E211" s="149"/>
      <c r="F211" s="149"/>
      <c r="G211" s="95"/>
      <c r="H211" s="149"/>
      <c r="I211" s="95"/>
      <c r="J211" s="95"/>
      <c r="K211" s="99"/>
      <c r="L211" s="99"/>
      <c r="M211" s="100"/>
      <c r="N211" s="127"/>
      <c r="O211" s="128"/>
      <c r="P211" s="95"/>
      <c r="Q211" s="137"/>
      <c r="R211" s="129"/>
      <c r="S211" s="95"/>
      <c r="T211" s="95"/>
      <c r="V211" s="107"/>
    </row>
    <row r="212" ht="15.75" customHeight="1">
      <c r="A212" s="89"/>
      <c r="B212" s="182"/>
      <c r="C212" s="149"/>
      <c r="D212" s="95"/>
      <c r="E212" s="149"/>
      <c r="F212" s="149"/>
      <c r="G212" s="95"/>
      <c r="H212" s="149"/>
      <c r="I212" s="95"/>
      <c r="J212" s="95"/>
      <c r="K212" s="113"/>
      <c r="L212" s="113"/>
      <c r="M212" s="100"/>
      <c r="N212" s="127"/>
      <c r="O212" s="128"/>
      <c r="P212" s="95"/>
      <c r="Q212" s="137"/>
      <c r="R212" s="129"/>
      <c r="S212" s="95"/>
      <c r="T212" s="95"/>
      <c r="V212" s="107"/>
    </row>
    <row r="213" ht="15.75" customHeight="1">
      <c r="A213" s="89"/>
      <c r="B213" s="182"/>
      <c r="C213" s="149"/>
      <c r="D213" s="95"/>
      <c r="E213" s="149"/>
      <c r="F213" s="149"/>
      <c r="G213" s="95"/>
      <c r="H213" s="149"/>
      <c r="I213" s="95"/>
      <c r="J213" s="95"/>
      <c r="K213" s="99"/>
      <c r="L213" s="99"/>
      <c r="M213" s="100"/>
      <c r="N213" s="127"/>
      <c r="O213" s="128"/>
      <c r="P213" s="95"/>
      <c r="Q213" s="137"/>
      <c r="R213" s="129"/>
      <c r="S213" s="95"/>
      <c r="T213" s="95"/>
      <c r="V213" s="107"/>
    </row>
    <row r="214" ht="15.75" customHeight="1">
      <c r="A214" s="89"/>
      <c r="B214" s="182"/>
      <c r="C214" s="149"/>
      <c r="D214" s="95"/>
      <c r="E214" s="149"/>
      <c r="F214" s="149"/>
      <c r="G214" s="95"/>
      <c r="H214" s="149"/>
      <c r="I214" s="95"/>
      <c r="J214" s="95"/>
      <c r="K214" s="113"/>
      <c r="L214" s="113"/>
      <c r="M214" s="100"/>
      <c r="N214" s="127"/>
      <c r="O214" s="128"/>
      <c r="P214" s="95"/>
      <c r="Q214" s="137"/>
      <c r="R214" s="129"/>
      <c r="S214" s="95"/>
      <c r="T214" s="95"/>
      <c r="V214" s="107"/>
    </row>
    <row r="215" ht="15.75" customHeight="1">
      <c r="A215" s="89"/>
      <c r="B215" s="182"/>
      <c r="C215" s="149"/>
      <c r="D215" s="95"/>
      <c r="E215" s="149"/>
      <c r="F215" s="149"/>
      <c r="G215" s="95"/>
      <c r="H215" s="149"/>
      <c r="I215" s="95"/>
      <c r="J215" s="95"/>
      <c r="K215" s="99"/>
      <c r="L215" s="99"/>
      <c r="M215" s="100"/>
      <c r="N215" s="127"/>
      <c r="O215" s="128"/>
      <c r="P215" s="95"/>
      <c r="Q215" s="137"/>
      <c r="R215" s="129"/>
      <c r="S215" s="95"/>
      <c r="T215" s="95"/>
      <c r="V215" s="107"/>
    </row>
    <row r="216" ht="15.75" customHeight="1">
      <c r="A216" s="89"/>
      <c r="B216" s="182"/>
      <c r="C216" s="149"/>
      <c r="D216" s="95"/>
      <c r="E216" s="149"/>
      <c r="F216" s="149"/>
      <c r="G216" s="95"/>
      <c r="H216" s="149"/>
      <c r="I216" s="95"/>
      <c r="J216" s="95"/>
      <c r="K216" s="113"/>
      <c r="L216" s="113"/>
      <c r="M216" s="100"/>
      <c r="N216" s="127"/>
      <c r="O216" s="128"/>
      <c r="P216" s="95"/>
      <c r="Q216" s="137"/>
      <c r="R216" s="129"/>
      <c r="S216" s="95"/>
      <c r="T216" s="95"/>
      <c r="V216" s="107"/>
    </row>
    <row r="217" ht="15.75" customHeight="1">
      <c r="A217" s="89"/>
      <c r="B217" s="182"/>
      <c r="C217" s="107"/>
      <c r="D217" s="95"/>
      <c r="E217" s="149"/>
      <c r="F217" s="149"/>
      <c r="G217" s="95"/>
      <c r="H217" s="149"/>
      <c r="I217" s="95"/>
      <c r="J217" s="95"/>
      <c r="K217" s="99"/>
      <c r="L217" s="99"/>
      <c r="M217" s="100"/>
      <c r="N217" s="127"/>
      <c r="O217" s="128"/>
      <c r="P217" s="95"/>
      <c r="Q217" s="137"/>
      <c r="R217" s="129"/>
      <c r="S217" s="95"/>
      <c r="T217" s="95"/>
      <c r="V217" s="107"/>
    </row>
    <row r="218" ht="15.75" customHeight="1">
      <c r="A218" s="89"/>
      <c r="B218" s="182"/>
      <c r="C218" s="149"/>
      <c r="D218" s="95"/>
      <c r="E218" s="149"/>
      <c r="F218" s="149"/>
      <c r="G218" s="95"/>
      <c r="H218" s="149"/>
      <c r="I218" s="95"/>
      <c r="J218" s="95"/>
      <c r="K218" s="113"/>
      <c r="L218" s="113"/>
      <c r="M218" s="100"/>
      <c r="N218" s="127"/>
      <c r="O218" s="128"/>
      <c r="P218" s="95"/>
      <c r="Q218" s="137"/>
      <c r="R218" s="129"/>
      <c r="S218" s="95"/>
      <c r="T218" s="95"/>
      <c r="V218" s="107"/>
    </row>
    <row r="219" ht="15.75" customHeight="1">
      <c r="A219" s="89"/>
      <c r="B219" s="182"/>
      <c r="C219" s="149"/>
      <c r="D219" s="95"/>
      <c r="E219" s="149"/>
      <c r="F219" s="149"/>
      <c r="G219" s="95"/>
      <c r="H219" s="149"/>
      <c r="I219" s="95"/>
      <c r="J219" s="95"/>
      <c r="K219" s="99"/>
      <c r="L219" s="99"/>
      <c r="M219" s="100"/>
      <c r="N219" s="127"/>
      <c r="O219" s="128"/>
      <c r="P219" s="95"/>
      <c r="Q219" s="137"/>
      <c r="R219" s="129"/>
      <c r="S219" s="95"/>
      <c r="T219" s="95"/>
      <c r="V219" s="107"/>
    </row>
    <row r="220" ht="15.75" customHeight="1">
      <c r="A220" s="89"/>
      <c r="B220" s="182"/>
      <c r="C220" s="149"/>
      <c r="D220" s="95"/>
      <c r="E220" s="149"/>
      <c r="F220" s="149"/>
      <c r="G220" s="95"/>
      <c r="H220" s="149"/>
      <c r="I220" s="95"/>
      <c r="J220" s="95"/>
      <c r="K220" s="113"/>
      <c r="L220" s="113"/>
      <c r="M220" s="100"/>
      <c r="N220" s="127"/>
      <c r="O220" s="128"/>
      <c r="P220" s="95"/>
      <c r="Q220" s="137"/>
      <c r="R220" s="129"/>
      <c r="S220" s="95"/>
      <c r="T220" s="95"/>
      <c r="V220" s="107"/>
    </row>
    <row r="221" ht="15.75" customHeight="1">
      <c r="A221" s="89"/>
      <c r="B221" s="182"/>
      <c r="C221" s="149"/>
      <c r="D221" s="95"/>
      <c r="E221" s="149"/>
      <c r="F221" s="149"/>
      <c r="G221" s="95"/>
      <c r="H221" s="149"/>
      <c r="I221" s="95"/>
      <c r="J221" s="95"/>
      <c r="K221" s="99"/>
      <c r="L221" s="99"/>
      <c r="M221" s="100"/>
      <c r="N221" s="127"/>
      <c r="O221" s="128"/>
      <c r="P221" s="95"/>
      <c r="Q221" s="137"/>
      <c r="R221" s="129"/>
      <c r="S221" s="95"/>
      <c r="T221" s="95"/>
      <c r="V221" s="107"/>
    </row>
    <row r="222" ht="15.75" customHeight="1">
      <c r="A222" s="89"/>
      <c r="B222" s="182"/>
      <c r="C222" s="149"/>
      <c r="D222" s="95"/>
      <c r="E222" s="149"/>
      <c r="F222" s="149"/>
      <c r="G222" s="95"/>
      <c r="H222" s="149"/>
      <c r="I222" s="95"/>
      <c r="J222" s="95"/>
      <c r="K222" s="113"/>
      <c r="L222" s="113"/>
      <c r="M222" s="100"/>
      <c r="N222" s="127"/>
      <c r="O222" s="128"/>
      <c r="P222" s="95"/>
      <c r="Q222" s="137"/>
      <c r="R222" s="129"/>
      <c r="S222" s="95"/>
      <c r="T222" s="95"/>
      <c r="V222" s="107"/>
    </row>
    <row r="223" ht="15.75" customHeight="1">
      <c r="A223" s="89"/>
      <c r="B223" s="182"/>
      <c r="C223" s="107"/>
      <c r="D223" s="95"/>
      <c r="E223" s="149"/>
      <c r="F223" s="149"/>
      <c r="G223" s="95"/>
      <c r="H223" s="149"/>
      <c r="I223" s="95"/>
      <c r="J223" s="95"/>
      <c r="K223" s="99"/>
      <c r="L223" s="99"/>
      <c r="M223" s="100"/>
      <c r="N223" s="127"/>
      <c r="O223" s="128"/>
      <c r="P223" s="95"/>
      <c r="Q223" s="137"/>
      <c r="R223" s="129"/>
      <c r="S223" s="95"/>
      <c r="T223" s="95"/>
      <c r="V223" s="107"/>
    </row>
    <row r="224" ht="15.75" customHeight="1">
      <c r="A224" s="89"/>
      <c r="B224" s="182"/>
      <c r="C224" s="149"/>
      <c r="D224" s="95"/>
      <c r="E224" s="149"/>
      <c r="F224" s="149"/>
      <c r="G224" s="95"/>
      <c r="H224" s="149"/>
      <c r="I224" s="95"/>
      <c r="J224" s="95"/>
      <c r="K224" s="113"/>
      <c r="L224" s="113"/>
      <c r="M224" s="100"/>
      <c r="N224" s="127"/>
      <c r="O224" s="128"/>
      <c r="P224" s="95"/>
      <c r="Q224" s="137"/>
      <c r="R224" s="129"/>
      <c r="S224" s="95"/>
      <c r="T224" s="95"/>
      <c r="V224" s="107"/>
    </row>
    <row r="225" ht="15.75" customHeight="1">
      <c r="A225" s="89"/>
      <c r="B225" s="182"/>
      <c r="C225" s="149"/>
      <c r="D225" s="95"/>
      <c r="E225" s="149"/>
      <c r="F225" s="149"/>
      <c r="G225" s="95"/>
      <c r="H225" s="149"/>
      <c r="I225" s="95"/>
      <c r="J225" s="95"/>
      <c r="K225" s="99"/>
      <c r="L225" s="99"/>
      <c r="M225" s="100"/>
      <c r="N225" s="127"/>
      <c r="O225" s="128"/>
      <c r="P225" s="95"/>
      <c r="Q225" s="137"/>
      <c r="R225" s="129"/>
      <c r="S225" s="95"/>
      <c r="T225" s="95"/>
      <c r="V225" s="107"/>
    </row>
    <row r="226" ht="15.75" customHeight="1">
      <c r="A226" s="89"/>
      <c r="B226" s="182"/>
      <c r="C226" s="149"/>
      <c r="D226" s="95"/>
      <c r="E226" s="149"/>
      <c r="F226" s="149"/>
      <c r="G226" s="95"/>
      <c r="H226" s="149"/>
      <c r="I226" s="95"/>
      <c r="J226" s="95"/>
      <c r="K226" s="113"/>
      <c r="L226" s="113"/>
      <c r="M226" s="100"/>
      <c r="N226" s="127"/>
      <c r="O226" s="128"/>
      <c r="P226" s="95"/>
      <c r="Q226" s="137"/>
      <c r="R226" s="129"/>
      <c r="S226" s="95"/>
      <c r="T226" s="95"/>
      <c r="V226" s="107"/>
    </row>
    <row r="227" ht="15.75" customHeight="1">
      <c r="A227" s="89"/>
      <c r="B227" s="182"/>
      <c r="C227" s="149"/>
      <c r="D227" s="95"/>
      <c r="E227" s="149"/>
      <c r="F227" s="149"/>
      <c r="G227" s="95"/>
      <c r="H227" s="149"/>
      <c r="I227" s="95"/>
      <c r="J227" s="95"/>
      <c r="K227" s="99"/>
      <c r="L227" s="99"/>
      <c r="M227" s="100"/>
      <c r="N227" s="127"/>
      <c r="O227" s="128"/>
      <c r="P227" s="95"/>
      <c r="Q227" s="137"/>
      <c r="R227" s="129"/>
      <c r="S227" s="95"/>
      <c r="T227" s="95"/>
      <c r="V227" s="107"/>
    </row>
    <row r="228" ht="15.75" customHeight="1">
      <c r="A228" s="89"/>
      <c r="B228" s="182"/>
      <c r="C228" s="149"/>
      <c r="D228" s="95"/>
      <c r="E228" s="149"/>
      <c r="F228" s="149"/>
      <c r="G228" s="95"/>
      <c r="H228" s="149"/>
      <c r="I228" s="95"/>
      <c r="J228" s="95"/>
      <c r="K228" s="113"/>
      <c r="L228" s="113"/>
      <c r="M228" s="100"/>
      <c r="N228" s="127"/>
      <c r="O228" s="128"/>
      <c r="P228" s="95"/>
      <c r="Q228" s="137"/>
      <c r="R228" s="129"/>
      <c r="S228" s="95"/>
      <c r="T228" s="95"/>
      <c r="V228" s="107"/>
    </row>
    <row r="229" ht="15.75" customHeight="1">
      <c r="A229" s="89"/>
      <c r="B229" s="182"/>
      <c r="C229" s="107"/>
      <c r="D229" s="95"/>
      <c r="E229" s="149"/>
      <c r="F229" s="149"/>
      <c r="G229" s="95"/>
      <c r="H229" s="149"/>
      <c r="I229" s="95"/>
      <c r="J229" s="95"/>
      <c r="K229" s="99"/>
      <c r="L229" s="99"/>
      <c r="M229" s="100"/>
      <c r="N229" s="127"/>
      <c r="O229" s="128"/>
      <c r="P229" s="95"/>
      <c r="Q229" s="137"/>
      <c r="R229" s="129"/>
      <c r="S229" s="95"/>
      <c r="T229" s="95"/>
      <c r="V229" s="107"/>
    </row>
    <row r="230" ht="15.75" customHeight="1">
      <c r="A230" s="89"/>
      <c r="B230" s="182"/>
      <c r="C230" s="149"/>
      <c r="D230" s="95"/>
      <c r="E230" s="149"/>
      <c r="F230" s="149"/>
      <c r="G230" s="95"/>
      <c r="H230" s="149"/>
      <c r="I230" s="95"/>
      <c r="J230" s="95"/>
      <c r="K230" s="113"/>
      <c r="L230" s="113"/>
      <c r="M230" s="100"/>
      <c r="N230" s="127"/>
      <c r="O230" s="128"/>
      <c r="P230" s="95"/>
      <c r="Q230" s="137"/>
      <c r="R230" s="129"/>
      <c r="S230" s="95"/>
      <c r="T230" s="95"/>
      <c r="V230" s="107"/>
    </row>
    <row r="231" ht="15.75" customHeight="1">
      <c r="A231" s="89"/>
      <c r="B231" s="182"/>
      <c r="C231" s="149"/>
      <c r="D231" s="95"/>
      <c r="E231" s="149"/>
      <c r="F231" s="149"/>
      <c r="G231" s="95"/>
      <c r="H231" s="149"/>
      <c r="I231" s="95"/>
      <c r="J231" s="95"/>
      <c r="K231" s="99"/>
      <c r="L231" s="99"/>
      <c r="M231" s="100"/>
      <c r="N231" s="127"/>
      <c r="O231" s="128"/>
      <c r="P231" s="95"/>
      <c r="Q231" s="137"/>
      <c r="R231" s="129"/>
      <c r="S231" s="95"/>
      <c r="T231" s="95"/>
      <c r="V231" s="107"/>
    </row>
    <row r="232" ht="15.75" customHeight="1">
      <c r="A232" s="89"/>
      <c r="B232" s="182"/>
      <c r="C232" s="149"/>
      <c r="D232" s="95"/>
      <c r="E232" s="149"/>
      <c r="F232" s="149"/>
      <c r="G232" s="95"/>
      <c r="H232" s="149"/>
      <c r="I232" s="95"/>
      <c r="J232" s="95"/>
      <c r="K232" s="113"/>
      <c r="L232" s="113"/>
      <c r="M232" s="100"/>
      <c r="N232" s="127"/>
      <c r="O232" s="128"/>
      <c r="P232" s="95"/>
      <c r="Q232" s="137"/>
      <c r="R232" s="129"/>
      <c r="S232" s="95"/>
      <c r="T232" s="95"/>
      <c r="V232" s="107"/>
    </row>
    <row r="233" ht="15.75" customHeight="1">
      <c r="A233" s="89"/>
      <c r="B233" s="182"/>
      <c r="C233" s="149"/>
      <c r="D233" s="95"/>
      <c r="E233" s="149"/>
      <c r="F233" s="149"/>
      <c r="G233" s="95"/>
      <c r="H233" s="149"/>
      <c r="I233" s="95"/>
      <c r="J233" s="95"/>
      <c r="K233" s="99"/>
      <c r="L233" s="99"/>
      <c r="M233" s="100"/>
      <c r="N233" s="127"/>
      <c r="O233" s="128"/>
      <c r="P233" s="95"/>
      <c r="Q233" s="137"/>
      <c r="R233" s="129"/>
      <c r="S233" s="95"/>
      <c r="T233" s="95"/>
      <c r="V233" s="107"/>
    </row>
    <row r="234" ht="15.75" customHeight="1">
      <c r="A234" s="89"/>
      <c r="B234" s="182"/>
      <c r="C234" s="149"/>
      <c r="D234" s="95"/>
      <c r="E234" s="149"/>
      <c r="F234" s="149"/>
      <c r="G234" s="95"/>
      <c r="H234" s="149"/>
      <c r="I234" s="95"/>
      <c r="J234" s="95"/>
      <c r="K234" s="113"/>
      <c r="L234" s="113"/>
      <c r="M234" s="100"/>
      <c r="N234" s="127"/>
      <c r="O234" s="128"/>
      <c r="P234" s="95"/>
      <c r="Q234" s="137"/>
      <c r="R234" s="129"/>
      <c r="S234" s="95"/>
      <c r="T234" s="95"/>
      <c r="V234" s="107"/>
    </row>
    <row r="235" ht="15.75" customHeight="1">
      <c r="A235" s="89"/>
      <c r="B235" s="182"/>
      <c r="C235" s="107"/>
      <c r="D235" s="95"/>
      <c r="E235" s="149"/>
      <c r="F235" s="149"/>
      <c r="G235" s="95"/>
      <c r="H235" s="149"/>
      <c r="I235" s="95"/>
      <c r="J235" s="95"/>
      <c r="K235" s="99"/>
      <c r="L235" s="99"/>
      <c r="M235" s="100"/>
      <c r="N235" s="127"/>
      <c r="O235" s="128"/>
      <c r="P235" s="95"/>
      <c r="Q235" s="137"/>
      <c r="R235" s="129"/>
      <c r="S235" s="95"/>
      <c r="T235" s="95"/>
      <c r="V235" s="107"/>
    </row>
    <row r="236" ht="15.75" customHeight="1">
      <c r="A236" s="89"/>
      <c r="B236" s="182"/>
      <c r="C236" s="149"/>
      <c r="D236" s="95"/>
      <c r="E236" s="149"/>
      <c r="F236" s="149"/>
      <c r="G236" s="95"/>
      <c r="H236" s="149"/>
      <c r="I236" s="95"/>
      <c r="J236" s="95"/>
      <c r="K236" s="113"/>
      <c r="L236" s="113"/>
      <c r="M236" s="100"/>
      <c r="N236" s="127"/>
      <c r="O236" s="128"/>
      <c r="P236" s="95"/>
      <c r="Q236" s="137"/>
      <c r="R236" s="129"/>
      <c r="S236" s="95"/>
      <c r="T236" s="95"/>
      <c r="V236" s="107"/>
    </row>
    <row r="237" ht="15.75" customHeight="1">
      <c r="A237" s="89"/>
      <c r="B237" s="182"/>
      <c r="C237" s="149"/>
      <c r="D237" s="95"/>
      <c r="E237" s="149"/>
      <c r="F237" s="149"/>
      <c r="G237" s="95"/>
      <c r="H237" s="149"/>
      <c r="I237" s="95"/>
      <c r="J237" s="95"/>
      <c r="K237" s="99"/>
      <c r="L237" s="99"/>
      <c r="M237" s="100"/>
      <c r="N237" s="127"/>
      <c r="O237" s="128"/>
      <c r="P237" s="95"/>
      <c r="Q237" s="137"/>
      <c r="R237" s="129"/>
      <c r="S237" s="95"/>
      <c r="T237" s="95"/>
      <c r="V237" s="107"/>
    </row>
    <row r="238" ht="15.75" customHeight="1">
      <c r="A238" s="89"/>
      <c r="B238" s="182"/>
      <c r="C238" s="149"/>
      <c r="D238" s="95"/>
      <c r="E238" s="149"/>
      <c r="F238" s="149"/>
      <c r="G238" s="95"/>
      <c r="H238" s="149"/>
      <c r="I238" s="95"/>
      <c r="J238" s="95"/>
      <c r="K238" s="113"/>
      <c r="L238" s="113"/>
      <c r="M238" s="100"/>
      <c r="N238" s="127"/>
      <c r="O238" s="128"/>
      <c r="P238" s="95"/>
      <c r="Q238" s="137"/>
      <c r="R238" s="129"/>
      <c r="S238" s="95"/>
      <c r="T238" s="95"/>
      <c r="V238" s="107"/>
    </row>
    <row r="239" ht="15.75" customHeight="1">
      <c r="A239" s="89"/>
      <c r="B239" s="182"/>
      <c r="C239" s="149"/>
      <c r="D239" s="95"/>
      <c r="E239" s="149"/>
      <c r="F239" s="149"/>
      <c r="G239" s="95"/>
      <c r="H239" s="149"/>
      <c r="I239" s="95"/>
      <c r="J239" s="95"/>
      <c r="K239" s="99"/>
      <c r="L239" s="99"/>
      <c r="M239" s="100"/>
      <c r="N239" s="127"/>
      <c r="O239" s="128"/>
      <c r="P239" s="95"/>
      <c r="Q239" s="137"/>
      <c r="R239" s="129"/>
      <c r="S239" s="95"/>
      <c r="T239" s="95"/>
      <c r="V239" s="107"/>
    </row>
    <row r="240" ht="15.75" customHeight="1">
      <c r="A240" s="89"/>
      <c r="B240" s="182"/>
      <c r="C240" s="149"/>
      <c r="D240" s="95"/>
      <c r="E240" s="149"/>
      <c r="F240" s="149"/>
      <c r="G240" s="95"/>
      <c r="H240" s="149"/>
      <c r="I240" s="95"/>
      <c r="J240" s="95"/>
      <c r="K240" s="113"/>
      <c r="L240" s="113"/>
      <c r="M240" s="100"/>
      <c r="N240" s="127"/>
      <c r="O240" s="128"/>
      <c r="P240" s="95"/>
      <c r="Q240" s="137"/>
      <c r="R240" s="129"/>
      <c r="S240" s="95"/>
      <c r="T240" s="95"/>
      <c r="V240" s="107"/>
    </row>
    <row r="241" ht="15.75" customHeight="1">
      <c r="A241" s="89"/>
      <c r="B241" s="182"/>
      <c r="C241" s="107"/>
      <c r="D241" s="95"/>
      <c r="E241" s="149"/>
      <c r="F241" s="149"/>
      <c r="G241" s="95"/>
      <c r="H241" s="149"/>
      <c r="I241" s="95"/>
      <c r="J241" s="95"/>
      <c r="K241" s="99"/>
      <c r="L241" s="99"/>
      <c r="M241" s="100"/>
      <c r="N241" s="127"/>
      <c r="O241" s="128"/>
      <c r="P241" s="95"/>
      <c r="Q241" s="137"/>
      <c r="R241" s="129"/>
      <c r="S241" s="95"/>
      <c r="T241" s="95"/>
      <c r="V241" s="107"/>
    </row>
    <row r="242" ht="15.75" customHeight="1">
      <c r="A242" s="89"/>
      <c r="B242" s="182"/>
      <c r="C242" s="149"/>
      <c r="D242" s="95"/>
      <c r="E242" s="149"/>
      <c r="F242" s="149"/>
      <c r="G242" s="95"/>
      <c r="H242" s="149"/>
      <c r="I242" s="95"/>
      <c r="J242" s="95"/>
      <c r="K242" s="113"/>
      <c r="L242" s="113"/>
      <c r="M242" s="100"/>
      <c r="N242" s="127"/>
      <c r="O242" s="128"/>
      <c r="P242" s="95"/>
      <c r="Q242" s="137"/>
      <c r="R242" s="129"/>
      <c r="S242" s="95"/>
      <c r="T242" s="95"/>
      <c r="V242" s="107"/>
    </row>
    <row r="243" ht="15.75" customHeight="1">
      <c r="A243" s="89"/>
      <c r="B243" s="182"/>
      <c r="C243" s="149"/>
      <c r="D243" s="95"/>
      <c r="E243" s="149"/>
      <c r="F243" s="149"/>
      <c r="G243" s="95"/>
      <c r="H243" s="149"/>
      <c r="I243" s="95"/>
      <c r="J243" s="95"/>
      <c r="K243" s="99"/>
      <c r="L243" s="99"/>
      <c r="M243" s="100"/>
      <c r="N243" s="127"/>
      <c r="O243" s="128"/>
      <c r="P243" s="95"/>
      <c r="Q243" s="137"/>
      <c r="R243" s="129"/>
      <c r="S243" s="95"/>
      <c r="T243" s="95"/>
      <c r="V243" s="107"/>
    </row>
    <row r="244" ht="15.75" customHeight="1">
      <c r="A244" s="89"/>
      <c r="B244" s="182"/>
      <c r="C244" s="149"/>
      <c r="D244" s="95"/>
      <c r="E244" s="149"/>
      <c r="F244" s="149"/>
      <c r="G244" s="95"/>
      <c r="H244" s="149"/>
      <c r="I244" s="95"/>
      <c r="J244" s="95"/>
      <c r="K244" s="154"/>
      <c r="L244" s="154"/>
      <c r="M244" s="100"/>
      <c r="N244" s="127"/>
      <c r="O244" s="128"/>
      <c r="P244" s="95"/>
      <c r="Q244" s="137"/>
      <c r="R244" s="129"/>
      <c r="S244" s="95"/>
      <c r="T244" s="95"/>
      <c r="V244" s="107"/>
    </row>
    <row r="245" ht="15.75" customHeight="1">
      <c r="A245" s="89"/>
      <c r="B245" s="182"/>
      <c r="C245" s="149"/>
      <c r="D245" s="95"/>
      <c r="E245" s="149"/>
      <c r="F245" s="149"/>
      <c r="G245" s="95"/>
      <c r="H245" s="149"/>
      <c r="I245" s="95"/>
      <c r="J245" s="95"/>
      <c r="K245" s="156"/>
      <c r="L245" s="156"/>
      <c r="M245" s="100"/>
      <c r="N245" s="127"/>
      <c r="O245" s="128"/>
      <c r="P245" s="95"/>
      <c r="Q245" s="137"/>
      <c r="R245" s="129"/>
      <c r="S245" s="95"/>
      <c r="T245" s="95"/>
      <c r="V245" s="107"/>
    </row>
    <row r="246" ht="15.75" customHeight="1">
      <c r="A246" s="89"/>
      <c r="B246" s="182"/>
      <c r="C246" s="149"/>
      <c r="D246" s="95"/>
      <c r="E246" s="149"/>
      <c r="F246" s="149"/>
      <c r="G246" s="95"/>
      <c r="H246" s="149"/>
      <c r="I246" s="95"/>
      <c r="J246" s="95"/>
      <c r="K246" s="154"/>
      <c r="L246" s="154"/>
      <c r="M246" s="100"/>
      <c r="N246" s="127"/>
      <c r="O246" s="128"/>
      <c r="P246" s="95"/>
      <c r="Q246" s="137"/>
      <c r="R246" s="129"/>
      <c r="S246" s="95"/>
      <c r="T246" s="95"/>
      <c r="V246" s="107"/>
    </row>
    <row r="247" ht="15.75" customHeight="1">
      <c r="A247" s="89"/>
      <c r="B247" s="182"/>
      <c r="C247" s="107"/>
      <c r="D247" s="95"/>
      <c r="E247" s="149"/>
      <c r="F247" s="149"/>
      <c r="G247" s="95"/>
      <c r="H247" s="149"/>
      <c r="I247" s="95"/>
      <c r="J247" s="95"/>
      <c r="K247" s="156"/>
      <c r="L247" s="156"/>
      <c r="M247" s="100"/>
      <c r="N247" s="127"/>
      <c r="O247" s="128"/>
      <c r="P247" s="95"/>
      <c r="Q247" s="137"/>
      <c r="R247" s="129"/>
      <c r="S247" s="95"/>
      <c r="T247" s="95"/>
      <c r="V247" s="107"/>
    </row>
    <row r="248" ht="15.75" customHeight="1">
      <c r="A248" s="89"/>
      <c r="B248" s="182"/>
      <c r="C248" s="149"/>
      <c r="D248" s="95"/>
      <c r="E248" s="149"/>
      <c r="F248" s="149"/>
      <c r="G248" s="95"/>
      <c r="H248" s="149"/>
      <c r="I248" s="95"/>
      <c r="J248" s="95"/>
      <c r="K248" s="154"/>
      <c r="L248" s="154"/>
      <c r="M248" s="100"/>
      <c r="N248" s="127"/>
      <c r="O248" s="128"/>
      <c r="P248" s="95"/>
      <c r="Q248" s="137"/>
      <c r="R248" s="129"/>
      <c r="S248" s="95"/>
      <c r="T248" s="95"/>
      <c r="V248" s="107"/>
    </row>
    <row r="249" ht="15.75" customHeight="1">
      <c r="A249" s="89"/>
      <c r="B249" s="182"/>
      <c r="C249" s="149"/>
      <c r="D249" s="95"/>
      <c r="E249" s="149"/>
      <c r="F249" s="149"/>
      <c r="G249" s="95"/>
      <c r="H249" s="149"/>
      <c r="I249" s="95"/>
      <c r="J249" s="95"/>
      <c r="K249" s="156"/>
      <c r="L249" s="156"/>
      <c r="M249" s="100"/>
      <c r="N249" s="127"/>
      <c r="O249" s="128"/>
      <c r="P249" s="95"/>
      <c r="Q249" s="137"/>
      <c r="R249" s="129"/>
      <c r="S249" s="95"/>
      <c r="T249" s="95"/>
      <c r="V249" s="107"/>
    </row>
    <row r="250" ht="15.75" customHeight="1">
      <c r="A250" s="89"/>
      <c r="B250" s="182"/>
      <c r="C250" s="149"/>
      <c r="D250" s="95"/>
      <c r="E250" s="149"/>
      <c r="F250" s="149"/>
      <c r="G250" s="95"/>
      <c r="H250" s="149"/>
      <c r="I250" s="95"/>
      <c r="J250" s="95"/>
      <c r="K250" s="154"/>
      <c r="L250" s="154"/>
      <c r="M250" s="100"/>
      <c r="N250" s="127"/>
      <c r="O250" s="128"/>
      <c r="P250" s="95"/>
      <c r="Q250" s="137"/>
      <c r="R250" s="129"/>
      <c r="S250" s="95"/>
      <c r="T250" s="95"/>
      <c r="V250" s="107"/>
    </row>
    <row r="251" ht="15.75" customHeight="1">
      <c r="A251" s="89"/>
      <c r="B251" s="182"/>
      <c r="C251" s="149"/>
      <c r="D251" s="95"/>
      <c r="E251" s="149"/>
      <c r="F251" s="149"/>
      <c r="G251" s="95"/>
      <c r="H251" s="149"/>
      <c r="I251" s="95"/>
      <c r="J251" s="95"/>
      <c r="K251" s="156"/>
      <c r="L251" s="156"/>
      <c r="M251" s="100"/>
      <c r="N251" s="127"/>
      <c r="O251" s="128"/>
      <c r="P251" s="95"/>
      <c r="Q251" s="137"/>
      <c r="R251" s="129"/>
      <c r="S251" s="95"/>
      <c r="T251" s="95"/>
      <c r="V251" s="107"/>
    </row>
    <row r="252" ht="15.75" customHeight="1">
      <c r="A252" s="89"/>
      <c r="B252" s="182"/>
      <c r="C252" s="149"/>
      <c r="D252" s="95"/>
      <c r="E252" s="149"/>
      <c r="F252" s="149"/>
      <c r="G252" s="95"/>
      <c r="H252" s="149"/>
      <c r="I252" s="95"/>
      <c r="J252" s="95"/>
      <c r="K252" s="154"/>
      <c r="L252" s="154"/>
      <c r="M252" s="100"/>
      <c r="N252" s="127"/>
      <c r="O252" s="128"/>
      <c r="P252" s="95"/>
      <c r="Q252" s="137"/>
      <c r="R252" s="129"/>
      <c r="S252" s="95"/>
      <c r="T252" s="95"/>
      <c r="V252" s="107"/>
    </row>
    <row r="253" ht="15.75" customHeight="1">
      <c r="A253" s="89"/>
      <c r="B253" s="182"/>
      <c r="C253" s="107"/>
      <c r="D253" s="95"/>
      <c r="E253" s="149"/>
      <c r="F253" s="149"/>
      <c r="G253" s="95"/>
      <c r="H253" s="149"/>
      <c r="I253" s="95"/>
      <c r="J253" s="95"/>
      <c r="K253" s="156"/>
      <c r="L253" s="156"/>
      <c r="M253" s="100"/>
      <c r="N253" s="127"/>
      <c r="O253" s="128"/>
      <c r="P253" s="95"/>
      <c r="Q253" s="137"/>
      <c r="R253" s="129"/>
      <c r="S253" s="95"/>
      <c r="T253" s="95"/>
      <c r="V253" s="107"/>
    </row>
    <row r="254" ht="15.75" customHeight="1">
      <c r="A254" s="89"/>
      <c r="B254" s="182"/>
      <c r="C254" s="149"/>
      <c r="D254" s="95"/>
      <c r="E254" s="149"/>
      <c r="F254" s="149"/>
      <c r="G254" s="95"/>
      <c r="H254" s="149"/>
      <c r="I254" s="95"/>
      <c r="J254" s="95"/>
      <c r="K254" s="154"/>
      <c r="L254" s="154"/>
      <c r="M254" s="100"/>
      <c r="N254" s="127"/>
      <c r="O254" s="128"/>
      <c r="P254" s="95"/>
      <c r="Q254" s="137"/>
      <c r="R254" s="129"/>
      <c r="S254" s="95"/>
      <c r="T254" s="95"/>
      <c r="V254" s="107"/>
    </row>
    <row r="255" ht="15.75" customHeight="1">
      <c r="A255" s="89"/>
      <c r="B255" s="182"/>
      <c r="C255" s="149"/>
      <c r="D255" s="95"/>
      <c r="E255" s="149"/>
      <c r="F255" s="149"/>
      <c r="G255" s="95"/>
      <c r="H255" s="149"/>
      <c r="I255" s="95"/>
      <c r="J255" s="95"/>
      <c r="K255" s="156"/>
      <c r="L255" s="156"/>
      <c r="M255" s="100"/>
      <c r="N255" s="127"/>
      <c r="O255" s="128"/>
      <c r="P255" s="95"/>
      <c r="Q255" s="137"/>
      <c r="R255" s="129"/>
      <c r="S255" s="95"/>
      <c r="T255" s="95"/>
      <c r="V255" s="107"/>
    </row>
    <row r="256" ht="15.75" customHeight="1">
      <c r="A256" s="89"/>
      <c r="B256" s="182"/>
      <c r="C256" s="149"/>
      <c r="D256" s="95"/>
      <c r="E256" s="149"/>
      <c r="F256" s="149"/>
      <c r="G256" s="95"/>
      <c r="H256" s="149"/>
      <c r="I256" s="95"/>
      <c r="J256" s="95"/>
      <c r="K256" s="154"/>
      <c r="L256" s="154"/>
      <c r="M256" s="100"/>
      <c r="N256" s="127"/>
      <c r="O256" s="128"/>
      <c r="P256" s="95"/>
      <c r="Q256" s="137"/>
      <c r="R256" s="129"/>
      <c r="S256" s="95"/>
      <c r="T256" s="95"/>
      <c r="V256" s="107"/>
    </row>
    <row r="257" ht="15.75" customHeight="1">
      <c r="A257" s="89"/>
      <c r="B257" s="182"/>
      <c r="C257" s="149"/>
      <c r="D257" s="95"/>
      <c r="E257" s="149"/>
      <c r="F257" s="149"/>
      <c r="G257" s="95"/>
      <c r="H257" s="149"/>
      <c r="I257" s="95"/>
      <c r="J257" s="95"/>
      <c r="K257" s="156"/>
      <c r="L257" s="156"/>
      <c r="M257" s="100"/>
      <c r="N257" s="127"/>
      <c r="O257" s="128"/>
      <c r="P257" s="95"/>
      <c r="Q257" s="137"/>
      <c r="R257" s="129"/>
      <c r="S257" s="95"/>
      <c r="T257" s="95"/>
      <c r="V257" s="107"/>
    </row>
    <row r="258" ht="15.75" customHeight="1">
      <c r="A258" s="89"/>
      <c r="B258" s="182"/>
      <c r="C258" s="149"/>
      <c r="D258" s="95"/>
      <c r="E258" s="149"/>
      <c r="F258" s="149"/>
      <c r="G258" s="95"/>
      <c r="H258" s="149"/>
      <c r="I258" s="95"/>
      <c r="J258" s="95"/>
      <c r="K258" s="154"/>
      <c r="L258" s="154"/>
      <c r="M258" s="100"/>
      <c r="N258" s="127"/>
      <c r="O258" s="128"/>
      <c r="P258" s="95"/>
      <c r="Q258" s="137"/>
      <c r="R258" s="129"/>
      <c r="S258" s="95"/>
      <c r="T258" s="95"/>
      <c r="V258" s="107"/>
    </row>
    <row r="259" ht="15.75" customHeight="1">
      <c r="A259" s="89"/>
      <c r="B259" s="182"/>
      <c r="C259" s="107"/>
      <c r="D259" s="95"/>
      <c r="E259" s="149"/>
      <c r="F259" s="149"/>
      <c r="G259" s="95"/>
      <c r="H259" s="149"/>
      <c r="I259" s="95"/>
      <c r="J259" s="95"/>
      <c r="K259" s="156"/>
      <c r="L259" s="156"/>
      <c r="M259" s="100"/>
      <c r="N259" s="127"/>
      <c r="O259" s="128"/>
      <c r="P259" s="95"/>
      <c r="Q259" s="137"/>
      <c r="R259" s="129"/>
      <c r="S259" s="95"/>
      <c r="T259" s="95"/>
      <c r="V259" s="107"/>
    </row>
    <row r="260" ht="15.75" customHeight="1">
      <c r="A260" s="89"/>
      <c r="B260" s="182"/>
      <c r="C260" s="149"/>
      <c r="D260" s="95"/>
      <c r="E260" s="149"/>
      <c r="F260" s="149"/>
      <c r="G260" s="95"/>
      <c r="H260" s="149"/>
      <c r="I260" s="95"/>
      <c r="J260" s="95"/>
      <c r="K260" s="154"/>
      <c r="L260" s="154"/>
      <c r="M260" s="100"/>
      <c r="N260" s="127"/>
      <c r="O260" s="128"/>
      <c r="P260" s="95"/>
      <c r="Q260" s="137"/>
      <c r="R260" s="129"/>
      <c r="S260" s="95"/>
      <c r="T260" s="95"/>
      <c r="V260" s="107"/>
    </row>
    <row r="261" ht="15.75" customHeight="1">
      <c r="A261" s="89"/>
      <c r="B261" s="182"/>
      <c r="C261" s="149"/>
      <c r="D261" s="95"/>
      <c r="E261" s="149"/>
      <c r="F261" s="149"/>
      <c r="G261" s="95"/>
      <c r="H261" s="149"/>
      <c r="I261" s="95"/>
      <c r="J261" s="95"/>
      <c r="K261" s="156"/>
      <c r="L261" s="156"/>
      <c r="M261" s="100"/>
      <c r="N261" s="127"/>
      <c r="O261" s="128"/>
      <c r="P261" s="95"/>
      <c r="Q261" s="137"/>
      <c r="R261" s="129"/>
      <c r="S261" s="95"/>
      <c r="T261" s="95"/>
      <c r="V261" s="107"/>
    </row>
    <row r="262" ht="15.75" customHeight="1">
      <c r="A262" s="89"/>
      <c r="B262" s="182"/>
      <c r="C262" s="149"/>
      <c r="D262" s="95"/>
      <c r="E262" s="149"/>
      <c r="F262" s="149"/>
      <c r="G262" s="95"/>
      <c r="H262" s="149"/>
      <c r="I262" s="95"/>
      <c r="J262" s="95"/>
      <c r="K262" s="154"/>
      <c r="L262" s="154"/>
      <c r="M262" s="100"/>
      <c r="N262" s="127"/>
      <c r="O262" s="128"/>
      <c r="P262" s="95"/>
      <c r="Q262" s="137"/>
      <c r="R262" s="129"/>
      <c r="S262" s="95"/>
      <c r="T262" s="95"/>
      <c r="V262" s="107"/>
    </row>
    <row r="263" ht="15.75" customHeight="1">
      <c r="A263" s="89"/>
      <c r="B263" s="182"/>
      <c r="C263" s="149"/>
      <c r="D263" s="95"/>
      <c r="E263" s="149"/>
      <c r="F263" s="149"/>
      <c r="G263" s="95"/>
      <c r="H263" s="149"/>
      <c r="I263" s="95"/>
      <c r="J263" s="95"/>
      <c r="K263" s="156"/>
      <c r="L263" s="156"/>
      <c r="M263" s="100"/>
      <c r="N263" s="127"/>
      <c r="O263" s="128"/>
      <c r="P263" s="95"/>
      <c r="Q263" s="137"/>
      <c r="R263" s="129"/>
      <c r="S263" s="95"/>
      <c r="T263" s="95"/>
      <c r="V263" s="107"/>
    </row>
    <row r="264" ht="15.75" customHeight="1">
      <c r="A264" s="89"/>
      <c r="B264" s="182"/>
      <c r="C264" s="149"/>
      <c r="D264" s="95"/>
      <c r="E264" s="149"/>
      <c r="F264" s="149"/>
      <c r="G264" s="95"/>
      <c r="H264" s="149"/>
      <c r="I264" s="95"/>
      <c r="J264" s="95"/>
      <c r="K264" s="154"/>
      <c r="L264" s="154"/>
      <c r="M264" s="100"/>
      <c r="N264" s="127"/>
      <c r="O264" s="128"/>
      <c r="P264" s="95"/>
      <c r="Q264" s="137"/>
      <c r="R264" s="129"/>
      <c r="S264" s="95"/>
      <c r="T264" s="95"/>
      <c r="V264" s="107"/>
    </row>
    <row r="265" ht="15.75" customHeight="1">
      <c r="A265" s="89"/>
      <c r="B265" s="182"/>
      <c r="C265" s="107"/>
      <c r="D265" s="95"/>
      <c r="E265" s="149"/>
      <c r="F265" s="149"/>
      <c r="G265" s="95"/>
      <c r="H265" s="149"/>
      <c r="I265" s="95"/>
      <c r="J265" s="95"/>
      <c r="K265" s="156"/>
      <c r="L265" s="156"/>
      <c r="M265" s="100"/>
      <c r="N265" s="127"/>
      <c r="O265" s="128"/>
      <c r="P265" s="95"/>
      <c r="Q265" s="137"/>
      <c r="R265" s="129"/>
      <c r="S265" s="95"/>
      <c r="T265" s="95"/>
      <c r="V265" s="107"/>
    </row>
    <row r="266" ht="15.75" customHeight="1">
      <c r="A266" s="89"/>
      <c r="B266" s="182"/>
      <c r="C266" s="149"/>
      <c r="D266" s="95"/>
      <c r="E266" s="149"/>
      <c r="F266" s="149"/>
      <c r="G266" s="95"/>
      <c r="H266" s="149"/>
      <c r="I266" s="95"/>
      <c r="J266" s="95"/>
      <c r="K266" s="154"/>
      <c r="L266" s="154"/>
      <c r="M266" s="100"/>
      <c r="N266" s="127"/>
      <c r="O266" s="128"/>
      <c r="P266" s="95"/>
      <c r="Q266" s="137"/>
      <c r="R266" s="129"/>
      <c r="S266" s="95"/>
      <c r="T266" s="95"/>
      <c r="V266" s="107"/>
    </row>
    <row r="267" ht="15.75" customHeight="1">
      <c r="A267" s="89"/>
      <c r="B267" s="182"/>
      <c r="C267" s="149"/>
      <c r="D267" s="95"/>
      <c r="E267" s="149"/>
      <c r="F267" s="149"/>
      <c r="G267" s="95"/>
      <c r="H267" s="149"/>
      <c r="I267" s="95"/>
      <c r="J267" s="95"/>
      <c r="K267" s="156"/>
      <c r="L267" s="156"/>
      <c r="M267" s="100"/>
      <c r="N267" s="127"/>
      <c r="O267" s="128"/>
      <c r="P267" s="95"/>
      <c r="Q267" s="137"/>
      <c r="R267" s="129"/>
      <c r="S267" s="95"/>
      <c r="T267" s="95"/>
      <c r="V267" s="107"/>
    </row>
    <row r="268" ht="15.75" customHeight="1">
      <c r="A268" s="89"/>
      <c r="B268" s="182"/>
      <c r="C268" s="149"/>
      <c r="D268" s="95"/>
      <c r="E268" s="149"/>
      <c r="F268" s="149"/>
      <c r="G268" s="95"/>
      <c r="H268" s="149"/>
      <c r="I268" s="95"/>
      <c r="J268" s="95"/>
      <c r="K268" s="154"/>
      <c r="L268" s="154"/>
      <c r="M268" s="100"/>
      <c r="N268" s="127"/>
      <c r="O268" s="128"/>
      <c r="P268" s="95"/>
      <c r="Q268" s="137"/>
      <c r="R268" s="129"/>
      <c r="S268" s="95"/>
      <c r="T268" s="95"/>
      <c r="V268" s="107"/>
    </row>
    <row r="269" ht="15.75" customHeight="1">
      <c r="A269" s="89"/>
      <c r="B269" s="182"/>
      <c r="C269" s="149"/>
      <c r="D269" s="95"/>
      <c r="E269" s="149"/>
      <c r="F269" s="149"/>
      <c r="G269" s="95"/>
      <c r="H269" s="149"/>
      <c r="I269" s="95"/>
      <c r="J269" s="95"/>
      <c r="K269" s="156"/>
      <c r="L269" s="156"/>
      <c r="M269" s="100"/>
      <c r="N269" s="127"/>
      <c r="O269" s="128"/>
      <c r="P269" s="95"/>
      <c r="Q269" s="137"/>
      <c r="R269" s="129"/>
      <c r="S269" s="95"/>
      <c r="T269" s="95"/>
      <c r="V269" s="107"/>
    </row>
    <row r="270" ht="15.75" customHeight="1">
      <c r="A270" s="89"/>
      <c r="B270" s="182"/>
      <c r="C270" s="149"/>
      <c r="D270" s="95"/>
      <c r="E270" s="149"/>
      <c r="F270" s="149"/>
      <c r="G270" s="95"/>
      <c r="H270" s="149"/>
      <c r="I270" s="95"/>
      <c r="J270" s="95"/>
      <c r="K270" s="154"/>
      <c r="L270" s="154"/>
      <c r="M270" s="100"/>
      <c r="N270" s="127"/>
      <c r="O270" s="128"/>
      <c r="P270" s="95"/>
      <c r="Q270" s="137"/>
      <c r="R270" s="129"/>
      <c r="S270" s="95"/>
      <c r="T270" s="95"/>
      <c r="V270" s="107"/>
    </row>
    <row r="271" ht="15.75" customHeight="1">
      <c r="A271" s="89"/>
      <c r="B271" s="182"/>
      <c r="C271" s="107"/>
      <c r="D271" s="95"/>
      <c r="E271" s="149"/>
      <c r="F271" s="149"/>
      <c r="G271" s="95"/>
      <c r="H271" s="149"/>
      <c r="I271" s="95"/>
      <c r="J271" s="95"/>
      <c r="K271" s="156"/>
      <c r="L271" s="156"/>
      <c r="M271" s="100"/>
      <c r="N271" s="127"/>
      <c r="O271" s="128"/>
      <c r="P271" s="95"/>
      <c r="Q271" s="137"/>
      <c r="R271" s="129"/>
      <c r="S271" s="95"/>
      <c r="T271" s="95"/>
      <c r="V271" s="107"/>
    </row>
    <row r="272" ht="15.75" customHeight="1">
      <c r="A272" s="89"/>
      <c r="B272" s="182"/>
      <c r="C272" s="149"/>
      <c r="D272" s="95"/>
      <c r="E272" s="149"/>
      <c r="F272" s="149"/>
      <c r="G272" s="95"/>
      <c r="H272" s="149"/>
      <c r="I272" s="95"/>
      <c r="J272" s="95"/>
      <c r="K272" s="154"/>
      <c r="L272" s="154"/>
      <c r="M272" s="100"/>
      <c r="N272" s="127"/>
      <c r="O272" s="128"/>
      <c r="P272" s="95"/>
      <c r="Q272" s="137"/>
      <c r="R272" s="129"/>
      <c r="S272" s="95"/>
      <c r="T272" s="95"/>
      <c r="V272" s="107"/>
    </row>
    <row r="273" ht="15.75" customHeight="1">
      <c r="A273" s="89"/>
      <c r="B273" s="182"/>
      <c r="C273" s="149"/>
      <c r="D273" s="95"/>
      <c r="E273" s="149"/>
      <c r="F273" s="149"/>
      <c r="G273" s="95"/>
      <c r="H273" s="149"/>
      <c r="I273" s="95"/>
      <c r="J273" s="95"/>
      <c r="K273" s="156"/>
      <c r="L273" s="156"/>
      <c r="M273" s="100"/>
      <c r="N273" s="127"/>
      <c r="O273" s="128"/>
      <c r="P273" s="95"/>
      <c r="Q273" s="137"/>
      <c r="R273" s="129"/>
      <c r="S273" s="95"/>
      <c r="T273" s="95"/>
      <c r="V273" s="107"/>
    </row>
    <row r="274" ht="15.75" customHeight="1">
      <c r="A274" s="89"/>
      <c r="B274" s="182"/>
      <c r="C274" s="149"/>
      <c r="D274" s="95"/>
      <c r="E274" s="149"/>
      <c r="F274" s="149"/>
      <c r="G274" s="95"/>
      <c r="H274" s="149"/>
      <c r="I274" s="95"/>
      <c r="J274" s="95"/>
      <c r="K274" s="154"/>
      <c r="L274" s="154"/>
      <c r="M274" s="100"/>
      <c r="N274" s="127"/>
      <c r="O274" s="128"/>
      <c r="P274" s="95"/>
      <c r="Q274" s="137"/>
      <c r="R274" s="129"/>
      <c r="S274" s="95"/>
      <c r="T274" s="95"/>
      <c r="V274" s="107"/>
    </row>
    <row r="275" ht="15.75" customHeight="1">
      <c r="A275" s="89"/>
      <c r="B275" s="182"/>
      <c r="C275" s="149"/>
      <c r="D275" s="95"/>
      <c r="E275" s="149"/>
      <c r="F275" s="149"/>
      <c r="G275" s="95"/>
      <c r="H275" s="149"/>
      <c r="I275" s="95"/>
      <c r="J275" s="95"/>
      <c r="K275" s="156"/>
      <c r="L275" s="156"/>
      <c r="M275" s="100"/>
      <c r="N275" s="127"/>
      <c r="O275" s="128"/>
      <c r="P275" s="95"/>
      <c r="Q275" s="137"/>
      <c r="R275" s="129"/>
      <c r="S275" s="95"/>
      <c r="T275" s="95"/>
      <c r="V275" s="107"/>
    </row>
    <row r="276" ht="15.75" customHeight="1">
      <c r="A276" s="89"/>
      <c r="B276" s="182"/>
      <c r="C276" s="149"/>
      <c r="D276" s="95"/>
      <c r="E276" s="149"/>
      <c r="F276" s="149"/>
      <c r="G276" s="95"/>
      <c r="H276" s="149"/>
      <c r="I276" s="95"/>
      <c r="J276" s="95"/>
      <c r="K276" s="154"/>
      <c r="L276" s="154"/>
      <c r="M276" s="100"/>
      <c r="N276" s="127"/>
      <c r="O276" s="128"/>
      <c r="P276" s="95"/>
      <c r="Q276" s="137"/>
      <c r="R276" s="129"/>
      <c r="S276" s="95"/>
      <c r="T276" s="95"/>
      <c r="V276" s="107"/>
    </row>
    <row r="277" ht="15.75" customHeight="1">
      <c r="A277" s="89"/>
      <c r="B277" s="182"/>
      <c r="C277" s="107"/>
      <c r="D277" s="95"/>
      <c r="E277" s="149"/>
      <c r="F277" s="149"/>
      <c r="G277" s="95"/>
      <c r="H277" s="149"/>
      <c r="I277" s="95"/>
      <c r="J277" s="95"/>
      <c r="K277" s="156"/>
      <c r="L277" s="156"/>
      <c r="M277" s="100"/>
      <c r="N277" s="127"/>
      <c r="O277" s="128"/>
      <c r="P277" s="95"/>
      <c r="Q277" s="137"/>
      <c r="R277" s="129"/>
      <c r="S277" s="95"/>
      <c r="T277" s="95"/>
      <c r="V277" s="107"/>
    </row>
    <row r="278" ht="15.75" customHeight="1">
      <c r="A278" s="89"/>
      <c r="B278" s="182"/>
      <c r="C278" s="149"/>
      <c r="D278" s="95"/>
      <c r="E278" s="149"/>
      <c r="F278" s="149"/>
      <c r="G278" s="95"/>
      <c r="H278" s="149"/>
      <c r="I278" s="95"/>
      <c r="J278" s="95"/>
      <c r="K278" s="154"/>
      <c r="L278" s="154"/>
      <c r="M278" s="100"/>
      <c r="N278" s="127"/>
      <c r="O278" s="128"/>
      <c r="P278" s="95"/>
      <c r="Q278" s="137"/>
      <c r="R278" s="129"/>
      <c r="S278" s="95"/>
      <c r="T278" s="95"/>
      <c r="V278" s="107"/>
    </row>
    <row r="279" ht="15.75" customHeight="1">
      <c r="A279" s="89"/>
      <c r="B279" s="182"/>
      <c r="C279" s="149"/>
      <c r="D279" s="95"/>
      <c r="E279" s="149"/>
      <c r="F279" s="149"/>
      <c r="G279" s="95"/>
      <c r="H279" s="149"/>
      <c r="I279" s="95"/>
      <c r="J279" s="95"/>
      <c r="K279" s="156"/>
      <c r="L279" s="156"/>
      <c r="M279" s="100"/>
      <c r="N279" s="127"/>
      <c r="O279" s="128"/>
      <c r="P279" s="95"/>
      <c r="Q279" s="137"/>
      <c r="R279" s="129"/>
      <c r="S279" s="95"/>
      <c r="T279" s="95"/>
      <c r="V279" s="107"/>
    </row>
    <row r="280" ht="15.75" customHeight="1">
      <c r="A280" s="89"/>
      <c r="B280" s="182"/>
      <c r="C280" s="149"/>
      <c r="D280" s="95"/>
      <c r="E280" s="149"/>
      <c r="F280" s="149"/>
      <c r="G280" s="95"/>
      <c r="H280" s="149"/>
      <c r="I280" s="95"/>
      <c r="J280" s="95"/>
      <c r="K280" s="154"/>
      <c r="L280" s="154"/>
      <c r="M280" s="100"/>
      <c r="N280" s="127"/>
      <c r="O280" s="128"/>
      <c r="P280" s="95"/>
      <c r="Q280" s="137"/>
      <c r="R280" s="129"/>
      <c r="S280" s="95"/>
      <c r="T280" s="95"/>
      <c r="V280" s="107"/>
    </row>
    <row r="281" ht="15.75" customHeight="1">
      <c r="A281" s="89"/>
      <c r="B281" s="182"/>
      <c r="C281" s="149"/>
      <c r="D281" s="95"/>
      <c r="E281" s="149"/>
      <c r="F281" s="149"/>
      <c r="G281" s="95"/>
      <c r="H281" s="149"/>
      <c r="I281" s="95"/>
      <c r="J281" s="95"/>
      <c r="K281" s="156"/>
      <c r="L281" s="156"/>
      <c r="M281" s="100"/>
      <c r="N281" s="127"/>
      <c r="O281" s="128"/>
      <c r="P281" s="95"/>
      <c r="Q281" s="137"/>
      <c r="R281" s="129"/>
      <c r="S281" s="95"/>
      <c r="T281" s="95"/>
      <c r="V281" s="107"/>
    </row>
    <row r="282" ht="15.75" customHeight="1">
      <c r="A282" s="89"/>
      <c r="B282" s="182"/>
      <c r="C282" s="149"/>
      <c r="D282" s="95"/>
      <c r="E282" s="149"/>
      <c r="F282" s="149"/>
      <c r="G282" s="95"/>
      <c r="H282" s="149"/>
      <c r="I282" s="95"/>
      <c r="J282" s="95"/>
      <c r="K282" s="154"/>
      <c r="L282" s="154"/>
      <c r="M282" s="100"/>
      <c r="N282" s="127"/>
      <c r="O282" s="128"/>
      <c r="P282" s="95"/>
      <c r="Q282" s="137"/>
      <c r="R282" s="129"/>
      <c r="S282" s="95"/>
      <c r="T282" s="95"/>
      <c r="V282" s="107"/>
    </row>
    <row r="283" ht="15.75" customHeight="1">
      <c r="A283" s="89"/>
      <c r="B283" s="182"/>
      <c r="C283" s="107"/>
      <c r="D283" s="95"/>
      <c r="E283" s="149"/>
      <c r="F283" s="149"/>
      <c r="G283" s="95"/>
      <c r="H283" s="149"/>
      <c r="I283" s="95"/>
      <c r="J283" s="95"/>
      <c r="K283" s="156"/>
      <c r="L283" s="156"/>
      <c r="M283" s="100"/>
      <c r="N283" s="127"/>
      <c r="O283" s="128"/>
      <c r="P283" s="95"/>
      <c r="Q283" s="137"/>
      <c r="R283" s="129"/>
      <c r="S283" s="95"/>
      <c r="T283" s="95"/>
      <c r="V283" s="107"/>
    </row>
    <row r="284" ht="15.75" customHeight="1">
      <c r="A284" s="89"/>
      <c r="B284" s="182"/>
      <c r="C284" s="149"/>
      <c r="D284" s="95"/>
      <c r="E284" s="149"/>
      <c r="F284" s="149"/>
      <c r="G284" s="95"/>
      <c r="H284" s="149"/>
      <c r="I284" s="95"/>
      <c r="J284" s="95"/>
      <c r="K284" s="154"/>
      <c r="L284" s="154"/>
      <c r="M284" s="100"/>
      <c r="N284" s="127"/>
      <c r="O284" s="128"/>
      <c r="P284" s="95"/>
      <c r="Q284" s="137"/>
      <c r="R284" s="129"/>
      <c r="S284" s="95"/>
      <c r="T284" s="95"/>
      <c r="V284" s="107"/>
    </row>
    <row r="285" ht="15.75" customHeight="1">
      <c r="A285" s="89"/>
      <c r="B285" s="182"/>
      <c r="C285" s="149"/>
      <c r="D285" s="95"/>
      <c r="E285" s="149"/>
      <c r="F285" s="149"/>
      <c r="G285" s="95"/>
      <c r="H285" s="149"/>
      <c r="I285" s="95"/>
      <c r="J285" s="95"/>
      <c r="K285" s="156"/>
      <c r="L285" s="156"/>
      <c r="M285" s="100"/>
      <c r="N285" s="127"/>
      <c r="O285" s="128"/>
      <c r="P285" s="95"/>
      <c r="Q285" s="137"/>
      <c r="R285" s="129"/>
      <c r="S285" s="95"/>
      <c r="T285" s="95"/>
      <c r="V285" s="107"/>
    </row>
    <row r="286" ht="15.75" customHeight="1">
      <c r="A286" s="89"/>
      <c r="B286" s="182"/>
      <c r="C286" s="149"/>
      <c r="D286" s="95"/>
      <c r="E286" s="149"/>
      <c r="F286" s="149"/>
      <c r="G286" s="95"/>
      <c r="H286" s="149"/>
      <c r="I286" s="95"/>
      <c r="J286" s="95"/>
      <c r="K286" s="154"/>
      <c r="L286" s="154"/>
      <c r="M286" s="100"/>
      <c r="N286" s="127"/>
      <c r="O286" s="128"/>
      <c r="P286" s="95"/>
      <c r="Q286" s="137"/>
      <c r="R286" s="129"/>
      <c r="S286" s="95"/>
      <c r="T286" s="95"/>
      <c r="V286" s="107"/>
    </row>
    <row r="287" ht="15.75" customHeight="1">
      <c r="A287" s="89"/>
      <c r="B287" s="182"/>
      <c r="C287" s="149"/>
      <c r="D287" s="95"/>
      <c r="E287" s="149"/>
      <c r="F287" s="149"/>
      <c r="G287" s="95"/>
      <c r="H287" s="149"/>
      <c r="I287" s="95"/>
      <c r="J287" s="95"/>
      <c r="K287" s="156"/>
      <c r="L287" s="156"/>
      <c r="M287" s="100"/>
      <c r="N287" s="127"/>
      <c r="O287" s="128"/>
      <c r="P287" s="95"/>
      <c r="Q287" s="137"/>
      <c r="R287" s="129"/>
      <c r="S287" s="95"/>
      <c r="T287" s="95"/>
      <c r="V287" s="107"/>
    </row>
    <row r="288" ht="15.75" customHeight="1">
      <c r="A288" s="89"/>
      <c r="B288" s="182"/>
      <c r="C288" s="149"/>
      <c r="D288" s="95"/>
      <c r="E288" s="149"/>
      <c r="F288" s="149"/>
      <c r="G288" s="95"/>
      <c r="H288" s="149"/>
      <c r="I288" s="95"/>
      <c r="J288" s="95"/>
      <c r="K288" s="154"/>
      <c r="L288" s="154"/>
      <c r="M288" s="100"/>
      <c r="N288" s="127"/>
      <c r="O288" s="128"/>
      <c r="P288" s="95"/>
      <c r="Q288" s="137"/>
      <c r="R288" s="129"/>
      <c r="S288" s="95"/>
      <c r="T288" s="95"/>
      <c r="V288" s="107"/>
    </row>
    <row r="289" ht="15.75" customHeight="1">
      <c r="A289" s="89"/>
      <c r="B289" s="182"/>
      <c r="C289" s="107"/>
      <c r="D289" s="95"/>
      <c r="E289" s="149"/>
      <c r="F289" s="149"/>
      <c r="G289" s="95"/>
      <c r="H289" s="149"/>
      <c r="I289" s="95"/>
      <c r="J289" s="95"/>
      <c r="K289" s="156"/>
      <c r="L289" s="156"/>
      <c r="M289" s="100"/>
      <c r="N289" s="127"/>
      <c r="O289" s="128"/>
      <c r="P289" s="95"/>
      <c r="Q289" s="137"/>
      <c r="R289" s="129"/>
      <c r="S289" s="95"/>
      <c r="T289" s="95"/>
      <c r="V289" s="107"/>
    </row>
    <row r="290" ht="15.75" customHeight="1">
      <c r="A290" s="89"/>
      <c r="B290" s="182"/>
      <c r="C290" s="149"/>
      <c r="D290" s="95"/>
      <c r="E290" s="149"/>
      <c r="F290" s="149"/>
      <c r="G290" s="95"/>
      <c r="H290" s="149"/>
      <c r="I290" s="95"/>
      <c r="J290" s="95"/>
      <c r="K290" s="154"/>
      <c r="L290" s="154"/>
      <c r="M290" s="100"/>
      <c r="N290" s="127"/>
      <c r="O290" s="128"/>
      <c r="P290" s="95"/>
      <c r="Q290" s="137"/>
      <c r="R290" s="129"/>
      <c r="S290" s="95"/>
      <c r="T290" s="95"/>
      <c r="V290" s="107"/>
    </row>
    <row r="291" ht="15.75" customHeight="1">
      <c r="A291" s="89"/>
      <c r="B291" s="182"/>
      <c r="C291" s="149"/>
      <c r="D291" s="95"/>
      <c r="E291" s="149"/>
      <c r="F291" s="149"/>
      <c r="G291" s="95"/>
      <c r="H291" s="149"/>
      <c r="I291" s="95"/>
      <c r="J291" s="95"/>
      <c r="K291" s="156"/>
      <c r="L291" s="156"/>
      <c r="M291" s="100"/>
      <c r="N291" s="127"/>
      <c r="O291" s="128"/>
      <c r="P291" s="95"/>
      <c r="Q291" s="137"/>
      <c r="R291" s="129"/>
      <c r="S291" s="95"/>
      <c r="T291" s="95"/>
      <c r="V291" s="107"/>
    </row>
    <row r="292" ht="15.75" customHeight="1">
      <c r="A292" s="89"/>
      <c r="B292" s="182"/>
      <c r="C292" s="149"/>
      <c r="D292" s="95"/>
      <c r="E292" s="149"/>
      <c r="F292" s="149"/>
      <c r="G292" s="95"/>
      <c r="H292" s="149"/>
      <c r="I292" s="95"/>
      <c r="J292" s="95"/>
      <c r="K292" s="154"/>
      <c r="L292" s="154"/>
      <c r="M292" s="100"/>
      <c r="N292" s="127"/>
      <c r="O292" s="128"/>
      <c r="P292" s="95"/>
      <c r="Q292" s="137"/>
      <c r="R292" s="129"/>
      <c r="S292" s="95"/>
      <c r="T292" s="95"/>
      <c r="V292" s="107"/>
    </row>
    <row r="293" ht="15.75" customHeight="1">
      <c r="A293" s="89"/>
      <c r="B293" s="182"/>
      <c r="C293" s="149"/>
      <c r="D293" s="95"/>
      <c r="E293" s="149"/>
      <c r="F293" s="149"/>
      <c r="G293" s="95"/>
      <c r="H293" s="149"/>
      <c r="I293" s="95"/>
      <c r="J293" s="95"/>
      <c r="K293" s="156"/>
      <c r="L293" s="156"/>
      <c r="M293" s="100"/>
      <c r="N293" s="127"/>
      <c r="O293" s="128"/>
      <c r="P293" s="95"/>
      <c r="Q293" s="137"/>
      <c r="R293" s="129"/>
      <c r="S293" s="95"/>
      <c r="T293" s="95"/>
      <c r="V293" s="107"/>
    </row>
    <row r="294" ht="15.75" customHeight="1">
      <c r="A294" s="89"/>
      <c r="B294" s="182"/>
      <c r="C294" s="149"/>
      <c r="D294" s="95"/>
      <c r="E294" s="149"/>
      <c r="F294" s="149"/>
      <c r="G294" s="95"/>
      <c r="H294" s="149"/>
      <c r="I294" s="95"/>
      <c r="J294" s="95"/>
      <c r="K294" s="154"/>
      <c r="L294" s="154"/>
      <c r="M294" s="100"/>
      <c r="N294" s="127"/>
      <c r="O294" s="128"/>
      <c r="P294" s="95"/>
      <c r="Q294" s="137"/>
      <c r="R294" s="129"/>
      <c r="S294" s="95"/>
      <c r="T294" s="95"/>
      <c r="V294" s="107"/>
    </row>
    <row r="295" ht="15.75" customHeight="1">
      <c r="A295" s="89"/>
      <c r="B295" s="182"/>
      <c r="C295" s="107"/>
      <c r="D295" s="95"/>
      <c r="E295" s="149"/>
      <c r="F295" s="149"/>
      <c r="G295" s="95"/>
      <c r="H295" s="149"/>
      <c r="I295" s="95"/>
      <c r="J295" s="95"/>
      <c r="K295" s="156"/>
      <c r="L295" s="156"/>
      <c r="M295" s="100"/>
      <c r="N295" s="127"/>
      <c r="O295" s="128"/>
      <c r="P295" s="95"/>
      <c r="Q295" s="137"/>
      <c r="R295" s="129"/>
      <c r="S295" s="95"/>
      <c r="T295" s="95"/>
      <c r="V295" s="107"/>
    </row>
    <row r="296" ht="15.75" customHeight="1">
      <c r="A296" s="89"/>
      <c r="B296" s="182"/>
      <c r="C296" s="149"/>
      <c r="D296" s="95"/>
      <c r="E296" s="149"/>
      <c r="F296" s="149"/>
      <c r="G296" s="95"/>
      <c r="H296" s="149"/>
      <c r="I296" s="95"/>
      <c r="J296" s="95"/>
      <c r="K296" s="154"/>
      <c r="L296" s="154"/>
      <c r="M296" s="100"/>
      <c r="N296" s="127"/>
      <c r="O296" s="128"/>
      <c r="P296" s="95"/>
      <c r="Q296" s="137"/>
      <c r="R296" s="129"/>
      <c r="S296" s="95"/>
      <c r="T296" s="95"/>
      <c r="V296" s="107"/>
    </row>
    <row r="297" ht="15.75" customHeight="1">
      <c r="A297" s="89"/>
      <c r="B297" s="182"/>
      <c r="C297" s="149"/>
      <c r="D297" s="95"/>
      <c r="E297" s="149"/>
      <c r="F297" s="149"/>
      <c r="G297" s="95"/>
      <c r="H297" s="149"/>
      <c r="I297" s="95"/>
      <c r="J297" s="95"/>
      <c r="K297" s="156"/>
      <c r="L297" s="156"/>
      <c r="M297" s="100"/>
      <c r="N297" s="127"/>
      <c r="O297" s="128"/>
      <c r="P297" s="95"/>
      <c r="Q297" s="137"/>
      <c r="R297" s="129"/>
      <c r="S297" s="95"/>
      <c r="T297" s="95"/>
      <c r="V297" s="107"/>
    </row>
    <row r="298" ht="15.75" customHeight="1">
      <c r="A298" s="89"/>
      <c r="B298" s="182"/>
      <c r="C298" s="149"/>
      <c r="D298" s="95"/>
      <c r="E298" s="149"/>
      <c r="F298" s="149"/>
      <c r="G298" s="95"/>
      <c r="H298" s="149"/>
      <c r="I298" s="95"/>
      <c r="J298" s="95"/>
      <c r="K298" s="154"/>
      <c r="L298" s="154"/>
      <c r="M298" s="100"/>
      <c r="N298" s="127"/>
      <c r="O298" s="128"/>
      <c r="P298" s="95"/>
      <c r="Q298" s="137"/>
      <c r="R298" s="129"/>
      <c r="S298" s="95"/>
      <c r="T298" s="95"/>
      <c r="V298" s="107"/>
    </row>
    <row r="299" ht="15.75" customHeight="1">
      <c r="A299" s="89"/>
      <c r="B299" s="182"/>
      <c r="C299" s="149"/>
      <c r="D299" s="95"/>
      <c r="E299" s="149"/>
      <c r="F299" s="149"/>
      <c r="G299" s="95"/>
      <c r="H299" s="149"/>
      <c r="I299" s="95"/>
      <c r="J299" s="95"/>
      <c r="K299" s="156"/>
      <c r="L299" s="156"/>
      <c r="M299" s="100"/>
      <c r="N299" s="127"/>
      <c r="O299" s="128"/>
      <c r="P299" s="95"/>
      <c r="Q299" s="137"/>
      <c r="R299" s="129"/>
      <c r="S299" s="95"/>
      <c r="T299" s="95"/>
      <c r="V299" s="107"/>
    </row>
    <row r="300" ht="15.75" customHeight="1">
      <c r="A300" s="89"/>
      <c r="B300" s="182"/>
      <c r="C300" s="149"/>
      <c r="D300" s="95"/>
      <c r="E300" s="149"/>
      <c r="F300" s="149"/>
      <c r="G300" s="95"/>
      <c r="H300" s="149"/>
      <c r="I300" s="95"/>
      <c r="J300" s="95"/>
      <c r="K300" s="154"/>
      <c r="L300" s="154"/>
      <c r="M300" s="100"/>
      <c r="N300" s="127"/>
      <c r="O300" s="128"/>
      <c r="P300" s="95"/>
      <c r="Q300" s="137"/>
      <c r="R300" s="129"/>
      <c r="S300" s="95"/>
      <c r="T300" s="95"/>
      <c r="V300" s="107"/>
    </row>
    <row r="301" ht="15.75" customHeight="1">
      <c r="A301" s="89"/>
      <c r="B301" s="182"/>
      <c r="C301" s="107"/>
      <c r="D301" s="95"/>
      <c r="E301" s="149"/>
      <c r="F301" s="149"/>
      <c r="G301" s="95"/>
      <c r="H301" s="149"/>
      <c r="I301" s="95"/>
      <c r="J301" s="95"/>
      <c r="K301" s="156"/>
      <c r="L301" s="156"/>
      <c r="M301" s="100"/>
      <c r="N301" s="127"/>
      <c r="O301" s="128"/>
      <c r="P301" s="95"/>
      <c r="Q301" s="137"/>
      <c r="R301" s="129"/>
      <c r="S301" s="95"/>
      <c r="T301" s="95"/>
      <c r="V301" s="107"/>
    </row>
    <row r="302" ht="15.75" customHeight="1">
      <c r="A302" s="89"/>
      <c r="B302" s="182"/>
      <c r="C302" s="149"/>
      <c r="D302" s="95"/>
      <c r="E302" s="149"/>
      <c r="F302" s="149"/>
      <c r="G302" s="95"/>
      <c r="H302" s="149"/>
      <c r="I302" s="95"/>
      <c r="J302" s="95"/>
      <c r="K302" s="154"/>
      <c r="L302" s="154"/>
      <c r="M302" s="100"/>
      <c r="N302" s="127"/>
      <c r="O302" s="128"/>
      <c r="P302" s="95"/>
      <c r="Q302" s="137"/>
      <c r="R302" s="129"/>
      <c r="S302" s="95"/>
      <c r="T302" s="95"/>
      <c r="V302" s="107"/>
    </row>
    <row r="303" ht="15.75" customHeight="1">
      <c r="A303" s="89"/>
      <c r="B303" s="182"/>
      <c r="C303" s="149"/>
      <c r="D303" s="95"/>
      <c r="E303" s="149"/>
      <c r="F303" s="149"/>
      <c r="G303" s="95"/>
      <c r="H303" s="149"/>
      <c r="I303" s="95"/>
      <c r="J303" s="95"/>
      <c r="K303" s="156"/>
      <c r="L303" s="156"/>
      <c r="M303" s="100"/>
      <c r="N303" s="127"/>
      <c r="O303" s="128"/>
      <c r="P303" s="95"/>
      <c r="Q303" s="137"/>
      <c r="R303" s="129"/>
      <c r="S303" s="95"/>
      <c r="T303" s="95"/>
      <c r="V303" s="107"/>
    </row>
    <row r="304" ht="15.75" customHeight="1">
      <c r="A304" s="89"/>
      <c r="B304" s="182"/>
      <c r="C304" s="149"/>
      <c r="D304" s="95"/>
      <c r="E304" s="149"/>
      <c r="F304" s="149"/>
      <c r="G304" s="95"/>
      <c r="H304" s="149"/>
      <c r="I304" s="95"/>
      <c r="J304" s="95"/>
      <c r="K304" s="154"/>
      <c r="L304" s="154"/>
      <c r="M304" s="100"/>
      <c r="N304" s="127"/>
      <c r="O304" s="128"/>
      <c r="P304" s="95"/>
      <c r="Q304" s="137"/>
      <c r="R304" s="129"/>
      <c r="S304" s="95"/>
      <c r="T304" s="95"/>
      <c r="V304" s="107"/>
    </row>
    <row r="305" ht="15.75" customHeight="1">
      <c r="A305" s="89"/>
      <c r="B305" s="182"/>
      <c r="C305" s="149"/>
      <c r="D305" s="95"/>
      <c r="E305" s="149"/>
      <c r="F305" s="149"/>
      <c r="G305" s="95"/>
      <c r="H305" s="149"/>
      <c r="I305" s="95"/>
      <c r="J305" s="95"/>
      <c r="K305" s="156"/>
      <c r="L305" s="156"/>
      <c r="M305" s="100"/>
      <c r="N305" s="127"/>
      <c r="O305" s="128"/>
      <c r="P305" s="95"/>
      <c r="Q305" s="137"/>
      <c r="R305" s="129"/>
      <c r="S305" s="95"/>
      <c r="T305" s="95"/>
      <c r="V305" s="107"/>
    </row>
    <row r="306" ht="15.75" customHeight="1">
      <c r="A306" s="89"/>
      <c r="B306" s="182"/>
      <c r="C306" s="149"/>
      <c r="D306" s="95"/>
      <c r="E306" s="149"/>
      <c r="F306" s="149"/>
      <c r="G306" s="95"/>
      <c r="H306" s="149"/>
      <c r="I306" s="95"/>
      <c r="J306" s="95"/>
      <c r="K306" s="154"/>
      <c r="L306" s="154"/>
      <c r="M306" s="100"/>
      <c r="N306" s="127"/>
      <c r="O306" s="128"/>
      <c r="P306" s="95"/>
      <c r="Q306" s="137"/>
      <c r="R306" s="129"/>
      <c r="S306" s="95"/>
      <c r="T306" s="95"/>
      <c r="V306" s="107"/>
    </row>
    <row r="307" ht="15.75" customHeight="1">
      <c r="A307" s="89"/>
      <c r="B307" s="182"/>
      <c r="C307" s="107"/>
      <c r="D307" s="95"/>
      <c r="E307" s="149"/>
      <c r="F307" s="149"/>
      <c r="G307" s="95"/>
      <c r="H307" s="149"/>
      <c r="I307" s="95"/>
      <c r="J307" s="95"/>
      <c r="K307" s="156"/>
      <c r="L307" s="156"/>
      <c r="M307" s="100"/>
      <c r="N307" s="127"/>
      <c r="O307" s="128"/>
      <c r="P307" s="95"/>
      <c r="Q307" s="137"/>
      <c r="R307" s="129"/>
      <c r="S307" s="95"/>
      <c r="T307" s="95"/>
      <c r="V307" s="107"/>
    </row>
    <row r="308" ht="15.75" customHeight="1">
      <c r="A308" s="89"/>
      <c r="B308" s="182"/>
      <c r="C308" s="149"/>
      <c r="D308" s="95"/>
      <c r="E308" s="149"/>
      <c r="F308" s="149"/>
      <c r="G308" s="95"/>
      <c r="H308" s="149"/>
      <c r="I308" s="95"/>
      <c r="J308" s="95"/>
      <c r="K308" s="154"/>
      <c r="L308" s="154"/>
      <c r="M308" s="100"/>
      <c r="N308" s="127"/>
      <c r="O308" s="128"/>
      <c r="P308" s="95"/>
      <c r="Q308" s="137"/>
      <c r="R308" s="129"/>
      <c r="S308" s="95"/>
      <c r="T308" s="95"/>
      <c r="V308" s="107"/>
    </row>
    <row r="309" ht="15.75" customHeight="1">
      <c r="A309" s="89"/>
      <c r="B309" s="182"/>
      <c r="C309" s="149"/>
      <c r="D309" s="95"/>
      <c r="E309" s="149"/>
      <c r="F309" s="149"/>
      <c r="G309" s="95"/>
      <c r="H309" s="149"/>
      <c r="I309" s="95"/>
      <c r="J309" s="95"/>
      <c r="K309" s="156"/>
      <c r="L309" s="156"/>
      <c r="M309" s="100"/>
      <c r="N309" s="127"/>
      <c r="O309" s="128"/>
      <c r="P309" s="95"/>
      <c r="Q309" s="137"/>
      <c r="R309" s="129"/>
      <c r="S309" s="95"/>
      <c r="T309" s="95"/>
      <c r="V309" s="107"/>
    </row>
    <row r="310" ht="15.75" customHeight="1">
      <c r="A310" s="89"/>
      <c r="B310" s="182"/>
      <c r="C310" s="149"/>
      <c r="D310" s="95"/>
      <c r="E310" s="149"/>
      <c r="F310" s="149"/>
      <c r="G310" s="95"/>
      <c r="H310" s="149"/>
      <c r="I310" s="95"/>
      <c r="J310" s="95"/>
      <c r="K310" s="154"/>
      <c r="L310" s="154"/>
      <c r="M310" s="100"/>
      <c r="N310" s="127"/>
      <c r="O310" s="128"/>
      <c r="P310" s="95"/>
      <c r="Q310" s="137"/>
      <c r="R310" s="129"/>
      <c r="S310" s="95"/>
      <c r="T310" s="95"/>
      <c r="V310" s="107"/>
    </row>
    <row r="311" ht="15.75" customHeight="1">
      <c r="A311" s="89"/>
      <c r="B311" s="182"/>
      <c r="C311" s="149"/>
      <c r="D311" s="95"/>
      <c r="E311" s="149"/>
      <c r="F311" s="149"/>
      <c r="G311" s="95"/>
      <c r="H311" s="149"/>
      <c r="I311" s="95"/>
      <c r="J311" s="95"/>
      <c r="K311" s="156"/>
      <c r="L311" s="156"/>
      <c r="M311" s="100"/>
      <c r="N311" s="127"/>
      <c r="O311" s="128"/>
      <c r="P311" s="95"/>
      <c r="Q311" s="137"/>
      <c r="R311" s="129"/>
      <c r="S311" s="95"/>
      <c r="T311" s="95"/>
      <c r="V311" s="107"/>
    </row>
    <row r="312" ht="15.75" customHeight="1">
      <c r="A312" s="89"/>
      <c r="B312" s="182"/>
      <c r="C312" s="149"/>
      <c r="D312" s="95"/>
      <c r="E312" s="149"/>
      <c r="F312" s="149"/>
      <c r="G312" s="95"/>
      <c r="H312" s="149"/>
      <c r="I312" s="95"/>
      <c r="J312" s="95"/>
      <c r="K312" s="154"/>
      <c r="L312" s="154"/>
      <c r="M312" s="100"/>
      <c r="N312" s="127"/>
      <c r="O312" s="128"/>
      <c r="P312" s="95"/>
      <c r="Q312" s="137"/>
      <c r="R312" s="129"/>
      <c r="S312" s="95"/>
      <c r="T312" s="95"/>
      <c r="V312" s="107"/>
    </row>
    <row r="313" ht="15.75" customHeight="1">
      <c r="A313" s="89"/>
      <c r="B313" s="182"/>
      <c r="C313" s="107"/>
      <c r="D313" s="95"/>
      <c r="E313" s="149"/>
      <c r="F313" s="149"/>
      <c r="G313" s="95"/>
      <c r="H313" s="149"/>
      <c r="I313" s="95"/>
      <c r="J313" s="95"/>
      <c r="K313" s="156"/>
      <c r="L313" s="156"/>
      <c r="M313" s="100"/>
      <c r="N313" s="127"/>
      <c r="O313" s="128"/>
      <c r="P313" s="95"/>
      <c r="Q313" s="137"/>
      <c r="R313" s="129"/>
      <c r="S313" s="95"/>
      <c r="T313" s="95"/>
      <c r="V313" s="107"/>
    </row>
    <row r="314" ht="15.75" customHeight="1">
      <c r="A314" s="89"/>
      <c r="B314" s="182"/>
      <c r="C314" s="149"/>
      <c r="D314" s="95"/>
      <c r="E314" s="149"/>
      <c r="F314" s="149"/>
      <c r="G314" s="95"/>
      <c r="H314" s="149"/>
      <c r="I314" s="95"/>
      <c r="J314" s="95"/>
      <c r="K314" s="154"/>
      <c r="L314" s="154"/>
      <c r="M314" s="100"/>
      <c r="N314" s="127"/>
      <c r="O314" s="128"/>
      <c r="P314" s="95"/>
      <c r="Q314" s="137"/>
      <c r="R314" s="129"/>
      <c r="S314" s="95"/>
      <c r="T314" s="95"/>
      <c r="V314" s="107"/>
    </row>
    <row r="315" ht="15.75" customHeight="1">
      <c r="A315" s="89"/>
      <c r="B315" s="182"/>
      <c r="C315" s="149"/>
      <c r="D315" s="95"/>
      <c r="E315" s="149"/>
      <c r="F315" s="149"/>
      <c r="G315" s="95"/>
      <c r="H315" s="149"/>
      <c r="I315" s="95"/>
      <c r="J315" s="95"/>
      <c r="K315" s="156"/>
      <c r="L315" s="156"/>
      <c r="M315" s="100"/>
      <c r="N315" s="127"/>
      <c r="O315" s="128"/>
      <c r="P315" s="95"/>
      <c r="Q315" s="137"/>
      <c r="R315" s="129"/>
      <c r="S315" s="95"/>
      <c r="T315" s="95"/>
      <c r="V315" s="107"/>
    </row>
    <row r="316" ht="15.75" customHeight="1">
      <c r="A316" s="89"/>
      <c r="B316" s="182"/>
      <c r="C316" s="149"/>
      <c r="D316" s="95"/>
      <c r="E316" s="149"/>
      <c r="F316" s="149"/>
      <c r="G316" s="95"/>
      <c r="H316" s="149"/>
      <c r="I316" s="95"/>
      <c r="J316" s="95"/>
      <c r="K316" s="154"/>
      <c r="L316" s="154"/>
      <c r="M316" s="100"/>
      <c r="N316" s="127"/>
      <c r="O316" s="128"/>
      <c r="P316" s="95"/>
      <c r="Q316" s="137"/>
      <c r="R316" s="129"/>
      <c r="S316" s="95"/>
      <c r="T316" s="95"/>
      <c r="V316" s="107"/>
    </row>
    <row r="317" ht="15.75" customHeight="1">
      <c r="A317" s="89"/>
      <c r="B317" s="182"/>
      <c r="C317" s="149"/>
      <c r="D317" s="95"/>
      <c r="E317" s="149"/>
      <c r="F317" s="149"/>
      <c r="G317" s="95"/>
      <c r="H317" s="149"/>
      <c r="I317" s="95"/>
      <c r="J317" s="95"/>
      <c r="K317" s="156"/>
      <c r="L317" s="156"/>
      <c r="M317" s="100"/>
      <c r="N317" s="127"/>
      <c r="O317" s="128"/>
      <c r="P317" s="95"/>
      <c r="Q317" s="137"/>
      <c r="R317" s="129"/>
      <c r="S317" s="95"/>
      <c r="T317" s="95"/>
      <c r="V317" s="107"/>
    </row>
    <row r="318" ht="15.75" customHeight="1">
      <c r="A318" s="89"/>
      <c r="B318" s="182"/>
      <c r="C318" s="149"/>
      <c r="D318" s="95"/>
      <c r="E318" s="149"/>
      <c r="F318" s="149"/>
      <c r="G318" s="95"/>
      <c r="H318" s="149"/>
      <c r="I318" s="95"/>
      <c r="J318" s="95"/>
      <c r="K318" s="154"/>
      <c r="L318" s="154"/>
      <c r="M318" s="100"/>
      <c r="N318" s="127"/>
      <c r="O318" s="128"/>
      <c r="P318" s="95"/>
      <c r="Q318" s="137"/>
      <c r="R318" s="129"/>
      <c r="S318" s="95"/>
      <c r="T318" s="95"/>
      <c r="V318" s="107"/>
    </row>
    <row r="319" ht="15.75" customHeight="1">
      <c r="A319" s="89"/>
      <c r="B319" s="182"/>
      <c r="C319" s="107"/>
      <c r="D319" s="95"/>
      <c r="E319" s="149"/>
      <c r="F319" s="149"/>
      <c r="G319" s="95"/>
      <c r="H319" s="149"/>
      <c r="I319" s="95"/>
      <c r="J319" s="95"/>
      <c r="K319" s="156"/>
      <c r="L319" s="156"/>
      <c r="M319" s="100"/>
      <c r="N319" s="127"/>
      <c r="O319" s="128"/>
      <c r="P319" s="95"/>
      <c r="Q319" s="137"/>
      <c r="R319" s="129"/>
      <c r="S319" s="95"/>
      <c r="T319" s="95"/>
      <c r="V319" s="107"/>
    </row>
    <row r="320" ht="15.75" customHeight="1">
      <c r="A320" s="89"/>
      <c r="B320" s="182"/>
      <c r="C320" s="149"/>
      <c r="D320" s="95"/>
      <c r="E320" s="149"/>
      <c r="F320" s="149"/>
      <c r="G320" s="95"/>
      <c r="H320" s="149"/>
      <c r="I320" s="95"/>
      <c r="J320" s="95"/>
      <c r="K320" s="154"/>
      <c r="L320" s="154"/>
      <c r="M320" s="100"/>
      <c r="N320" s="127"/>
      <c r="O320" s="128"/>
      <c r="P320" s="95"/>
      <c r="Q320" s="137"/>
      <c r="R320" s="129"/>
      <c r="S320" s="95"/>
      <c r="T320" s="95"/>
      <c r="V320" s="107"/>
    </row>
    <row r="321" ht="15.75" customHeight="1">
      <c r="A321" s="89"/>
      <c r="B321" s="182"/>
      <c r="C321" s="149"/>
      <c r="D321" s="95"/>
      <c r="E321" s="149"/>
      <c r="F321" s="149"/>
      <c r="G321" s="95"/>
      <c r="H321" s="149"/>
      <c r="I321" s="95"/>
      <c r="J321" s="95"/>
      <c r="K321" s="156"/>
      <c r="L321" s="156"/>
      <c r="M321" s="100"/>
      <c r="N321" s="127"/>
      <c r="O321" s="128"/>
      <c r="P321" s="95"/>
      <c r="Q321" s="137"/>
      <c r="R321" s="129"/>
      <c r="S321" s="95"/>
      <c r="T321" s="95"/>
      <c r="V321" s="107"/>
    </row>
    <row r="322" ht="15.75" customHeight="1">
      <c r="A322" s="89"/>
      <c r="B322" s="182"/>
      <c r="C322" s="149"/>
      <c r="D322" s="95"/>
      <c r="E322" s="149"/>
      <c r="F322" s="149"/>
      <c r="G322" s="95"/>
      <c r="H322" s="149"/>
      <c r="I322" s="95"/>
      <c r="J322" s="95"/>
      <c r="K322" s="154"/>
      <c r="L322" s="154"/>
      <c r="M322" s="100"/>
      <c r="N322" s="127"/>
      <c r="O322" s="128"/>
      <c r="P322" s="95"/>
      <c r="Q322" s="137"/>
      <c r="R322" s="129"/>
      <c r="S322" s="95"/>
      <c r="T322" s="95"/>
      <c r="V322" s="107"/>
    </row>
    <row r="323" ht="15.75" customHeight="1">
      <c r="A323" s="89"/>
      <c r="B323" s="182"/>
      <c r="C323" s="149"/>
      <c r="D323" s="95"/>
      <c r="E323" s="149"/>
      <c r="F323" s="149"/>
      <c r="G323" s="95"/>
      <c r="H323" s="149"/>
      <c r="I323" s="95"/>
      <c r="J323" s="95"/>
      <c r="K323" s="156"/>
      <c r="L323" s="156"/>
      <c r="M323" s="100"/>
      <c r="N323" s="127"/>
      <c r="O323" s="128"/>
      <c r="P323" s="95"/>
      <c r="Q323" s="137"/>
      <c r="R323" s="129"/>
      <c r="S323" s="95"/>
      <c r="T323" s="95"/>
      <c r="V323" s="107"/>
    </row>
    <row r="324" ht="15.75" customHeight="1">
      <c r="A324" s="89"/>
      <c r="B324" s="182"/>
      <c r="C324" s="149"/>
      <c r="D324" s="95"/>
      <c r="E324" s="149"/>
      <c r="F324" s="149"/>
      <c r="G324" s="95"/>
      <c r="H324" s="149"/>
      <c r="I324" s="95"/>
      <c r="J324" s="95"/>
      <c r="K324" s="154"/>
      <c r="L324" s="154"/>
      <c r="M324" s="100"/>
      <c r="N324" s="127"/>
      <c r="O324" s="128"/>
      <c r="P324" s="95"/>
      <c r="Q324" s="137"/>
      <c r="R324" s="129"/>
      <c r="S324" s="95"/>
      <c r="T324" s="95"/>
      <c r="V324" s="107"/>
    </row>
    <row r="325" ht="15.75" customHeight="1">
      <c r="A325" s="89"/>
      <c r="B325" s="182"/>
      <c r="C325" s="107"/>
      <c r="D325" s="95"/>
      <c r="E325" s="149"/>
      <c r="F325" s="149"/>
      <c r="G325" s="95"/>
      <c r="H325" s="149"/>
      <c r="I325" s="95"/>
      <c r="J325" s="95"/>
      <c r="K325" s="156"/>
      <c r="L325" s="156"/>
      <c r="M325" s="100"/>
      <c r="N325" s="127"/>
      <c r="O325" s="128"/>
      <c r="P325" s="95"/>
      <c r="Q325" s="137"/>
      <c r="R325" s="129"/>
      <c r="S325" s="95"/>
      <c r="T325" s="95"/>
      <c r="V325" s="107"/>
    </row>
    <row r="326" ht="15.75" customHeight="1">
      <c r="A326" s="89"/>
      <c r="B326" s="182"/>
      <c r="C326" s="149"/>
      <c r="D326" s="95"/>
      <c r="E326" s="149"/>
      <c r="F326" s="149"/>
      <c r="G326" s="95"/>
      <c r="H326" s="149"/>
      <c r="I326" s="95"/>
      <c r="J326" s="95"/>
      <c r="K326" s="154"/>
      <c r="L326" s="154"/>
      <c r="M326" s="100"/>
      <c r="N326" s="127"/>
      <c r="O326" s="128"/>
      <c r="P326" s="95"/>
      <c r="Q326" s="137"/>
      <c r="R326" s="129"/>
      <c r="S326" s="95"/>
      <c r="T326" s="95"/>
      <c r="V326" s="107"/>
    </row>
    <row r="327" ht="15.75" customHeight="1">
      <c r="A327" s="89"/>
      <c r="B327" s="182"/>
      <c r="C327" s="149"/>
      <c r="D327" s="95"/>
      <c r="E327" s="149"/>
      <c r="F327" s="149"/>
      <c r="G327" s="95"/>
      <c r="H327" s="149"/>
      <c r="I327" s="95"/>
      <c r="J327" s="95"/>
      <c r="K327" s="156"/>
      <c r="L327" s="156"/>
      <c r="M327" s="100"/>
      <c r="N327" s="127"/>
      <c r="O327" s="128"/>
      <c r="P327" s="95"/>
      <c r="Q327" s="137"/>
      <c r="R327" s="129"/>
      <c r="S327" s="95"/>
      <c r="T327" s="95"/>
      <c r="V327" s="107"/>
    </row>
    <row r="328" ht="15.75" customHeight="1">
      <c r="A328" s="89"/>
      <c r="B328" s="182"/>
      <c r="C328" s="149"/>
      <c r="D328" s="95"/>
      <c r="E328" s="149"/>
      <c r="F328" s="149"/>
      <c r="G328" s="95"/>
      <c r="H328" s="149"/>
      <c r="I328" s="95"/>
      <c r="J328" s="95"/>
      <c r="K328" s="158"/>
      <c r="L328" s="158"/>
      <c r="M328" s="100"/>
      <c r="N328" s="127"/>
      <c r="O328" s="128"/>
      <c r="P328" s="95"/>
      <c r="Q328" s="137"/>
      <c r="R328" s="129"/>
      <c r="S328" s="95"/>
      <c r="T328" s="95"/>
      <c r="V328" s="107"/>
    </row>
    <row r="329" ht="15.75" customHeight="1">
      <c r="A329" s="89"/>
      <c r="B329" s="182"/>
      <c r="C329" s="149"/>
      <c r="D329" s="95"/>
      <c r="E329" s="149"/>
      <c r="F329" s="149"/>
      <c r="G329" s="95"/>
      <c r="H329" s="149"/>
      <c r="I329" s="95"/>
      <c r="J329" s="95"/>
      <c r="K329" s="158"/>
      <c r="L329" s="158"/>
      <c r="M329" s="100"/>
      <c r="N329" s="127"/>
      <c r="O329" s="128"/>
      <c r="P329" s="95"/>
      <c r="Q329" s="137"/>
      <c r="R329" s="129"/>
      <c r="S329" s="95"/>
      <c r="T329" s="95"/>
      <c r="V329" s="107"/>
    </row>
    <row r="330" ht="15.75" customHeight="1">
      <c r="A330" s="89"/>
      <c r="B330" s="182"/>
      <c r="C330" s="149"/>
      <c r="D330" s="95"/>
      <c r="E330" s="149"/>
      <c r="F330" s="149"/>
      <c r="G330" s="95"/>
      <c r="H330" s="149"/>
      <c r="I330" s="95"/>
      <c r="J330" s="95"/>
      <c r="K330" s="158"/>
      <c r="L330" s="158"/>
      <c r="M330" s="100"/>
      <c r="N330" s="127"/>
      <c r="O330" s="128"/>
      <c r="P330" s="95"/>
      <c r="Q330" s="137"/>
      <c r="R330" s="129"/>
      <c r="S330" s="95"/>
      <c r="T330" s="95"/>
      <c r="V330" s="107"/>
    </row>
    <row r="331" ht="15.75" customHeight="1">
      <c r="A331" s="89"/>
      <c r="B331" s="182"/>
      <c r="C331" s="107"/>
      <c r="D331" s="95"/>
      <c r="E331" s="149"/>
      <c r="F331" s="149"/>
      <c r="G331" s="95"/>
      <c r="H331" s="149"/>
      <c r="I331" s="95"/>
      <c r="J331" s="95"/>
      <c r="K331" s="158"/>
      <c r="L331" s="158"/>
      <c r="M331" s="100"/>
      <c r="N331" s="127"/>
      <c r="O331" s="128"/>
      <c r="P331" s="95"/>
      <c r="Q331" s="137"/>
      <c r="R331" s="129"/>
      <c r="S331" s="95"/>
      <c r="T331" s="95"/>
      <c r="V331" s="107"/>
    </row>
    <row r="332" ht="15.75" customHeight="1">
      <c r="A332" s="89"/>
      <c r="B332" s="182"/>
      <c r="C332" s="149"/>
      <c r="D332" s="95"/>
      <c r="E332" s="149"/>
      <c r="F332" s="149"/>
      <c r="G332" s="95"/>
      <c r="H332" s="149"/>
      <c r="I332" s="95"/>
      <c r="J332" s="95"/>
      <c r="K332" s="158"/>
      <c r="L332" s="158"/>
      <c r="M332" s="100"/>
      <c r="N332" s="127"/>
      <c r="O332" s="128"/>
      <c r="P332" s="95"/>
      <c r="Q332" s="137"/>
      <c r="R332" s="129"/>
      <c r="S332" s="95"/>
      <c r="T332" s="95"/>
      <c r="V332" s="107"/>
    </row>
    <row r="333" ht="15.75" customHeight="1">
      <c r="A333" s="89"/>
      <c r="B333" s="182"/>
      <c r="C333" s="149"/>
      <c r="D333" s="95"/>
      <c r="E333" s="149"/>
      <c r="F333" s="149"/>
      <c r="G333" s="95"/>
      <c r="H333" s="149"/>
      <c r="I333" s="95"/>
      <c r="J333" s="95"/>
      <c r="K333" s="158"/>
      <c r="L333" s="158"/>
      <c r="M333" s="100"/>
      <c r="N333" s="127"/>
      <c r="O333" s="128"/>
      <c r="P333" s="95"/>
      <c r="Q333" s="137"/>
      <c r="R333" s="129"/>
      <c r="S333" s="95"/>
      <c r="T333" s="95"/>
      <c r="V333" s="107"/>
    </row>
    <row r="334" ht="15.75" customHeight="1">
      <c r="A334" s="89"/>
      <c r="B334" s="182"/>
      <c r="C334" s="149"/>
      <c r="D334" s="95"/>
      <c r="E334" s="149"/>
      <c r="F334" s="149"/>
      <c r="G334" s="95"/>
      <c r="H334" s="149"/>
      <c r="I334" s="95"/>
      <c r="J334" s="95"/>
      <c r="K334" s="158"/>
      <c r="L334" s="158"/>
      <c r="M334" s="100"/>
      <c r="N334" s="127"/>
      <c r="O334" s="128"/>
      <c r="P334" s="95"/>
      <c r="Q334" s="137"/>
      <c r="R334" s="129"/>
      <c r="S334" s="95"/>
      <c r="T334" s="95"/>
      <c r="V334" s="107"/>
    </row>
    <row r="335" ht="15.75" customHeight="1">
      <c r="A335" s="89"/>
      <c r="B335" s="182"/>
      <c r="C335" s="149"/>
      <c r="D335" s="95"/>
      <c r="E335" s="149"/>
      <c r="F335" s="149"/>
      <c r="G335" s="95"/>
      <c r="H335" s="149"/>
      <c r="I335" s="95"/>
      <c r="J335" s="95"/>
      <c r="K335" s="158"/>
      <c r="L335" s="158"/>
      <c r="M335" s="100"/>
      <c r="N335" s="127"/>
      <c r="O335" s="128"/>
      <c r="P335" s="95"/>
      <c r="Q335" s="137"/>
      <c r="R335" s="129"/>
      <c r="S335" s="95"/>
      <c r="T335" s="95"/>
      <c r="V335" s="107"/>
    </row>
    <row r="336" ht="15.75" customHeight="1">
      <c r="A336" s="89"/>
      <c r="B336" s="182"/>
      <c r="C336" s="149"/>
      <c r="D336" s="95"/>
      <c r="E336" s="149"/>
      <c r="F336" s="149"/>
      <c r="G336" s="95"/>
      <c r="H336" s="149"/>
      <c r="I336" s="95"/>
      <c r="J336" s="95"/>
      <c r="K336" s="158"/>
      <c r="L336" s="158"/>
      <c r="M336" s="100"/>
      <c r="N336" s="127"/>
      <c r="O336" s="128"/>
      <c r="P336" s="95"/>
      <c r="Q336" s="137"/>
      <c r="R336" s="129"/>
      <c r="S336" s="95"/>
      <c r="T336" s="95"/>
      <c r="V336" s="107"/>
    </row>
    <row r="337" ht="15.75" customHeight="1">
      <c r="A337" s="89"/>
      <c r="B337" s="182"/>
      <c r="C337" s="107"/>
      <c r="D337" s="95"/>
      <c r="E337" s="149"/>
      <c r="F337" s="149"/>
      <c r="G337" s="95"/>
      <c r="H337" s="149"/>
      <c r="I337" s="95"/>
      <c r="J337" s="95"/>
      <c r="K337" s="158"/>
      <c r="L337" s="158"/>
      <c r="M337" s="100"/>
      <c r="N337" s="127"/>
      <c r="O337" s="128"/>
      <c r="P337" s="95"/>
      <c r="Q337" s="137"/>
      <c r="R337" s="129"/>
      <c r="S337" s="95"/>
      <c r="T337" s="95"/>
      <c r="V337" s="107"/>
    </row>
    <row r="338" ht="15.75" customHeight="1">
      <c r="A338" s="89"/>
      <c r="B338" s="182"/>
      <c r="C338" s="149"/>
      <c r="D338" s="95"/>
      <c r="E338" s="149"/>
      <c r="F338" s="149"/>
      <c r="G338" s="95"/>
      <c r="H338" s="149"/>
      <c r="I338" s="95"/>
      <c r="J338" s="95"/>
      <c r="K338" s="158"/>
      <c r="L338" s="158"/>
      <c r="M338" s="100"/>
      <c r="N338" s="127"/>
      <c r="O338" s="128"/>
      <c r="P338" s="95"/>
      <c r="Q338" s="137"/>
      <c r="R338" s="129"/>
      <c r="S338" s="95"/>
      <c r="T338" s="95"/>
      <c r="V338" s="107"/>
    </row>
    <row r="339" ht="15.75" customHeight="1">
      <c r="A339" s="89"/>
      <c r="B339" s="182"/>
      <c r="C339" s="149"/>
      <c r="D339" s="95"/>
      <c r="E339" s="149"/>
      <c r="F339" s="149"/>
      <c r="G339" s="95"/>
      <c r="H339" s="149"/>
      <c r="I339" s="95"/>
      <c r="J339" s="95"/>
      <c r="K339" s="158"/>
      <c r="L339" s="158"/>
      <c r="M339" s="100"/>
      <c r="N339" s="127"/>
      <c r="O339" s="128"/>
      <c r="P339" s="95"/>
      <c r="Q339" s="137"/>
      <c r="R339" s="129"/>
      <c r="S339" s="95"/>
      <c r="T339" s="95"/>
      <c r="V339" s="107"/>
    </row>
    <row r="340" ht="15.75" customHeight="1">
      <c r="A340" s="89"/>
      <c r="B340" s="182"/>
      <c r="C340" s="149"/>
      <c r="D340" s="95"/>
      <c r="E340" s="149"/>
      <c r="F340" s="149"/>
      <c r="G340" s="95"/>
      <c r="H340" s="149"/>
      <c r="I340" s="95"/>
      <c r="J340" s="95"/>
      <c r="K340" s="158"/>
      <c r="L340" s="158"/>
      <c r="M340" s="100"/>
      <c r="N340" s="127"/>
      <c r="O340" s="128"/>
      <c r="P340" s="95"/>
      <c r="Q340" s="137"/>
      <c r="R340" s="129"/>
      <c r="S340" s="95"/>
      <c r="T340" s="95"/>
      <c r="V340" s="107"/>
    </row>
    <row r="341" ht="15.75" customHeight="1">
      <c r="A341" s="89"/>
      <c r="B341" s="182"/>
      <c r="C341" s="149"/>
      <c r="D341" s="95"/>
      <c r="E341" s="149"/>
      <c r="F341" s="149"/>
      <c r="G341" s="95"/>
      <c r="H341" s="149"/>
      <c r="I341" s="95"/>
      <c r="J341" s="95"/>
      <c r="K341" s="158"/>
      <c r="L341" s="158"/>
      <c r="M341" s="100"/>
      <c r="N341" s="127"/>
      <c r="O341" s="128"/>
      <c r="P341" s="95"/>
      <c r="Q341" s="137"/>
      <c r="R341" s="129"/>
      <c r="S341" s="95"/>
      <c r="T341" s="95"/>
      <c r="V341" s="107"/>
    </row>
    <row r="342" ht="15.75" customHeight="1">
      <c r="A342" s="89"/>
      <c r="B342" s="182"/>
      <c r="C342" s="149"/>
      <c r="D342" s="95"/>
      <c r="E342" s="149"/>
      <c r="F342" s="149"/>
      <c r="G342" s="95"/>
      <c r="H342" s="149"/>
      <c r="I342" s="95"/>
      <c r="J342" s="95"/>
      <c r="K342" s="158"/>
      <c r="L342" s="158"/>
      <c r="M342" s="100"/>
      <c r="N342" s="127"/>
      <c r="O342" s="128"/>
      <c r="P342" s="95"/>
      <c r="Q342" s="137"/>
      <c r="R342" s="129"/>
      <c r="S342" s="95"/>
      <c r="T342" s="95"/>
      <c r="V342" s="107"/>
    </row>
    <row r="343" ht="15.75" customHeight="1">
      <c r="A343" s="89"/>
      <c r="B343" s="182"/>
      <c r="C343" s="107"/>
      <c r="D343" s="95"/>
      <c r="E343" s="149"/>
      <c r="F343" s="149"/>
      <c r="G343" s="95"/>
      <c r="H343" s="149"/>
      <c r="I343" s="95"/>
      <c r="J343" s="95"/>
      <c r="K343" s="158"/>
      <c r="L343" s="158"/>
      <c r="M343" s="100"/>
      <c r="N343" s="127"/>
      <c r="O343" s="128"/>
      <c r="P343" s="95"/>
      <c r="Q343" s="137"/>
      <c r="R343" s="129"/>
      <c r="S343" s="95"/>
      <c r="T343" s="95"/>
      <c r="V343" s="107"/>
    </row>
    <row r="344" ht="15.75" customHeight="1">
      <c r="A344" s="89"/>
      <c r="B344" s="182"/>
      <c r="C344" s="149"/>
      <c r="D344" s="95"/>
      <c r="E344" s="149"/>
      <c r="F344" s="149"/>
      <c r="G344" s="95"/>
      <c r="H344" s="149"/>
      <c r="I344" s="95"/>
      <c r="J344" s="95"/>
      <c r="K344" s="158"/>
      <c r="L344" s="158"/>
      <c r="M344" s="100"/>
      <c r="N344" s="127"/>
      <c r="O344" s="128"/>
      <c r="P344" s="95"/>
      <c r="Q344" s="137"/>
      <c r="R344" s="129"/>
      <c r="S344" s="95"/>
      <c r="T344" s="95"/>
      <c r="V344" s="107"/>
    </row>
    <row r="345" ht="15.75" customHeight="1">
      <c r="A345" s="89"/>
      <c r="B345" s="182"/>
      <c r="C345" s="149"/>
      <c r="D345" s="95"/>
      <c r="E345" s="149"/>
      <c r="F345" s="149"/>
      <c r="G345" s="95"/>
      <c r="H345" s="149"/>
      <c r="I345" s="95"/>
      <c r="J345" s="95"/>
      <c r="K345" s="158"/>
      <c r="L345" s="158"/>
      <c r="M345" s="100"/>
      <c r="N345" s="127"/>
      <c r="O345" s="128"/>
      <c r="P345" s="95"/>
      <c r="Q345" s="137"/>
      <c r="R345" s="129"/>
      <c r="S345" s="95"/>
      <c r="T345" s="95"/>
      <c r="V345" s="107"/>
    </row>
    <row r="346" ht="15.75" customHeight="1">
      <c r="A346" s="89"/>
      <c r="B346" s="182"/>
      <c r="C346" s="149"/>
      <c r="D346" s="95"/>
      <c r="E346" s="149"/>
      <c r="F346" s="149"/>
      <c r="G346" s="95"/>
      <c r="H346" s="149"/>
      <c r="I346" s="95"/>
      <c r="J346" s="95"/>
      <c r="K346" s="158"/>
      <c r="L346" s="158"/>
      <c r="M346" s="100"/>
      <c r="N346" s="127"/>
      <c r="O346" s="128"/>
      <c r="P346" s="95"/>
      <c r="Q346" s="137"/>
      <c r="R346" s="129"/>
      <c r="S346" s="95"/>
      <c r="T346" s="95"/>
      <c r="V346" s="107"/>
    </row>
    <row r="347" ht="15.75" customHeight="1">
      <c r="A347" s="89"/>
      <c r="B347" s="182"/>
      <c r="C347" s="149"/>
      <c r="D347" s="95"/>
      <c r="E347" s="149"/>
      <c r="F347" s="149"/>
      <c r="G347" s="95"/>
      <c r="H347" s="149"/>
      <c r="I347" s="95"/>
      <c r="J347" s="95"/>
      <c r="K347" s="158"/>
      <c r="L347" s="158"/>
      <c r="M347" s="100"/>
      <c r="N347" s="127"/>
      <c r="O347" s="128"/>
      <c r="P347" s="95"/>
      <c r="Q347" s="137"/>
      <c r="R347" s="129"/>
      <c r="S347" s="95"/>
      <c r="T347" s="95"/>
      <c r="V347" s="107"/>
    </row>
    <row r="348" ht="15.75" customHeight="1">
      <c r="A348" s="89"/>
      <c r="B348" s="182"/>
      <c r="C348" s="149"/>
      <c r="D348" s="95"/>
      <c r="E348" s="149"/>
      <c r="F348" s="149"/>
      <c r="G348" s="95"/>
      <c r="H348" s="149"/>
      <c r="I348" s="95"/>
      <c r="J348" s="95"/>
      <c r="K348" s="158"/>
      <c r="L348" s="158"/>
      <c r="M348" s="100"/>
      <c r="N348" s="127"/>
      <c r="O348" s="128"/>
      <c r="P348" s="95"/>
      <c r="Q348" s="137"/>
      <c r="R348" s="129"/>
      <c r="S348" s="95"/>
      <c r="T348" s="95"/>
      <c r="V348" s="107"/>
    </row>
    <row r="349" ht="15.75" customHeight="1">
      <c r="A349" s="89"/>
      <c r="B349" s="182"/>
      <c r="C349" s="107"/>
      <c r="D349" s="95"/>
      <c r="E349" s="149"/>
      <c r="F349" s="149"/>
      <c r="G349" s="95"/>
      <c r="H349" s="149"/>
      <c r="I349" s="95"/>
      <c r="J349" s="95"/>
      <c r="K349" s="158"/>
      <c r="L349" s="158"/>
      <c r="M349" s="100"/>
      <c r="N349" s="127"/>
      <c r="O349" s="128"/>
      <c r="P349" s="95"/>
      <c r="Q349" s="137"/>
      <c r="R349" s="129"/>
      <c r="S349" s="95"/>
      <c r="T349" s="95"/>
      <c r="V349" s="107"/>
    </row>
    <row r="350" ht="15.75" customHeight="1">
      <c r="A350" s="89"/>
      <c r="B350" s="182"/>
      <c r="C350" s="149"/>
      <c r="D350" s="95"/>
      <c r="E350" s="149"/>
      <c r="F350" s="149"/>
      <c r="G350" s="95"/>
      <c r="H350" s="149"/>
      <c r="I350" s="95"/>
      <c r="J350" s="95"/>
      <c r="K350" s="158"/>
      <c r="L350" s="158"/>
      <c r="M350" s="100"/>
      <c r="N350" s="127"/>
      <c r="O350" s="128"/>
      <c r="P350" s="95"/>
      <c r="Q350" s="137"/>
      <c r="R350" s="129"/>
      <c r="S350" s="95"/>
      <c r="T350" s="95"/>
      <c r="V350" s="107"/>
    </row>
    <row r="351" ht="15.75" customHeight="1">
      <c r="A351" s="89"/>
      <c r="B351" s="182"/>
      <c r="C351" s="149"/>
      <c r="D351" s="95"/>
      <c r="E351" s="149"/>
      <c r="F351" s="149"/>
      <c r="G351" s="95"/>
      <c r="H351" s="149"/>
      <c r="I351" s="95"/>
      <c r="J351" s="95"/>
      <c r="K351" s="158"/>
      <c r="L351" s="158"/>
      <c r="M351" s="100"/>
      <c r="N351" s="127"/>
      <c r="O351" s="128"/>
      <c r="P351" s="95"/>
      <c r="Q351" s="137"/>
      <c r="R351" s="129"/>
      <c r="S351" s="95"/>
      <c r="T351" s="95"/>
      <c r="V351" s="107"/>
    </row>
    <row r="352" ht="15.75" customHeight="1">
      <c r="A352" s="89"/>
      <c r="B352" s="182"/>
      <c r="C352" s="149"/>
      <c r="D352" s="95"/>
      <c r="E352" s="149"/>
      <c r="F352" s="149"/>
      <c r="G352" s="95"/>
      <c r="H352" s="149"/>
      <c r="I352" s="95"/>
      <c r="J352" s="95"/>
      <c r="K352" s="158"/>
      <c r="L352" s="158"/>
      <c r="M352" s="100"/>
      <c r="N352" s="127"/>
      <c r="O352" s="128"/>
      <c r="P352" s="95"/>
      <c r="Q352" s="137"/>
      <c r="R352" s="129"/>
      <c r="S352" s="95"/>
      <c r="T352" s="95"/>
      <c r="V352" s="107"/>
    </row>
    <row r="353" ht="15.75" customHeight="1">
      <c r="A353" s="89"/>
      <c r="B353" s="182"/>
      <c r="C353" s="149"/>
      <c r="D353" s="95"/>
      <c r="E353" s="149"/>
      <c r="F353" s="149"/>
      <c r="G353" s="95"/>
      <c r="H353" s="149"/>
      <c r="I353" s="95"/>
      <c r="J353" s="95"/>
      <c r="K353" s="158"/>
      <c r="L353" s="158"/>
      <c r="M353" s="100"/>
      <c r="N353" s="127"/>
      <c r="O353" s="128"/>
      <c r="P353" s="95"/>
      <c r="Q353" s="137"/>
      <c r="R353" s="129"/>
      <c r="S353" s="95"/>
      <c r="T353" s="95"/>
      <c r="V353" s="107"/>
    </row>
    <row r="354" ht="15.75" customHeight="1">
      <c r="A354" s="89"/>
      <c r="B354" s="182"/>
      <c r="C354" s="149"/>
      <c r="D354" s="95"/>
      <c r="E354" s="149"/>
      <c r="F354" s="149"/>
      <c r="G354" s="95"/>
      <c r="H354" s="149"/>
      <c r="I354" s="95"/>
      <c r="J354" s="95"/>
      <c r="K354" s="158"/>
      <c r="L354" s="158"/>
      <c r="M354" s="100"/>
      <c r="N354" s="127"/>
      <c r="O354" s="128"/>
      <c r="P354" s="95"/>
      <c r="Q354" s="137"/>
      <c r="R354" s="129"/>
      <c r="S354" s="95"/>
      <c r="T354" s="95"/>
      <c r="V354" s="107"/>
    </row>
    <row r="355" ht="15.75" customHeight="1">
      <c r="A355" s="89"/>
      <c r="B355" s="182"/>
      <c r="C355" s="107"/>
      <c r="D355" s="95"/>
      <c r="E355" s="149"/>
      <c r="F355" s="149"/>
      <c r="G355" s="95"/>
      <c r="H355" s="149"/>
      <c r="I355" s="95"/>
      <c r="J355" s="95"/>
      <c r="K355" s="158"/>
      <c r="L355" s="158"/>
      <c r="M355" s="100"/>
      <c r="N355" s="127"/>
      <c r="O355" s="128"/>
      <c r="P355" s="95"/>
      <c r="Q355" s="137"/>
      <c r="R355" s="129"/>
      <c r="S355" s="95"/>
      <c r="T355" s="95"/>
      <c r="V355" s="107"/>
    </row>
    <row r="356" ht="15.75" customHeight="1">
      <c r="A356" s="89"/>
      <c r="B356" s="182"/>
      <c r="C356" s="149"/>
      <c r="D356" s="95"/>
      <c r="E356" s="149"/>
      <c r="F356" s="149"/>
      <c r="G356" s="95"/>
      <c r="H356" s="149"/>
      <c r="I356" s="95"/>
      <c r="J356" s="95"/>
      <c r="K356" s="158"/>
      <c r="L356" s="158"/>
      <c r="M356" s="100"/>
      <c r="N356" s="127"/>
      <c r="O356" s="128"/>
      <c r="P356" s="95"/>
      <c r="Q356" s="137"/>
      <c r="R356" s="129"/>
      <c r="S356" s="95"/>
      <c r="T356" s="95"/>
      <c r="V356" s="107"/>
    </row>
    <row r="357" ht="15.75" customHeight="1">
      <c r="A357" s="89"/>
      <c r="B357" s="182"/>
      <c r="C357" s="149"/>
      <c r="D357" s="95"/>
      <c r="E357" s="149"/>
      <c r="F357" s="149"/>
      <c r="G357" s="95"/>
      <c r="H357" s="149"/>
      <c r="I357" s="95"/>
      <c r="J357" s="95"/>
      <c r="K357" s="158"/>
      <c r="L357" s="158"/>
      <c r="M357" s="100"/>
      <c r="N357" s="127"/>
      <c r="O357" s="128"/>
      <c r="P357" s="95"/>
      <c r="Q357" s="137"/>
      <c r="R357" s="129"/>
      <c r="S357" s="95"/>
      <c r="T357" s="95"/>
      <c r="V357" s="107"/>
    </row>
    <row r="358" ht="15.75" customHeight="1">
      <c r="A358" s="89"/>
      <c r="B358" s="182"/>
      <c r="C358" s="149"/>
      <c r="D358" s="95"/>
      <c r="E358" s="149"/>
      <c r="F358" s="149"/>
      <c r="G358" s="95"/>
      <c r="H358" s="149"/>
      <c r="I358" s="95"/>
      <c r="J358" s="95"/>
      <c r="K358" s="158"/>
      <c r="L358" s="158"/>
      <c r="M358" s="100"/>
      <c r="N358" s="127"/>
      <c r="O358" s="128"/>
      <c r="P358" s="95"/>
      <c r="Q358" s="137"/>
      <c r="R358" s="129"/>
      <c r="S358" s="95"/>
      <c r="T358" s="95"/>
      <c r="V358" s="107"/>
    </row>
    <row r="359" ht="15.75" customHeight="1">
      <c r="A359" s="89"/>
      <c r="B359" s="182"/>
      <c r="C359" s="149"/>
      <c r="D359" s="95"/>
      <c r="E359" s="149"/>
      <c r="F359" s="149"/>
      <c r="G359" s="95"/>
      <c r="H359" s="149"/>
      <c r="I359" s="95"/>
      <c r="J359" s="95"/>
      <c r="K359" s="158"/>
      <c r="L359" s="158"/>
      <c r="M359" s="100"/>
      <c r="N359" s="127"/>
      <c r="O359" s="128"/>
      <c r="P359" s="95"/>
      <c r="Q359" s="137"/>
      <c r="R359" s="129"/>
      <c r="S359" s="95"/>
      <c r="T359" s="95"/>
      <c r="V359" s="107"/>
    </row>
    <row r="360" ht="15.75" customHeight="1">
      <c r="A360" s="89"/>
      <c r="B360" s="182"/>
      <c r="C360" s="149"/>
      <c r="D360" s="95"/>
      <c r="E360" s="149"/>
      <c r="F360" s="149"/>
      <c r="G360" s="95"/>
      <c r="H360" s="149"/>
      <c r="I360" s="95"/>
      <c r="J360" s="95"/>
      <c r="K360" s="158"/>
      <c r="L360" s="158"/>
      <c r="M360" s="100"/>
      <c r="N360" s="127"/>
      <c r="O360" s="128"/>
      <c r="P360" s="95"/>
      <c r="Q360" s="137"/>
      <c r="R360" s="129"/>
      <c r="S360" s="95"/>
      <c r="T360" s="95"/>
      <c r="V360" s="107"/>
    </row>
  </sheetData>
  <autoFilter ref="$A$12:$V$109"/>
  <customSheetViews>
    <customSheetView guid="{3D5205AB-724F-426F-9D73-83BFCBF63977}" filter="1" showAutoFilter="1">
      <autoFilter ref="$R$18"/>
    </customSheetView>
  </customSheetViews>
  <mergeCells count="342">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R21"/>
    <hyperlink r:id="rId3" ref="R22"/>
    <hyperlink r:id="rId4" ref="R23"/>
    <hyperlink r:id="rId5" ref="R26"/>
    <hyperlink r:id="rId6" ref="R27"/>
    <hyperlink r:id="rId7" ref="R30"/>
    <hyperlink r:id="rId8" ref="R31"/>
    <hyperlink r:id="rId9" ref="R34"/>
    <hyperlink r:id="rId10" ref="R35"/>
    <hyperlink r:id="rId11" ref="R36"/>
    <hyperlink r:id="rId12" ref="R38"/>
    <hyperlink r:id="rId13" ref="R40"/>
    <hyperlink r:id="rId14" ref="R42"/>
    <hyperlink r:id="rId15" ref="R43"/>
    <hyperlink r:id="rId16" ref="R44"/>
    <hyperlink r:id="rId17" ref="R45"/>
    <hyperlink r:id="rId18" ref="R46"/>
    <hyperlink r:id="rId19" ref="R48"/>
    <hyperlink r:id="rId20" ref="R49"/>
    <hyperlink r:id="rId21" ref="R50"/>
    <hyperlink r:id="rId22" ref="R51"/>
    <hyperlink r:id="rId23" ref="R54"/>
    <hyperlink r:id="rId24" ref="R55"/>
    <hyperlink r:id="rId25" ref="R56"/>
    <hyperlink r:id="rId26" ref="R58"/>
    <hyperlink r:id="rId27" ref="R59"/>
    <hyperlink r:id="rId28" ref="R60"/>
    <hyperlink r:id="rId29" ref="R61"/>
    <hyperlink r:id="rId30" ref="R63"/>
    <hyperlink r:id="rId31" ref="R64"/>
    <hyperlink r:id="rId32" ref="R65"/>
    <hyperlink r:id="rId33" ref="R66"/>
    <hyperlink r:id="rId34" ref="R67"/>
    <hyperlink r:id="rId35" ref="R68"/>
    <hyperlink r:id="rId36" ref="R69"/>
    <hyperlink r:id="rId37" ref="R70"/>
    <hyperlink r:id="rId38" ref="R73"/>
    <hyperlink r:id="rId39" ref="R74"/>
    <hyperlink r:id="rId40" ref="R76"/>
    <hyperlink r:id="rId41" ref="R77"/>
    <hyperlink r:id="rId42" ref="R79"/>
    <hyperlink r:id="rId43" ref="R80"/>
    <hyperlink r:id="rId44" ref="T80"/>
    <hyperlink r:id="rId45" ref="R82"/>
    <hyperlink r:id="rId46" ref="R83"/>
    <hyperlink r:id="rId47" ref="R84"/>
    <hyperlink r:id="rId48" ref="R85"/>
  </hyperlinks>
  <drawing r:id="rId49"/>
  <legacyDrawing r:id="rId5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6.0"/>
    <col customWidth="1" min="4" max="4" width="0.38"/>
    <col customWidth="1" min="5" max="5" width="15.13"/>
    <col customWidth="1" min="6" max="6" width="15.0"/>
    <col customWidth="1" min="7" max="7" width="0.38"/>
    <col customWidth="1" min="8" max="8" width="15.63"/>
    <col customWidth="1" min="9" max="9" width="13.88"/>
    <col customWidth="1" min="10" max="10" width="0.38"/>
    <col customWidth="1" min="13" max="13" width="0.38"/>
    <col customWidth="1" min="15" max="15" width="29.38"/>
    <col customWidth="1" min="16" max="16" width="0.38"/>
    <col customWidth="1" min="17" max="17" width="13.13"/>
    <col customWidth="1" min="19" max="19" width="16.5"/>
    <col customWidth="1" min="21" max="21" width="23.75"/>
    <col customWidth="1" min="22" max="22" width="0.38"/>
  </cols>
  <sheetData>
    <row r="1">
      <c r="A1" s="35"/>
      <c r="B1" s="87" t="s">
        <v>31</v>
      </c>
      <c r="C1" s="87" t="s">
        <v>77</v>
      </c>
      <c r="D1" s="35"/>
      <c r="E1" s="38" t="s">
        <v>33</v>
      </c>
      <c r="F1" s="39"/>
      <c r="G1" s="35"/>
      <c r="H1" s="38" t="s">
        <v>34</v>
      </c>
      <c r="I1" s="39"/>
      <c r="J1" s="13"/>
      <c r="K1" s="159" t="s">
        <v>35</v>
      </c>
      <c r="L1" s="41"/>
      <c r="M1" s="13"/>
      <c r="N1" s="38" t="s">
        <v>36</v>
      </c>
      <c r="O1" s="42"/>
      <c r="P1" s="35"/>
      <c r="Q1" s="38" t="s">
        <v>37</v>
      </c>
      <c r="R1" s="43"/>
      <c r="S1" s="39"/>
      <c r="T1" s="39"/>
      <c r="U1" s="35" t="s">
        <v>38</v>
      </c>
      <c r="V1" s="35"/>
    </row>
    <row r="2">
      <c r="A2" s="35"/>
      <c r="B2" s="39"/>
      <c r="C2" s="39"/>
      <c r="D2" s="13"/>
      <c r="E2" s="160" t="s">
        <v>26</v>
      </c>
      <c r="F2" s="161">
        <f>IFERROR(COUNTIFS(I13:I287, "Full-Pay"),"")</f>
        <v>4</v>
      </c>
      <c r="G2" s="13"/>
      <c r="H2" s="46" t="s">
        <v>16</v>
      </c>
      <c r="I2" s="47">
        <f>iferror(I10/I8,"")</f>
        <v>0.5151515152</v>
      </c>
      <c r="J2" s="12"/>
      <c r="K2" s="162" t="s">
        <v>39</v>
      </c>
      <c r="L2" s="49">
        <f>iferror(F8/I6,"")</f>
        <v>0.0243902439</v>
      </c>
      <c r="M2" s="12"/>
      <c r="N2" s="50" t="s">
        <v>40</v>
      </c>
      <c r="O2" s="51">
        <f>IFERROR(COUNTIFS(N13:N286, "think about it"),"")</f>
        <v>2</v>
      </c>
      <c r="P2" s="13"/>
      <c r="Q2" s="52" t="s">
        <v>41</v>
      </c>
      <c r="R2" s="53">
        <f>IFERROR(COUNTIF(H13:H286,Q2),"")</f>
        <v>0</v>
      </c>
      <c r="S2" s="52" t="s">
        <v>42</v>
      </c>
      <c r="T2" s="54">
        <f>IFERROR(COUNTIF(H13:H286,S2),"")</f>
        <v>0</v>
      </c>
      <c r="U2" s="35"/>
      <c r="V2" s="55"/>
    </row>
    <row r="3">
      <c r="A3" s="13"/>
      <c r="B3" s="163" t="s">
        <v>43</v>
      </c>
      <c r="C3" s="57">
        <f>IFERROR(SUM(K13:K283),"")</f>
        <v>160500</v>
      </c>
      <c r="D3" s="58"/>
      <c r="E3" s="160" t="s">
        <v>27</v>
      </c>
      <c r="F3" s="161">
        <f>IFERROR(COUNTIFS(I13:I287, "Split-Pay"),"")</f>
        <v>13</v>
      </c>
      <c r="G3" s="13"/>
      <c r="H3" s="46" t="s">
        <v>17</v>
      </c>
      <c r="I3" s="47">
        <f>IFERROR(I10/I9,"")</f>
        <v>0.5151515152</v>
      </c>
      <c r="J3" s="12"/>
      <c r="K3" s="162" t="s">
        <v>44</v>
      </c>
      <c r="L3" s="49">
        <f>iferror(F9/I6,"")</f>
        <v>0.1463414634</v>
      </c>
      <c r="M3" s="12"/>
      <c r="N3" s="50" t="s">
        <v>45</v>
      </c>
      <c r="O3" s="59">
        <f>IFERROR(COUNTIFS(N13:N286, "money"),"")</f>
        <v>15</v>
      </c>
      <c r="P3" s="13"/>
      <c r="Q3" s="52" t="s">
        <v>46</v>
      </c>
      <c r="R3" s="53">
        <f>IFERROR(COUNTIF(H13:H286,Q3),"")</f>
        <v>0</v>
      </c>
      <c r="S3" s="52" t="s">
        <v>47</v>
      </c>
      <c r="T3" s="54">
        <f>IFERROR(COUNTIF(H13:H286,S3),"")</f>
        <v>0</v>
      </c>
      <c r="U3" s="35"/>
      <c r="V3" s="55"/>
    </row>
    <row r="4">
      <c r="A4" s="13"/>
      <c r="B4" s="164" t="s">
        <v>48</v>
      </c>
      <c r="C4" s="61">
        <f>IFERROR(SUM(L13:L284),"")</f>
        <v>67500</v>
      </c>
      <c r="D4" s="58"/>
      <c r="E4" s="160" t="s">
        <v>28</v>
      </c>
      <c r="F4" s="161">
        <f>IFERROR(COUNTIFS(I13:I287, "Deposit"),"")</f>
        <v>3</v>
      </c>
      <c r="G4" s="13"/>
      <c r="H4" s="46" t="s">
        <v>18</v>
      </c>
      <c r="I4" s="47">
        <f>IFERROR(I9/I8,"")</f>
        <v>1</v>
      </c>
      <c r="J4" s="12"/>
      <c r="K4" s="162" t="s">
        <v>49</v>
      </c>
      <c r="L4" s="49">
        <f>iferror(F10/I6,"")</f>
        <v>0.0243902439</v>
      </c>
      <c r="M4" s="12"/>
      <c r="N4" s="50" t="s">
        <v>50</v>
      </c>
      <c r="O4" s="51">
        <f>IFERROR(COUNTIFS(N13:N286, "time"),"")</f>
        <v>0</v>
      </c>
      <c r="P4" s="13"/>
      <c r="Q4" s="52" t="s">
        <v>51</v>
      </c>
      <c r="R4" s="53">
        <f>IFERROR(COUNTIF(H13:H286,Q4),"")</f>
        <v>0</v>
      </c>
      <c r="S4" s="52" t="s">
        <v>52</v>
      </c>
      <c r="T4" s="54">
        <f>IFERROR(COUNTIF(H13:H286,S4),"")</f>
        <v>0</v>
      </c>
      <c r="U4" s="35"/>
      <c r="V4" s="35"/>
    </row>
    <row r="5">
      <c r="A5" s="35"/>
      <c r="B5" s="39"/>
      <c r="C5" s="39"/>
      <c r="D5" s="13"/>
      <c r="E5" s="160" t="s">
        <v>53</v>
      </c>
      <c r="F5" s="161">
        <f>IFERROR(COUNTIFS(I13:I287, "Offer &amp; Didn't Buy"),"")</f>
        <v>13</v>
      </c>
      <c r="G5" s="13"/>
      <c r="H5" s="46" t="s">
        <v>54</v>
      </c>
      <c r="I5" s="47">
        <f>IFERROR(F7/(C6+F7+F8),"")</f>
        <v>0</v>
      </c>
      <c r="J5" s="13"/>
      <c r="K5" s="162" t="s">
        <v>54</v>
      </c>
      <c r="L5" s="49">
        <f>iferror(F7/I6,"")</f>
        <v>0</v>
      </c>
      <c r="M5" s="12"/>
      <c r="N5" s="50" t="s">
        <v>55</v>
      </c>
      <c r="O5" s="51">
        <f>IFERROR(COUNTIFS(N13:N286, "partner"),"")</f>
        <v>2</v>
      </c>
      <c r="P5" s="13"/>
      <c r="Q5" s="52" t="s">
        <v>56</v>
      </c>
      <c r="R5" s="53">
        <f>IFERROR(COUNTIF(H13:H286,Q5),"")</f>
        <v>0</v>
      </c>
      <c r="S5" s="52" t="s">
        <v>57</v>
      </c>
      <c r="T5" s="54">
        <f>IFERROR(COUNTIF(H13:H286,S5),"")</f>
        <v>0</v>
      </c>
      <c r="U5" s="35"/>
      <c r="V5" s="55"/>
    </row>
    <row r="6">
      <c r="A6" s="13"/>
      <c r="B6" s="165" t="s">
        <v>58</v>
      </c>
      <c r="C6" s="63">
        <f>IFERROR(SUM(F2:F6),"")</f>
        <v>33</v>
      </c>
      <c r="D6" s="13"/>
      <c r="E6" s="160" t="s">
        <v>59</v>
      </c>
      <c r="F6" s="161">
        <f>IFERROR(COUNTIFS(I13:I287, "Bad Fit &amp; No Offer"),"")</f>
        <v>0</v>
      </c>
      <c r="G6" s="13"/>
      <c r="H6" s="46" t="s">
        <v>21</v>
      </c>
      <c r="I6" s="64">
        <f>IFERROR(SUM(F2:F10),"")</f>
        <v>41</v>
      </c>
      <c r="J6" s="13"/>
      <c r="K6" s="166" t="s">
        <v>29</v>
      </c>
      <c r="L6" s="49">
        <f>iferror(I7/I6,"")</f>
        <v>0.8048780488</v>
      </c>
      <c r="M6" s="12"/>
      <c r="N6" s="50" t="s">
        <v>60</v>
      </c>
      <c r="O6" s="51">
        <f>IFERROR(COUNTIFS(N13:N286, "fear"),"")</f>
        <v>5</v>
      </c>
      <c r="P6" s="13"/>
      <c r="Q6" s="52" t="s">
        <v>61</v>
      </c>
      <c r="R6" s="53">
        <f>IFERROR(COUNTIF(H13:H286,Q6),"")</f>
        <v>0</v>
      </c>
      <c r="S6" s="52" t="s">
        <v>62</v>
      </c>
      <c r="T6" s="54">
        <f>IFERROR(COUNTIF(H13:H286,S6),"")</f>
        <v>0</v>
      </c>
      <c r="U6" s="35"/>
      <c r="V6" s="55"/>
    </row>
    <row r="7">
      <c r="A7" s="13"/>
      <c r="B7" s="165" t="s">
        <v>63</v>
      </c>
      <c r="C7" s="66">
        <f>IFERROR(F2+F3,"")</f>
        <v>17</v>
      </c>
      <c r="D7" s="13"/>
      <c r="E7" s="160" t="s">
        <v>64</v>
      </c>
      <c r="F7" s="161">
        <f>IFERROR(COUNTIFS(I13:I287, "Drag Over &amp; Show"),"")</f>
        <v>0</v>
      </c>
      <c r="G7" s="13"/>
      <c r="H7" s="46" t="s">
        <v>22</v>
      </c>
      <c r="I7" s="64">
        <f>IFERROR(SUM(F2:F7),"")</f>
        <v>33</v>
      </c>
      <c r="J7" s="13"/>
      <c r="K7" s="167" t="s">
        <v>30</v>
      </c>
      <c r="L7" s="68">
        <f>IFERROR(I8/I6,"")</f>
        <v>0.8048780488</v>
      </c>
      <c r="M7" s="12"/>
      <c r="N7" s="69" t="s">
        <v>65</v>
      </c>
      <c r="O7" s="70">
        <f>IFERROR(COUNTIFS(N14:N287, "value"),"")</f>
        <v>0</v>
      </c>
      <c r="P7" s="13"/>
      <c r="Q7" s="52" t="s">
        <v>66</v>
      </c>
      <c r="R7" s="53">
        <f>IFERROR(COUNTIF(H13:H286,Q7),"")</f>
        <v>0</v>
      </c>
      <c r="S7" s="52" t="s">
        <v>67</v>
      </c>
      <c r="T7" s="54">
        <f>IFERROR(COUNTIF(H13:H286,S7),"")</f>
        <v>0</v>
      </c>
      <c r="U7" s="35"/>
      <c r="V7" s="35"/>
    </row>
    <row r="8">
      <c r="A8" s="13"/>
      <c r="B8" s="165" t="s">
        <v>68</v>
      </c>
      <c r="C8" s="71">
        <f>COUNTIF(I13:I286,"offer &amp; didn't buy")+countif(I13:I286,"deposit")+countif(I13:I286,"bad fit &amp; no offer")</f>
        <v>16</v>
      </c>
      <c r="D8" s="72"/>
      <c r="E8" s="160" t="s">
        <v>69</v>
      </c>
      <c r="F8" s="161">
        <f>IFERROR(COUNTIFS(I13:I287, "Rescheduled"),"")</f>
        <v>1</v>
      </c>
      <c r="G8" s="13"/>
      <c r="H8" s="46" t="s">
        <v>23</v>
      </c>
      <c r="I8" s="64">
        <f>IFERROR(SUM(F2:F6),"")</f>
        <v>33</v>
      </c>
      <c r="J8" s="35"/>
      <c r="K8" s="35"/>
      <c r="L8" s="35"/>
      <c r="M8" s="35"/>
      <c r="N8" s="35"/>
      <c r="O8" s="74"/>
      <c r="P8" s="13"/>
      <c r="Q8" s="75" t="s">
        <v>70</v>
      </c>
      <c r="R8" s="76">
        <f>IFERROR(COUNTIF(H13:H286,Q8),"")</f>
        <v>0</v>
      </c>
      <c r="S8" s="75" t="s">
        <v>71</v>
      </c>
      <c r="T8" s="77">
        <f>IFERROR(COUNTIF(H13:H286,S8),"")</f>
        <v>0</v>
      </c>
      <c r="U8" s="35"/>
      <c r="V8" s="35"/>
    </row>
    <row r="9">
      <c r="A9" s="13"/>
      <c r="B9" s="165" t="s">
        <v>72</v>
      </c>
      <c r="C9" s="78">
        <f>iferror(SUM(C7/C6),"")</f>
        <v>0.5151515152</v>
      </c>
      <c r="D9" s="12"/>
      <c r="E9" s="160" t="s">
        <v>73</v>
      </c>
      <c r="F9" s="161">
        <f>IFERROR(COUNTIFS(I13:I287, "Cancelled"),"")</f>
        <v>6</v>
      </c>
      <c r="G9" s="13"/>
      <c r="H9" s="46" t="s">
        <v>24</v>
      </c>
      <c r="I9" s="64">
        <f>IFERROR(sum(F2:F5),"")</f>
        <v>33</v>
      </c>
      <c r="J9" s="35"/>
      <c r="K9" s="35"/>
      <c r="L9" s="35"/>
      <c r="M9" s="35"/>
      <c r="N9" s="35"/>
      <c r="O9" s="74"/>
      <c r="P9" s="35"/>
      <c r="Q9" s="35"/>
      <c r="R9" s="35"/>
      <c r="S9" s="35"/>
      <c r="T9" s="35"/>
      <c r="V9" s="35"/>
    </row>
    <row r="10">
      <c r="A10" s="35"/>
      <c r="B10" s="35"/>
      <c r="C10" s="35"/>
      <c r="D10" s="13"/>
      <c r="E10" s="168" t="s">
        <v>74</v>
      </c>
      <c r="F10" s="169">
        <f>IFERROR(COUNTIFS(I13:I287, "No-Show"),"")</f>
        <v>1</v>
      </c>
      <c r="G10" s="13"/>
      <c r="H10" s="81" t="s">
        <v>75</v>
      </c>
      <c r="I10" s="82">
        <f>F2+F3</f>
        <v>17</v>
      </c>
      <c r="J10" s="35"/>
      <c r="K10" s="35"/>
      <c r="L10" s="35"/>
      <c r="M10" s="35"/>
      <c r="N10" s="35"/>
      <c r="O10" s="74"/>
      <c r="P10" s="35"/>
      <c r="Q10" s="35"/>
      <c r="R10" s="35"/>
      <c r="S10" s="35"/>
      <c r="T10" s="35"/>
      <c r="V10" s="35"/>
    </row>
    <row r="11" ht="6.0" customHeight="1">
      <c r="A11" s="35"/>
      <c r="B11" s="35"/>
      <c r="C11" s="35"/>
      <c r="D11" s="35"/>
      <c r="E11" s="35"/>
      <c r="F11" s="35"/>
      <c r="G11" s="35"/>
      <c r="H11" s="35"/>
      <c r="I11" s="35"/>
      <c r="J11" s="35"/>
      <c r="K11" s="35"/>
      <c r="L11" s="35"/>
      <c r="M11" s="35"/>
      <c r="N11" s="35"/>
      <c r="O11" s="74"/>
      <c r="P11" s="35"/>
      <c r="Q11" s="35"/>
      <c r="R11" s="35"/>
      <c r="S11" s="35"/>
      <c r="T11" s="35"/>
      <c r="V11" s="35"/>
    </row>
    <row r="12">
      <c r="A12" s="35"/>
      <c r="B12" s="85" t="s">
        <v>76</v>
      </c>
      <c r="C12" s="85" t="s">
        <v>77</v>
      </c>
      <c r="D12" s="35"/>
      <c r="E12" s="87" t="s">
        <v>78</v>
      </c>
      <c r="F12" s="87" t="s">
        <v>56</v>
      </c>
      <c r="G12" s="35"/>
      <c r="H12" s="87" t="s">
        <v>37</v>
      </c>
      <c r="I12" s="87" t="s">
        <v>33</v>
      </c>
      <c r="J12" s="35"/>
      <c r="K12" s="87" t="s">
        <v>79</v>
      </c>
      <c r="L12" s="87" t="s">
        <v>48</v>
      </c>
      <c r="M12" s="35"/>
      <c r="N12" s="87" t="s">
        <v>80</v>
      </c>
      <c r="O12" s="88" t="s">
        <v>81</v>
      </c>
      <c r="P12" s="35"/>
      <c r="Q12" s="87" t="s">
        <v>82</v>
      </c>
      <c r="R12" s="87" t="s">
        <v>83</v>
      </c>
      <c r="S12" s="87" t="s">
        <v>84</v>
      </c>
      <c r="T12" s="87" t="s">
        <v>85</v>
      </c>
      <c r="V12" s="55"/>
    </row>
    <row r="13" ht="15.75" customHeight="1">
      <c r="A13" s="89"/>
      <c r="B13" s="96" t="s">
        <v>1335</v>
      </c>
      <c r="C13" s="91" t="s">
        <v>1336</v>
      </c>
      <c r="D13" s="92"/>
      <c r="E13" s="213" t="s">
        <v>1337</v>
      </c>
      <c r="F13" s="184"/>
      <c r="G13" s="95"/>
      <c r="H13" s="96" t="s">
        <v>89</v>
      </c>
      <c r="I13" s="97" t="s">
        <v>849</v>
      </c>
      <c r="J13" s="95"/>
      <c r="K13" s="99"/>
      <c r="L13" s="99"/>
      <c r="M13" s="100"/>
      <c r="N13" s="101"/>
      <c r="O13" s="102"/>
      <c r="P13" s="95"/>
      <c r="Q13" s="103"/>
      <c r="R13" s="106"/>
      <c r="S13" s="103"/>
      <c r="T13" s="226"/>
      <c r="U13" s="106"/>
      <c r="V13" s="107"/>
    </row>
    <row r="14" ht="15.75" customHeight="1">
      <c r="A14" s="89"/>
      <c r="B14" s="96" t="s">
        <v>1338</v>
      </c>
      <c r="C14" s="227" t="s">
        <v>1339</v>
      </c>
      <c r="D14" s="92"/>
      <c r="E14" s="130" t="s">
        <v>1340</v>
      </c>
      <c r="F14" s="194" t="s">
        <v>1341</v>
      </c>
      <c r="G14" s="95"/>
      <c r="H14" s="96" t="s">
        <v>89</v>
      </c>
      <c r="I14" s="97" t="s">
        <v>90</v>
      </c>
      <c r="J14" s="95"/>
      <c r="K14" s="99"/>
      <c r="L14" s="99"/>
      <c r="M14" s="100"/>
      <c r="N14" s="101"/>
      <c r="O14" s="102" t="s">
        <v>1342</v>
      </c>
      <c r="P14" s="95"/>
      <c r="Q14" s="103">
        <v>6.0</v>
      </c>
      <c r="R14" s="170" t="s">
        <v>1343</v>
      </c>
      <c r="S14" s="103" t="s">
        <v>94</v>
      </c>
      <c r="T14" s="105" t="s">
        <v>1344</v>
      </c>
      <c r="U14" s="106"/>
      <c r="V14" s="107"/>
    </row>
    <row r="15" ht="15.75" customHeight="1">
      <c r="A15" s="95"/>
      <c r="B15" s="96" t="s">
        <v>1338</v>
      </c>
      <c r="C15" s="172" t="s">
        <v>1345</v>
      </c>
      <c r="D15" s="95"/>
      <c r="E15" s="130" t="s">
        <v>1346</v>
      </c>
      <c r="F15" s="194" t="s">
        <v>1347</v>
      </c>
      <c r="G15" s="95"/>
      <c r="H15" s="96" t="s">
        <v>89</v>
      </c>
      <c r="I15" s="97" t="s">
        <v>90</v>
      </c>
      <c r="J15" s="95"/>
      <c r="K15" s="99"/>
      <c r="L15" s="99"/>
      <c r="M15" s="100"/>
      <c r="N15" s="101" t="s">
        <v>91</v>
      </c>
      <c r="O15" s="102" t="s">
        <v>1158</v>
      </c>
      <c r="P15" s="95"/>
      <c r="Q15" s="103">
        <v>6.0</v>
      </c>
      <c r="R15" s="170" t="s">
        <v>1348</v>
      </c>
      <c r="S15" s="103" t="s">
        <v>94</v>
      </c>
      <c r="T15" s="110" t="s">
        <v>1349</v>
      </c>
      <c r="U15" s="103"/>
      <c r="V15" s="107"/>
    </row>
    <row r="16" ht="15.75" customHeight="1">
      <c r="A16" s="95"/>
      <c r="B16" s="96" t="s">
        <v>1350</v>
      </c>
      <c r="C16" s="108" t="s">
        <v>1351</v>
      </c>
      <c r="D16" s="103"/>
      <c r="E16" s="130" t="s">
        <v>1352</v>
      </c>
      <c r="F16" s="194" t="s">
        <v>1353</v>
      </c>
      <c r="G16" s="95"/>
      <c r="H16" s="96" t="s">
        <v>89</v>
      </c>
      <c r="I16" s="97" t="s">
        <v>90</v>
      </c>
      <c r="J16" s="95"/>
      <c r="K16" s="113"/>
      <c r="L16" s="113"/>
      <c r="M16" s="100"/>
      <c r="N16" s="101"/>
      <c r="O16" s="102" t="s">
        <v>1354</v>
      </c>
      <c r="P16" s="95"/>
      <c r="Q16" s="103">
        <v>6.0</v>
      </c>
      <c r="R16" s="170" t="s">
        <v>1355</v>
      </c>
      <c r="S16" s="103" t="s">
        <v>157</v>
      </c>
      <c r="T16" s="116" t="s">
        <v>1356</v>
      </c>
      <c r="U16" s="103"/>
      <c r="V16" s="107"/>
    </row>
    <row r="17" ht="15.75" customHeight="1">
      <c r="A17" s="95"/>
      <c r="B17" s="96" t="s">
        <v>1357</v>
      </c>
      <c r="C17" s="118" t="s">
        <v>1358</v>
      </c>
      <c r="D17" s="95"/>
      <c r="E17" s="130" t="s">
        <v>1359</v>
      </c>
      <c r="F17" s="194" t="s">
        <v>1360</v>
      </c>
      <c r="G17" s="95"/>
      <c r="H17" s="96" t="s">
        <v>89</v>
      </c>
      <c r="I17" s="97" t="s">
        <v>276</v>
      </c>
      <c r="J17" s="95"/>
      <c r="K17" s="99">
        <v>9000.0</v>
      </c>
      <c r="L17" s="99">
        <v>4500.0</v>
      </c>
      <c r="M17" s="100"/>
      <c r="N17" s="101" t="s">
        <v>60</v>
      </c>
      <c r="O17" s="102" t="s">
        <v>1158</v>
      </c>
      <c r="P17" s="95"/>
      <c r="Q17" s="103">
        <v>6.0</v>
      </c>
      <c r="R17" s="170" t="s">
        <v>1361</v>
      </c>
      <c r="S17" s="103" t="s">
        <v>113</v>
      </c>
      <c r="T17" s="103" t="s">
        <v>1362</v>
      </c>
      <c r="V17" s="107"/>
    </row>
    <row r="18" ht="15.75" customHeight="1">
      <c r="A18" s="95"/>
      <c r="B18" s="96" t="s">
        <v>1357</v>
      </c>
      <c r="C18" s="118" t="s">
        <v>1363</v>
      </c>
      <c r="D18" s="95"/>
      <c r="E18" s="130" t="s">
        <v>1364</v>
      </c>
      <c r="F18" s="194" t="s">
        <v>1365</v>
      </c>
      <c r="G18" s="95"/>
      <c r="H18" s="96" t="s">
        <v>89</v>
      </c>
      <c r="I18" s="97" t="s">
        <v>90</v>
      </c>
      <c r="J18" s="95"/>
      <c r="K18" s="113"/>
      <c r="L18" s="113"/>
      <c r="M18" s="100"/>
      <c r="N18" s="101" t="s">
        <v>45</v>
      </c>
      <c r="O18" s="102" t="s">
        <v>1366</v>
      </c>
      <c r="P18" s="95"/>
      <c r="Q18" s="103">
        <v>6.0</v>
      </c>
      <c r="R18" s="171" t="s">
        <v>1367</v>
      </c>
      <c r="S18" s="103" t="s">
        <v>94</v>
      </c>
      <c r="T18" s="119" t="s">
        <v>1368</v>
      </c>
      <c r="U18" s="95"/>
      <c r="V18" s="107"/>
    </row>
    <row r="19" ht="15.75" customHeight="1">
      <c r="A19" s="95"/>
      <c r="B19" s="96" t="s">
        <v>1369</v>
      </c>
      <c r="C19" s="119" t="s">
        <v>1370</v>
      </c>
      <c r="D19" s="95"/>
      <c r="E19" s="130" t="s">
        <v>1371</v>
      </c>
      <c r="F19" s="194" t="s">
        <v>1372</v>
      </c>
      <c r="G19" s="95"/>
      <c r="H19" s="96" t="s">
        <v>89</v>
      </c>
      <c r="I19" s="97" t="s">
        <v>110</v>
      </c>
      <c r="J19" s="95"/>
      <c r="K19" s="99">
        <v>9000.0</v>
      </c>
      <c r="L19" s="99">
        <v>9000.0</v>
      </c>
      <c r="M19" s="100"/>
      <c r="N19" s="101" t="s">
        <v>60</v>
      </c>
      <c r="O19" s="102" t="s">
        <v>636</v>
      </c>
      <c r="P19" s="95"/>
      <c r="Q19" s="103">
        <v>6.0</v>
      </c>
      <c r="R19" s="171" t="s">
        <v>1373</v>
      </c>
      <c r="S19" s="103" t="s">
        <v>113</v>
      </c>
      <c r="T19" s="119" t="s">
        <v>1374</v>
      </c>
      <c r="U19" s="95"/>
      <c r="V19" s="107"/>
    </row>
    <row r="20" ht="15.75" customHeight="1">
      <c r="A20" s="95"/>
      <c r="B20" s="119" t="s">
        <v>1369</v>
      </c>
      <c r="C20" s="119" t="s">
        <v>1375</v>
      </c>
      <c r="D20" s="95"/>
      <c r="E20" s="130" t="s">
        <v>1376</v>
      </c>
      <c r="F20" s="194" t="s">
        <v>1377</v>
      </c>
      <c r="G20" s="95"/>
      <c r="H20" s="96" t="s">
        <v>89</v>
      </c>
      <c r="I20" s="97" t="s">
        <v>110</v>
      </c>
      <c r="J20" s="95"/>
      <c r="K20" s="99">
        <v>9000.0</v>
      </c>
      <c r="L20" s="99">
        <v>9000.0</v>
      </c>
      <c r="M20" s="100"/>
      <c r="N20" s="127"/>
      <c r="O20" s="102"/>
      <c r="P20" s="95"/>
      <c r="Q20" s="103">
        <v>6.0</v>
      </c>
      <c r="R20" s="171" t="s">
        <v>1378</v>
      </c>
      <c r="S20" s="103" t="s">
        <v>113</v>
      </c>
      <c r="T20" s="119" t="s">
        <v>1379</v>
      </c>
      <c r="U20" s="95"/>
      <c r="V20" s="107"/>
    </row>
    <row r="21" ht="15.75" customHeight="1">
      <c r="A21" s="89"/>
      <c r="B21" s="96" t="s">
        <v>1369</v>
      </c>
      <c r="C21" s="210" t="s">
        <v>1380</v>
      </c>
      <c r="D21" s="95"/>
      <c r="E21" s="130" t="s">
        <v>1321</v>
      </c>
      <c r="F21" s="194" t="s">
        <v>1322</v>
      </c>
      <c r="G21" s="95"/>
      <c r="H21" s="96" t="s">
        <v>89</v>
      </c>
      <c r="I21" s="97" t="s">
        <v>276</v>
      </c>
      <c r="J21" s="95"/>
      <c r="K21" s="99">
        <v>10500.0</v>
      </c>
      <c r="L21" s="99"/>
      <c r="M21" s="100"/>
      <c r="N21" s="127"/>
      <c r="O21" s="102" t="s">
        <v>636</v>
      </c>
      <c r="P21" s="95"/>
      <c r="Q21" s="103">
        <v>6.0</v>
      </c>
      <c r="R21" s="176" t="s">
        <v>1381</v>
      </c>
      <c r="S21" s="103" t="s">
        <v>113</v>
      </c>
      <c r="T21" s="103"/>
      <c r="V21" s="107"/>
    </row>
    <row r="22" ht="15.75" customHeight="1">
      <c r="A22" s="89"/>
      <c r="B22" s="96" t="s">
        <v>1382</v>
      </c>
      <c r="C22" s="97" t="s">
        <v>1383</v>
      </c>
      <c r="D22" s="95"/>
      <c r="E22" s="130" t="s">
        <v>1384</v>
      </c>
      <c r="F22" s="194" t="s">
        <v>1385</v>
      </c>
      <c r="G22" s="95"/>
      <c r="H22" s="96" t="s">
        <v>89</v>
      </c>
      <c r="I22" s="97" t="s">
        <v>276</v>
      </c>
      <c r="J22" s="95"/>
      <c r="K22" s="99">
        <v>10500.0</v>
      </c>
      <c r="L22" s="99">
        <v>3000.0</v>
      </c>
      <c r="M22" s="100"/>
      <c r="N22" s="127"/>
      <c r="O22" s="102"/>
      <c r="P22" s="95"/>
      <c r="Q22" s="103">
        <v>6.0</v>
      </c>
      <c r="R22" s="170" t="s">
        <v>1386</v>
      </c>
      <c r="S22" s="103" t="s">
        <v>113</v>
      </c>
      <c r="T22" s="103" t="s">
        <v>1387</v>
      </c>
      <c r="V22" s="107"/>
    </row>
    <row r="23" ht="15.75" customHeight="1">
      <c r="A23" s="89"/>
      <c r="B23" s="96" t="s">
        <v>1382</v>
      </c>
      <c r="C23" s="97" t="s">
        <v>1388</v>
      </c>
      <c r="D23" s="95"/>
      <c r="E23" s="130" t="s">
        <v>1389</v>
      </c>
      <c r="F23" s="194" t="s">
        <v>1390</v>
      </c>
      <c r="G23" s="95"/>
      <c r="H23" s="96" t="s">
        <v>89</v>
      </c>
      <c r="I23" s="103" t="s">
        <v>276</v>
      </c>
      <c r="J23" s="95"/>
      <c r="K23" s="99">
        <v>10500.0</v>
      </c>
      <c r="L23" s="99">
        <v>3000.0</v>
      </c>
      <c r="M23" s="100"/>
      <c r="N23" s="101"/>
      <c r="O23" s="102"/>
      <c r="P23" s="95"/>
      <c r="Q23" s="103">
        <v>6.0</v>
      </c>
      <c r="R23" s="171" t="s">
        <v>1391</v>
      </c>
      <c r="S23" s="103" t="s">
        <v>113</v>
      </c>
      <c r="T23" s="103" t="s">
        <v>1392</v>
      </c>
      <c r="V23" s="107"/>
    </row>
    <row r="24" ht="15.75" customHeight="1">
      <c r="A24" s="89"/>
      <c r="B24" s="96" t="s">
        <v>1382</v>
      </c>
      <c r="C24" s="97" t="s">
        <v>1393</v>
      </c>
      <c r="D24" s="95"/>
      <c r="E24" s="130" t="s">
        <v>1394</v>
      </c>
      <c r="F24" s="194" t="s">
        <v>1395</v>
      </c>
      <c r="G24" s="95"/>
      <c r="H24" s="96" t="s">
        <v>89</v>
      </c>
      <c r="I24" s="103" t="s">
        <v>110</v>
      </c>
      <c r="J24" s="95"/>
      <c r="K24" s="99">
        <v>9000.0</v>
      </c>
      <c r="L24" s="99">
        <v>9000.0</v>
      </c>
      <c r="M24" s="100"/>
      <c r="N24" s="127"/>
      <c r="O24" s="128"/>
      <c r="P24" s="95"/>
      <c r="Q24" s="103">
        <v>6.0</v>
      </c>
      <c r="R24" s="171" t="s">
        <v>1396</v>
      </c>
      <c r="S24" s="103" t="s">
        <v>113</v>
      </c>
      <c r="T24" s="103" t="s">
        <v>1397</v>
      </c>
      <c r="V24" s="107"/>
    </row>
    <row r="25" ht="15.75" customHeight="1">
      <c r="A25" s="89"/>
      <c r="B25" s="96" t="s">
        <v>1398</v>
      </c>
      <c r="C25" s="174" t="s">
        <v>1399</v>
      </c>
      <c r="D25" s="95"/>
      <c r="E25" s="130" t="s">
        <v>1400</v>
      </c>
      <c r="F25" s="194" t="s">
        <v>1401</v>
      </c>
      <c r="G25" s="95"/>
      <c r="H25" s="96" t="s">
        <v>89</v>
      </c>
      <c r="I25" s="103" t="s">
        <v>90</v>
      </c>
      <c r="J25" s="95"/>
      <c r="K25" s="99"/>
      <c r="L25" s="99"/>
      <c r="M25" s="100"/>
      <c r="N25" s="101" t="s">
        <v>60</v>
      </c>
      <c r="O25" s="102" t="s">
        <v>1402</v>
      </c>
      <c r="P25" s="95"/>
      <c r="Q25" s="103">
        <v>6.0</v>
      </c>
      <c r="R25" s="171" t="s">
        <v>1403</v>
      </c>
      <c r="S25" s="103" t="s">
        <v>94</v>
      </c>
      <c r="T25" s="103" t="s">
        <v>1404</v>
      </c>
      <c r="V25" s="107"/>
    </row>
    <row r="26" ht="15.75" customHeight="1">
      <c r="A26" s="89"/>
      <c r="B26" s="96" t="s">
        <v>1398</v>
      </c>
      <c r="C26" s="174" t="s">
        <v>1405</v>
      </c>
      <c r="D26" s="95"/>
      <c r="E26" s="130" t="s">
        <v>1406</v>
      </c>
      <c r="F26" s="194" t="s">
        <v>1407</v>
      </c>
      <c r="G26" s="95"/>
      <c r="H26" s="96" t="s">
        <v>89</v>
      </c>
      <c r="I26" s="103" t="s">
        <v>90</v>
      </c>
      <c r="J26" s="95"/>
      <c r="K26" s="113"/>
      <c r="L26" s="113"/>
      <c r="M26" s="100"/>
      <c r="N26" s="101" t="s">
        <v>45</v>
      </c>
      <c r="O26" s="102" t="s">
        <v>636</v>
      </c>
      <c r="P26" s="95"/>
      <c r="Q26" s="103">
        <v>6.0</v>
      </c>
      <c r="R26" s="171" t="s">
        <v>1408</v>
      </c>
      <c r="S26" s="103" t="s">
        <v>94</v>
      </c>
      <c r="T26" s="103" t="s">
        <v>1409</v>
      </c>
      <c r="V26" s="107"/>
    </row>
    <row r="27" ht="15.75" customHeight="1">
      <c r="A27" s="89"/>
      <c r="B27" s="96" t="s">
        <v>1410</v>
      </c>
      <c r="C27" s="97" t="s">
        <v>1411</v>
      </c>
      <c r="D27" s="95"/>
      <c r="E27" s="130" t="s">
        <v>1412</v>
      </c>
      <c r="F27" s="194" t="s">
        <v>1413</v>
      </c>
      <c r="G27" s="95"/>
      <c r="H27" s="96" t="s">
        <v>89</v>
      </c>
      <c r="I27" s="103" t="s">
        <v>276</v>
      </c>
      <c r="J27" s="95"/>
      <c r="K27" s="99">
        <v>10500.0</v>
      </c>
      <c r="L27" s="99">
        <v>1500.0</v>
      </c>
      <c r="M27" s="100"/>
      <c r="N27" s="101" t="s">
        <v>45</v>
      </c>
      <c r="O27" s="102" t="s">
        <v>784</v>
      </c>
      <c r="P27" s="95"/>
      <c r="Q27" s="103">
        <v>6.0</v>
      </c>
      <c r="R27" s="171" t="s">
        <v>1414</v>
      </c>
      <c r="S27" s="103" t="s">
        <v>113</v>
      </c>
      <c r="T27" s="103" t="s">
        <v>1415</v>
      </c>
      <c r="V27" s="107"/>
    </row>
    <row r="28" ht="15.75" customHeight="1">
      <c r="A28" s="89"/>
      <c r="B28" s="96" t="s">
        <v>1410</v>
      </c>
      <c r="C28" s="122" t="s">
        <v>1416</v>
      </c>
      <c r="D28" s="95"/>
      <c r="E28" s="130" t="s">
        <v>1417</v>
      </c>
      <c r="F28" s="194" t="s">
        <v>1418</v>
      </c>
      <c r="G28" s="95"/>
      <c r="H28" s="96" t="s">
        <v>89</v>
      </c>
      <c r="I28" s="103" t="s">
        <v>90</v>
      </c>
      <c r="J28" s="95"/>
      <c r="K28" s="113"/>
      <c r="L28" s="113"/>
      <c r="M28" s="100"/>
      <c r="N28" s="101" t="s">
        <v>45</v>
      </c>
      <c r="O28" s="102"/>
      <c r="P28" s="95"/>
      <c r="Q28" s="103">
        <v>6.0</v>
      </c>
      <c r="R28" s="170" t="s">
        <v>1419</v>
      </c>
      <c r="S28" s="103" t="s">
        <v>94</v>
      </c>
      <c r="T28" s="103" t="s">
        <v>1420</v>
      </c>
      <c r="V28" s="107"/>
    </row>
    <row r="29" ht="15.75" customHeight="1">
      <c r="A29" s="89"/>
      <c r="B29" s="96" t="s">
        <v>1421</v>
      </c>
      <c r="C29" s="103" t="s">
        <v>1422</v>
      </c>
      <c r="D29" s="95"/>
      <c r="E29" s="130" t="s">
        <v>1423</v>
      </c>
      <c r="F29" s="194" t="s">
        <v>1424</v>
      </c>
      <c r="G29" s="95"/>
      <c r="H29" s="96" t="s">
        <v>89</v>
      </c>
      <c r="I29" s="103" t="s">
        <v>276</v>
      </c>
      <c r="J29" s="95"/>
      <c r="K29" s="99">
        <v>10500.0</v>
      </c>
      <c r="L29" s="99">
        <v>3000.0</v>
      </c>
      <c r="M29" s="100"/>
      <c r="N29" s="127"/>
      <c r="O29" s="128"/>
      <c r="P29" s="95"/>
      <c r="Q29" s="103">
        <v>6.0</v>
      </c>
      <c r="R29" s="171" t="s">
        <v>1425</v>
      </c>
      <c r="S29" s="103" t="s">
        <v>113</v>
      </c>
      <c r="T29" s="103" t="s">
        <v>1426</v>
      </c>
      <c r="V29" s="107"/>
    </row>
    <row r="30" ht="15.75" customHeight="1">
      <c r="A30" s="89"/>
      <c r="B30" s="96" t="s">
        <v>1421</v>
      </c>
      <c r="C30" s="97" t="s">
        <v>1427</v>
      </c>
      <c r="D30" s="95"/>
      <c r="E30" s="130" t="s">
        <v>1428</v>
      </c>
      <c r="F30" s="194" t="s">
        <v>1429</v>
      </c>
      <c r="G30" s="95"/>
      <c r="H30" s="96" t="s">
        <v>89</v>
      </c>
      <c r="I30" s="103" t="s">
        <v>276</v>
      </c>
      <c r="J30" s="95"/>
      <c r="K30" s="99">
        <v>10500.0</v>
      </c>
      <c r="L30" s="99">
        <v>3000.0</v>
      </c>
      <c r="M30" s="100"/>
      <c r="N30" s="127"/>
      <c r="O30" s="128"/>
      <c r="P30" s="95"/>
      <c r="Q30" s="103" t="s">
        <v>1430</v>
      </c>
      <c r="R30" s="171" t="s">
        <v>1431</v>
      </c>
      <c r="S30" s="103" t="s">
        <v>113</v>
      </c>
      <c r="T30" s="103" t="s">
        <v>1432</v>
      </c>
      <c r="V30" s="107"/>
    </row>
    <row r="31" ht="15.75" customHeight="1">
      <c r="A31" s="89"/>
      <c r="B31" s="96" t="s">
        <v>1433</v>
      </c>
      <c r="C31" s="122" t="s">
        <v>1434</v>
      </c>
      <c r="D31" s="95"/>
      <c r="E31" s="130" t="s">
        <v>1435</v>
      </c>
      <c r="F31" s="194" t="s">
        <v>1436</v>
      </c>
      <c r="G31" s="95"/>
      <c r="H31" s="96" t="s">
        <v>89</v>
      </c>
      <c r="I31" s="103" t="s">
        <v>90</v>
      </c>
      <c r="J31" s="95"/>
      <c r="K31" s="99"/>
      <c r="L31" s="99"/>
      <c r="M31" s="100"/>
      <c r="N31" s="101" t="s">
        <v>45</v>
      </c>
      <c r="O31" s="102" t="s">
        <v>1437</v>
      </c>
      <c r="P31" s="95"/>
      <c r="Q31" s="103" t="s">
        <v>1430</v>
      </c>
      <c r="R31" s="106" t="s">
        <v>1438</v>
      </c>
      <c r="S31" s="103" t="s">
        <v>94</v>
      </c>
      <c r="T31" s="103" t="s">
        <v>1439</v>
      </c>
      <c r="V31" s="107"/>
    </row>
    <row r="32" ht="15.75" customHeight="1">
      <c r="A32" s="89"/>
      <c r="B32" s="96" t="s">
        <v>1440</v>
      </c>
      <c r="C32" s="97" t="s">
        <v>1441</v>
      </c>
      <c r="D32" s="95"/>
      <c r="E32" s="130" t="s">
        <v>1442</v>
      </c>
      <c r="F32" s="194" t="s">
        <v>1443</v>
      </c>
      <c r="G32" s="95"/>
      <c r="H32" s="96" t="s">
        <v>89</v>
      </c>
      <c r="I32" s="103" t="s">
        <v>110</v>
      </c>
      <c r="J32" s="95"/>
      <c r="K32" s="99">
        <v>9000.0</v>
      </c>
      <c r="L32" s="99">
        <v>9000.0</v>
      </c>
      <c r="M32" s="100"/>
      <c r="N32" s="101" t="s">
        <v>55</v>
      </c>
      <c r="O32" s="128"/>
      <c r="P32" s="95"/>
      <c r="Q32" s="103">
        <v>6.0</v>
      </c>
      <c r="R32" s="171" t="s">
        <v>1444</v>
      </c>
      <c r="S32" s="103" t="s">
        <v>113</v>
      </c>
      <c r="T32" s="103" t="s">
        <v>1445</v>
      </c>
      <c r="V32" s="107"/>
    </row>
    <row r="33" ht="15.75" customHeight="1">
      <c r="A33" s="89"/>
      <c r="B33" s="96" t="s">
        <v>1446</v>
      </c>
      <c r="C33" s="97" t="s">
        <v>1447</v>
      </c>
      <c r="D33" s="95"/>
      <c r="E33" s="130" t="s">
        <v>1448</v>
      </c>
      <c r="F33" s="194" t="s">
        <v>1449</v>
      </c>
      <c r="G33" s="95"/>
      <c r="H33" s="96" t="s">
        <v>89</v>
      </c>
      <c r="I33" s="103" t="s">
        <v>276</v>
      </c>
      <c r="J33" s="95"/>
      <c r="K33" s="99">
        <v>10500.0</v>
      </c>
      <c r="L33" s="99">
        <v>1500.0</v>
      </c>
      <c r="M33" s="100"/>
      <c r="N33" s="101" t="s">
        <v>55</v>
      </c>
      <c r="O33" s="102" t="s">
        <v>1450</v>
      </c>
      <c r="P33" s="95"/>
      <c r="Q33" s="103">
        <v>6.0</v>
      </c>
      <c r="R33" s="171" t="s">
        <v>1451</v>
      </c>
      <c r="S33" s="103" t="s">
        <v>113</v>
      </c>
      <c r="T33" s="103" t="s">
        <v>1452</v>
      </c>
      <c r="V33" s="107"/>
    </row>
    <row r="34" ht="15.75" customHeight="1">
      <c r="A34" s="89"/>
      <c r="B34" s="96" t="s">
        <v>1446</v>
      </c>
      <c r="C34" s="97" t="s">
        <v>1453</v>
      </c>
      <c r="D34" s="95"/>
      <c r="E34" s="130" t="s">
        <v>1454</v>
      </c>
      <c r="F34" s="194" t="s">
        <v>1455</v>
      </c>
      <c r="G34" s="95"/>
      <c r="H34" s="96" t="s">
        <v>89</v>
      </c>
      <c r="I34" s="103" t="s">
        <v>276</v>
      </c>
      <c r="J34" s="95"/>
      <c r="K34" s="99">
        <v>10500.0</v>
      </c>
      <c r="L34" s="99">
        <v>3000.0</v>
      </c>
      <c r="M34" s="100"/>
      <c r="N34" s="127"/>
      <c r="O34" s="128"/>
      <c r="P34" s="95"/>
      <c r="Q34" s="103">
        <v>6.0</v>
      </c>
      <c r="R34" s="171" t="s">
        <v>1456</v>
      </c>
      <c r="S34" s="103" t="s">
        <v>113</v>
      </c>
      <c r="T34" s="103" t="s">
        <v>1457</v>
      </c>
      <c r="V34" s="107"/>
    </row>
    <row r="35" ht="15.75" customHeight="1">
      <c r="A35" s="89"/>
      <c r="B35" s="96" t="s">
        <v>1458</v>
      </c>
      <c r="C35" s="103" t="s">
        <v>1459</v>
      </c>
      <c r="D35" s="95"/>
      <c r="E35" s="130" t="s">
        <v>1460</v>
      </c>
      <c r="F35" s="194" t="s">
        <v>1461</v>
      </c>
      <c r="G35" s="95"/>
      <c r="H35" s="96" t="s">
        <v>89</v>
      </c>
      <c r="I35" s="103" t="s">
        <v>276</v>
      </c>
      <c r="J35" s="95"/>
      <c r="K35" s="99">
        <v>10500.0</v>
      </c>
      <c r="L35" s="99">
        <v>3000.0</v>
      </c>
      <c r="M35" s="100"/>
      <c r="N35" s="101" t="s">
        <v>60</v>
      </c>
      <c r="O35" s="102" t="s">
        <v>1158</v>
      </c>
      <c r="P35" s="95"/>
      <c r="Q35" s="103">
        <v>6.0</v>
      </c>
      <c r="R35" s="171" t="s">
        <v>1462</v>
      </c>
      <c r="S35" s="103" t="s">
        <v>113</v>
      </c>
      <c r="T35" s="103" t="s">
        <v>1463</v>
      </c>
      <c r="V35" s="107"/>
    </row>
    <row r="36" ht="15.75" customHeight="1">
      <c r="A36" s="89"/>
      <c r="B36" s="96" t="s">
        <v>1464</v>
      </c>
      <c r="C36" s="103" t="s">
        <v>1465</v>
      </c>
      <c r="D36" s="95"/>
      <c r="E36" s="130" t="s">
        <v>1466</v>
      </c>
      <c r="F36" s="194" t="s">
        <v>1467</v>
      </c>
      <c r="G36" s="95"/>
      <c r="H36" s="96" t="s">
        <v>89</v>
      </c>
      <c r="I36" s="103" t="s">
        <v>90</v>
      </c>
      <c r="J36" s="95"/>
      <c r="K36" s="113"/>
      <c r="L36" s="113"/>
      <c r="M36" s="100"/>
      <c r="N36" s="101" t="s">
        <v>45</v>
      </c>
      <c r="O36" s="102" t="s">
        <v>1468</v>
      </c>
      <c r="P36" s="95"/>
      <c r="Q36" s="103">
        <v>6.0</v>
      </c>
      <c r="R36" s="171" t="s">
        <v>1469</v>
      </c>
      <c r="S36" s="103" t="s">
        <v>94</v>
      </c>
      <c r="T36" s="103" t="s">
        <v>1470</v>
      </c>
      <c r="V36" s="107"/>
    </row>
    <row r="37" ht="15.75" customHeight="1">
      <c r="A37" s="89"/>
      <c r="B37" s="96" t="s">
        <v>1464</v>
      </c>
      <c r="C37" s="122" t="s">
        <v>1471</v>
      </c>
      <c r="D37" s="95"/>
      <c r="E37" s="130" t="s">
        <v>1472</v>
      </c>
      <c r="F37" s="194" t="s">
        <v>1473</v>
      </c>
      <c r="G37" s="95"/>
      <c r="H37" s="96" t="s">
        <v>89</v>
      </c>
      <c r="I37" s="103" t="s">
        <v>276</v>
      </c>
      <c r="J37" s="95"/>
      <c r="K37" s="99"/>
      <c r="L37" s="99">
        <v>3000.0</v>
      </c>
      <c r="M37" s="100"/>
      <c r="N37" s="101" t="s">
        <v>60</v>
      </c>
      <c r="O37" s="102" t="s">
        <v>1474</v>
      </c>
      <c r="P37" s="95"/>
      <c r="Q37" s="103" t="s">
        <v>1475</v>
      </c>
      <c r="R37" s="171" t="s">
        <v>1476</v>
      </c>
      <c r="S37" s="103" t="s">
        <v>113</v>
      </c>
      <c r="T37" s="103" t="s">
        <v>1477</v>
      </c>
      <c r="V37" s="107"/>
    </row>
    <row r="38" ht="15.75" customHeight="1">
      <c r="A38" s="89"/>
      <c r="B38" s="96" t="s">
        <v>1478</v>
      </c>
      <c r="C38" s="122" t="s">
        <v>1479</v>
      </c>
      <c r="D38" s="95"/>
      <c r="E38" s="130" t="s">
        <v>1480</v>
      </c>
      <c r="F38" s="194" t="s">
        <v>1481</v>
      </c>
      <c r="G38" s="95"/>
      <c r="H38" s="96" t="s">
        <v>89</v>
      </c>
      <c r="I38" s="103" t="s">
        <v>90</v>
      </c>
      <c r="J38" s="95"/>
      <c r="K38" s="113"/>
      <c r="L38" s="113"/>
      <c r="M38" s="100"/>
      <c r="N38" s="101" t="s">
        <v>45</v>
      </c>
      <c r="O38" s="102" t="s">
        <v>1482</v>
      </c>
      <c r="P38" s="95"/>
      <c r="Q38" s="103">
        <v>6.0</v>
      </c>
      <c r="R38" s="171" t="s">
        <v>1483</v>
      </c>
      <c r="S38" s="103" t="s">
        <v>157</v>
      </c>
      <c r="T38" s="124" t="s">
        <v>1484</v>
      </c>
      <c r="V38" s="107"/>
    </row>
    <row r="39" ht="15.75" customHeight="1">
      <c r="A39" s="89"/>
      <c r="B39" s="177"/>
      <c r="C39" s="97"/>
      <c r="D39" s="95"/>
      <c r="E39" s="176"/>
      <c r="F39" s="178"/>
      <c r="G39" s="95"/>
      <c r="H39" s="96"/>
      <c r="I39" s="103"/>
      <c r="J39" s="95"/>
      <c r="K39" s="99"/>
      <c r="L39" s="99"/>
      <c r="M39" s="100"/>
      <c r="N39" s="127"/>
      <c r="O39" s="128"/>
      <c r="P39" s="95"/>
      <c r="Q39" s="114"/>
      <c r="R39" s="106"/>
      <c r="S39" s="95"/>
      <c r="T39" s="103"/>
      <c r="V39" s="107"/>
    </row>
    <row r="40" ht="15.75" customHeight="1">
      <c r="A40" s="89"/>
      <c r="B40" s="96"/>
      <c r="C40" s="222"/>
      <c r="D40" s="95"/>
      <c r="E40" s="213"/>
      <c r="F40" s="224"/>
      <c r="G40" s="95"/>
      <c r="H40" s="96"/>
      <c r="I40" s="103"/>
      <c r="J40" s="95"/>
      <c r="K40" s="113"/>
      <c r="L40" s="113"/>
      <c r="M40" s="100"/>
      <c r="N40" s="101"/>
      <c r="O40" s="102"/>
      <c r="P40" s="95"/>
      <c r="Q40" s="114"/>
      <c r="R40" s="106"/>
      <c r="S40" s="103"/>
      <c r="T40" s="103"/>
      <c r="V40" s="107"/>
    </row>
    <row r="41" ht="15.75" customHeight="1">
      <c r="A41" s="89"/>
      <c r="B41" s="96" t="s">
        <v>1338</v>
      </c>
      <c r="C41" s="228" t="s">
        <v>1485</v>
      </c>
      <c r="D41" s="95"/>
      <c r="E41" s="213" t="s">
        <v>1486</v>
      </c>
      <c r="F41" s="146" t="s">
        <v>1487</v>
      </c>
      <c r="G41" s="95"/>
      <c r="H41" s="96" t="s">
        <v>89</v>
      </c>
      <c r="I41" s="103" t="s">
        <v>849</v>
      </c>
      <c r="J41" s="95"/>
      <c r="K41" s="99"/>
      <c r="L41" s="99"/>
      <c r="M41" s="100"/>
      <c r="N41" s="127"/>
      <c r="O41" s="102" t="s">
        <v>1488</v>
      </c>
      <c r="P41" s="95"/>
      <c r="Q41" s="95"/>
      <c r="R41" s="129"/>
      <c r="S41" s="95"/>
      <c r="T41" s="95"/>
      <c r="V41" s="107"/>
    </row>
    <row r="42" ht="15.75" customHeight="1">
      <c r="A42" s="89"/>
      <c r="B42" s="96" t="s">
        <v>1357</v>
      </c>
      <c r="C42" s="229" t="s">
        <v>1489</v>
      </c>
      <c r="D42" s="95"/>
      <c r="E42" s="213" t="s">
        <v>1490</v>
      </c>
      <c r="F42" s="217" t="s">
        <v>1491</v>
      </c>
      <c r="G42" s="95"/>
      <c r="H42" s="96" t="s">
        <v>89</v>
      </c>
      <c r="I42" s="103" t="s">
        <v>849</v>
      </c>
      <c r="J42" s="95"/>
      <c r="K42" s="113"/>
      <c r="L42" s="113"/>
      <c r="M42" s="100"/>
      <c r="N42" s="101"/>
      <c r="O42" s="102"/>
      <c r="P42" s="95"/>
      <c r="Q42" s="114"/>
      <c r="R42" s="106"/>
      <c r="S42" s="103"/>
      <c r="T42" s="103"/>
      <c r="V42" s="107"/>
    </row>
    <row r="43" ht="15.75" customHeight="1">
      <c r="A43" s="89"/>
      <c r="B43" s="96" t="s">
        <v>1369</v>
      </c>
      <c r="C43" s="229" t="s">
        <v>1492</v>
      </c>
      <c r="D43" s="95"/>
      <c r="E43" s="213" t="s">
        <v>1493</v>
      </c>
      <c r="F43" s="217" t="s">
        <v>1494</v>
      </c>
      <c r="G43" s="95"/>
      <c r="H43" s="96" t="s">
        <v>89</v>
      </c>
      <c r="I43" s="103" t="s">
        <v>849</v>
      </c>
      <c r="J43" s="95"/>
      <c r="K43" s="99"/>
      <c r="L43" s="99"/>
      <c r="M43" s="100"/>
      <c r="N43" s="127"/>
      <c r="O43" s="128"/>
      <c r="P43" s="95"/>
      <c r="Q43" s="137"/>
      <c r="R43" s="129"/>
      <c r="S43" s="95"/>
      <c r="T43" s="95"/>
      <c r="V43" s="107"/>
    </row>
    <row r="44" ht="15.75" customHeight="1">
      <c r="A44" s="89"/>
      <c r="B44" s="96" t="s">
        <v>1421</v>
      </c>
      <c r="C44" s="229" t="s">
        <v>1495</v>
      </c>
      <c r="D44" s="95"/>
      <c r="E44" s="213" t="s">
        <v>1496</v>
      </c>
      <c r="F44" s="217" t="s">
        <v>1497</v>
      </c>
      <c r="G44" s="95"/>
      <c r="H44" s="96" t="s">
        <v>89</v>
      </c>
      <c r="I44" s="103" t="s">
        <v>849</v>
      </c>
      <c r="J44" s="95"/>
      <c r="K44" s="113"/>
      <c r="L44" s="113"/>
      <c r="M44" s="100"/>
      <c r="N44" s="127"/>
      <c r="O44" s="128"/>
      <c r="P44" s="95"/>
      <c r="Q44" s="95"/>
      <c r="R44" s="129"/>
      <c r="S44" s="95"/>
      <c r="T44" s="95"/>
      <c r="V44" s="107"/>
    </row>
    <row r="45" ht="15.75" customHeight="1">
      <c r="A45" s="89"/>
      <c r="B45" s="96" t="s">
        <v>1433</v>
      </c>
      <c r="C45" s="228" t="s">
        <v>1498</v>
      </c>
      <c r="D45" s="95"/>
      <c r="E45" s="213" t="s">
        <v>1499</v>
      </c>
      <c r="F45" s="217" t="s">
        <v>1500</v>
      </c>
      <c r="G45" s="95"/>
      <c r="H45" s="96" t="s">
        <v>89</v>
      </c>
      <c r="I45" s="103" t="s">
        <v>849</v>
      </c>
      <c r="J45" s="95"/>
      <c r="K45" s="99"/>
      <c r="L45" s="99"/>
      <c r="M45" s="100"/>
      <c r="N45" s="127"/>
      <c r="O45" s="128"/>
      <c r="P45" s="95"/>
      <c r="Q45" s="95"/>
      <c r="R45" s="129"/>
      <c r="S45" s="95"/>
      <c r="T45" s="95"/>
      <c r="V45" s="107"/>
    </row>
    <row r="46" ht="15.75" customHeight="1">
      <c r="A46" s="89"/>
      <c r="B46" s="177"/>
      <c r="C46" s="97"/>
      <c r="D46" s="95"/>
      <c r="E46" s="176"/>
      <c r="F46" s="144"/>
      <c r="G46" s="95"/>
      <c r="H46" s="96"/>
      <c r="I46" s="103"/>
      <c r="J46" s="95"/>
      <c r="K46" s="113"/>
      <c r="L46" s="113"/>
      <c r="M46" s="100"/>
      <c r="N46" s="127"/>
      <c r="O46" s="128"/>
      <c r="P46" s="95"/>
      <c r="Q46" s="95"/>
      <c r="R46" s="129"/>
      <c r="S46" s="95"/>
      <c r="T46" s="95"/>
      <c r="V46" s="107"/>
    </row>
    <row r="47" ht="15.75" customHeight="1">
      <c r="A47" s="89"/>
      <c r="B47" s="96" t="s">
        <v>1501</v>
      </c>
      <c r="C47" s="97" t="s">
        <v>1502</v>
      </c>
      <c r="D47" s="95"/>
      <c r="E47" s="213" t="s">
        <v>1503</v>
      </c>
      <c r="F47" s="217" t="s">
        <v>1504</v>
      </c>
      <c r="G47" s="95"/>
      <c r="H47" s="96" t="s">
        <v>89</v>
      </c>
      <c r="I47" s="103" t="s">
        <v>90</v>
      </c>
      <c r="J47" s="95"/>
      <c r="K47" s="99"/>
      <c r="L47" s="99"/>
      <c r="M47" s="100"/>
      <c r="N47" s="101" t="s">
        <v>45</v>
      </c>
      <c r="O47" s="102" t="s">
        <v>1505</v>
      </c>
      <c r="P47" s="95"/>
      <c r="Q47" s="103">
        <v>6.0</v>
      </c>
      <c r="R47" s="170" t="s">
        <v>1506</v>
      </c>
      <c r="S47" s="103" t="s">
        <v>157</v>
      </c>
      <c r="T47" s="103" t="s">
        <v>1507</v>
      </c>
      <c r="V47" s="107"/>
    </row>
    <row r="48" ht="15.75" customHeight="1">
      <c r="A48" s="89"/>
      <c r="B48" s="96" t="s">
        <v>1501</v>
      </c>
      <c r="C48" s="97" t="s">
        <v>1508</v>
      </c>
      <c r="D48" s="95"/>
      <c r="E48" s="130" t="s">
        <v>1509</v>
      </c>
      <c r="F48" s="194" t="s">
        <v>1510</v>
      </c>
      <c r="G48" s="95"/>
      <c r="H48" s="96" t="s">
        <v>89</v>
      </c>
      <c r="I48" s="103" t="s">
        <v>276</v>
      </c>
      <c r="J48" s="95"/>
      <c r="K48" s="99">
        <v>10500.0</v>
      </c>
      <c r="L48" s="99">
        <v>1500.0</v>
      </c>
      <c r="M48" s="100"/>
      <c r="N48" s="101" t="s">
        <v>45</v>
      </c>
      <c r="O48" s="102" t="s">
        <v>1511</v>
      </c>
      <c r="P48" s="95"/>
      <c r="Q48" s="103">
        <v>6.0</v>
      </c>
      <c r="R48" s="171" t="s">
        <v>1512</v>
      </c>
      <c r="S48" s="103" t="s">
        <v>113</v>
      </c>
      <c r="T48" s="103" t="s">
        <v>1513</v>
      </c>
      <c r="V48" s="107"/>
    </row>
    <row r="49" ht="15.75" customHeight="1">
      <c r="A49" s="89"/>
      <c r="B49" s="96" t="s">
        <v>1514</v>
      </c>
      <c r="C49" s="130" t="s">
        <v>1515</v>
      </c>
      <c r="D49" s="95"/>
      <c r="E49" s="130" t="s">
        <v>1516</v>
      </c>
      <c r="F49" s="194" t="s">
        <v>1517</v>
      </c>
      <c r="G49" s="95"/>
      <c r="H49" s="96" t="s">
        <v>89</v>
      </c>
      <c r="I49" s="103" t="s">
        <v>545</v>
      </c>
      <c r="J49" s="95"/>
      <c r="K49" s="99"/>
      <c r="L49" s="99"/>
      <c r="M49" s="100"/>
      <c r="N49" s="101"/>
      <c r="O49" s="102" t="s">
        <v>1518</v>
      </c>
      <c r="P49" s="95"/>
      <c r="Q49" s="135"/>
      <c r="R49" s="106"/>
      <c r="S49" s="103"/>
      <c r="T49" s="103"/>
      <c r="V49" s="107"/>
    </row>
    <row r="50" ht="15.75" customHeight="1">
      <c r="A50" s="89"/>
      <c r="B50" s="96" t="s">
        <v>1519</v>
      </c>
      <c r="C50" s="103" t="s">
        <v>1515</v>
      </c>
      <c r="D50" s="95"/>
      <c r="E50" s="176" t="s">
        <v>1516</v>
      </c>
      <c r="F50" s="146" t="s">
        <v>1517</v>
      </c>
      <c r="G50" s="95"/>
      <c r="H50" s="96" t="s">
        <v>89</v>
      </c>
      <c r="I50" s="103" t="s">
        <v>944</v>
      </c>
      <c r="J50" s="95"/>
      <c r="K50" s="113"/>
      <c r="L50" s="113"/>
      <c r="M50" s="100"/>
      <c r="N50" s="101" t="s">
        <v>45</v>
      </c>
      <c r="O50" s="102" t="s">
        <v>1520</v>
      </c>
      <c r="P50" s="95"/>
      <c r="Q50" s="103">
        <v>6.0</v>
      </c>
      <c r="R50" s="171" t="s">
        <v>1521</v>
      </c>
      <c r="S50" s="103" t="s">
        <v>113</v>
      </c>
      <c r="T50" s="103" t="s">
        <v>1522</v>
      </c>
      <c r="V50" s="107"/>
    </row>
    <row r="51" ht="15.75" customHeight="1">
      <c r="A51" s="89"/>
      <c r="B51" s="96" t="s">
        <v>1519</v>
      </c>
      <c r="C51" s="130" t="s">
        <v>1523</v>
      </c>
      <c r="D51" s="95"/>
      <c r="E51" s="130" t="s">
        <v>1524</v>
      </c>
      <c r="F51" s="194" t="s">
        <v>1525</v>
      </c>
      <c r="G51" s="95"/>
      <c r="H51" s="96" t="s">
        <v>89</v>
      </c>
      <c r="I51" s="103" t="s">
        <v>944</v>
      </c>
      <c r="J51" s="95"/>
      <c r="K51" s="99"/>
      <c r="L51" s="99"/>
      <c r="M51" s="100"/>
      <c r="N51" s="101" t="s">
        <v>45</v>
      </c>
      <c r="O51" s="102" t="s">
        <v>1526</v>
      </c>
      <c r="P51" s="95"/>
      <c r="Q51" s="103" t="s">
        <v>1527</v>
      </c>
      <c r="R51" s="171" t="s">
        <v>1528</v>
      </c>
      <c r="S51" s="103" t="s">
        <v>94</v>
      </c>
      <c r="T51" s="103" t="s">
        <v>1529</v>
      </c>
      <c r="V51" s="107"/>
    </row>
    <row r="52" ht="15.75" customHeight="1">
      <c r="A52" s="89"/>
      <c r="B52" s="96" t="s">
        <v>1530</v>
      </c>
      <c r="C52" s="103" t="s">
        <v>1531</v>
      </c>
      <c r="D52" s="95"/>
      <c r="E52" s="130" t="s">
        <v>1532</v>
      </c>
      <c r="F52" s="194" t="s">
        <v>1533</v>
      </c>
      <c r="G52" s="95"/>
      <c r="H52" s="96" t="s">
        <v>89</v>
      </c>
      <c r="I52" s="103"/>
      <c r="J52" s="95"/>
      <c r="K52" s="113"/>
      <c r="L52" s="113"/>
      <c r="M52" s="100"/>
      <c r="N52" s="101" t="s">
        <v>45</v>
      </c>
      <c r="O52" s="102" t="s">
        <v>1534</v>
      </c>
      <c r="P52" s="95"/>
      <c r="Q52" s="103">
        <v>6.0</v>
      </c>
      <c r="R52" s="171" t="s">
        <v>1535</v>
      </c>
      <c r="S52" s="103" t="s">
        <v>157</v>
      </c>
      <c r="T52" s="103" t="s">
        <v>1536</v>
      </c>
      <c r="V52" s="107"/>
    </row>
    <row r="53" ht="15.75" customHeight="1">
      <c r="A53" s="89"/>
      <c r="B53" s="96" t="s">
        <v>1530</v>
      </c>
      <c r="C53" s="97" t="s">
        <v>1537</v>
      </c>
      <c r="D53" s="95"/>
      <c r="E53" s="130" t="s">
        <v>1538</v>
      </c>
      <c r="F53" s="194" t="s">
        <v>1539</v>
      </c>
      <c r="G53" s="95"/>
      <c r="H53" s="96" t="s">
        <v>89</v>
      </c>
      <c r="I53" s="103" t="s">
        <v>276</v>
      </c>
      <c r="J53" s="95"/>
      <c r="K53" s="99">
        <v>10500.0</v>
      </c>
      <c r="L53" s="99">
        <v>1500.0</v>
      </c>
      <c r="M53" s="100"/>
      <c r="N53" s="101" t="s">
        <v>45</v>
      </c>
      <c r="O53" s="102" t="s">
        <v>1540</v>
      </c>
      <c r="P53" s="95"/>
      <c r="Q53" s="103">
        <v>6.0</v>
      </c>
      <c r="R53" s="171" t="s">
        <v>1541</v>
      </c>
      <c r="S53" s="103" t="s">
        <v>113</v>
      </c>
      <c r="T53" s="103" t="s">
        <v>1542</v>
      </c>
      <c r="V53" s="107"/>
    </row>
    <row r="54" ht="15.75" customHeight="1">
      <c r="A54" s="89"/>
      <c r="B54" s="96" t="s">
        <v>1530</v>
      </c>
      <c r="C54" s="96" t="s">
        <v>1543</v>
      </c>
      <c r="D54" s="95"/>
      <c r="E54" s="130" t="s">
        <v>1544</v>
      </c>
      <c r="F54" s="194" t="s">
        <v>1545</v>
      </c>
      <c r="G54" s="95"/>
      <c r="H54" s="96" t="s">
        <v>89</v>
      </c>
      <c r="I54" s="103" t="s">
        <v>90</v>
      </c>
      <c r="J54" s="95"/>
      <c r="K54" s="113"/>
      <c r="L54" s="113"/>
      <c r="M54" s="100"/>
      <c r="N54" s="101" t="s">
        <v>45</v>
      </c>
      <c r="O54" s="102" t="s">
        <v>1546</v>
      </c>
      <c r="P54" s="95"/>
      <c r="Q54" s="103">
        <v>6.0</v>
      </c>
      <c r="R54" s="139" t="s">
        <v>1547</v>
      </c>
      <c r="S54" s="103" t="s">
        <v>94</v>
      </c>
      <c r="T54" s="103" t="s">
        <v>1548</v>
      </c>
      <c r="V54" s="107"/>
    </row>
    <row r="55" ht="15.75" customHeight="1">
      <c r="A55" s="89"/>
      <c r="B55" s="96" t="s">
        <v>1549</v>
      </c>
      <c r="C55" s="96" t="s">
        <v>1550</v>
      </c>
      <c r="D55" s="95"/>
      <c r="E55" s="130" t="s">
        <v>1551</v>
      </c>
      <c r="F55" s="194" t="s">
        <v>1552</v>
      </c>
      <c r="G55" s="95"/>
      <c r="H55" s="96" t="s">
        <v>89</v>
      </c>
      <c r="I55" s="103" t="s">
        <v>944</v>
      </c>
      <c r="J55" s="95"/>
      <c r="K55" s="99"/>
      <c r="L55" s="99"/>
      <c r="M55" s="100"/>
      <c r="N55" s="101" t="s">
        <v>91</v>
      </c>
      <c r="O55" s="102" t="s">
        <v>1553</v>
      </c>
      <c r="P55" s="95"/>
      <c r="Q55" s="103">
        <v>6.0</v>
      </c>
      <c r="R55" s="171" t="s">
        <v>1554</v>
      </c>
      <c r="S55" s="103" t="s">
        <v>157</v>
      </c>
      <c r="T55" s="103" t="s">
        <v>1555</v>
      </c>
      <c r="V55" s="107"/>
    </row>
    <row r="56" ht="15.75" customHeight="1">
      <c r="A56" s="89"/>
      <c r="B56" s="96" t="s">
        <v>1549</v>
      </c>
      <c r="C56" s="96" t="s">
        <v>1556</v>
      </c>
      <c r="D56" s="95"/>
      <c r="E56" s="130" t="s">
        <v>1557</v>
      </c>
      <c r="F56" s="194" t="s">
        <v>1558</v>
      </c>
      <c r="G56" s="95"/>
      <c r="H56" s="96" t="s">
        <v>89</v>
      </c>
      <c r="I56" s="103" t="s">
        <v>951</v>
      </c>
      <c r="J56" s="95"/>
      <c r="K56" s="113"/>
      <c r="L56" s="113"/>
      <c r="M56" s="100"/>
      <c r="N56" s="127"/>
      <c r="O56" s="128"/>
      <c r="P56" s="95"/>
      <c r="Q56" s="114"/>
      <c r="R56" s="106"/>
      <c r="S56" s="95"/>
      <c r="T56" s="103"/>
      <c r="V56" s="107"/>
    </row>
    <row r="57" ht="15.75" customHeight="1">
      <c r="A57" s="89"/>
      <c r="B57" s="96" t="s">
        <v>1549</v>
      </c>
      <c r="C57" s="122" t="s">
        <v>1559</v>
      </c>
      <c r="D57" s="95"/>
      <c r="E57" s="130" t="s">
        <v>1560</v>
      </c>
      <c r="F57" s="194" t="s">
        <v>1561</v>
      </c>
      <c r="G57" s="95"/>
      <c r="H57" s="96" t="s">
        <v>89</v>
      </c>
      <c r="I57" s="103" t="s">
        <v>90</v>
      </c>
      <c r="J57" s="95"/>
      <c r="K57" s="99"/>
      <c r="L57" s="99"/>
      <c r="M57" s="100"/>
      <c r="N57" s="101" t="s">
        <v>45</v>
      </c>
      <c r="O57" s="102" t="s">
        <v>1562</v>
      </c>
      <c r="P57" s="95"/>
      <c r="Q57" s="103">
        <v>6.0</v>
      </c>
      <c r="R57" s="171" t="s">
        <v>1563</v>
      </c>
      <c r="S57" s="103" t="s">
        <v>94</v>
      </c>
      <c r="T57" s="103" t="s">
        <v>1564</v>
      </c>
      <c r="V57" s="107"/>
    </row>
    <row r="58" ht="15.75" customHeight="1">
      <c r="A58" s="89"/>
      <c r="B58" s="177"/>
      <c r="C58" s="106"/>
      <c r="D58" s="95"/>
      <c r="E58" s="176"/>
      <c r="F58" s="144"/>
      <c r="G58" s="95"/>
      <c r="H58" s="96"/>
      <c r="I58" s="103"/>
      <c r="J58" s="95"/>
      <c r="K58" s="113"/>
      <c r="L58" s="113"/>
      <c r="M58" s="100"/>
      <c r="N58" s="101"/>
      <c r="O58" s="102"/>
      <c r="P58" s="95"/>
      <c r="Q58" s="114"/>
      <c r="R58" s="106"/>
      <c r="S58" s="103"/>
      <c r="T58" s="103"/>
      <c r="V58" s="107"/>
    </row>
    <row r="59" ht="15.75" customHeight="1">
      <c r="A59" s="89"/>
      <c r="B59" s="177"/>
      <c r="C59" s="106"/>
      <c r="D59" s="95"/>
      <c r="E59" s="176"/>
      <c r="F59" s="144"/>
      <c r="G59" s="95"/>
      <c r="H59" s="96"/>
      <c r="I59" s="103"/>
      <c r="J59" s="95"/>
      <c r="K59" s="99"/>
      <c r="L59" s="99"/>
      <c r="M59" s="100"/>
      <c r="N59" s="127"/>
      <c r="O59" s="128"/>
      <c r="P59" s="95"/>
      <c r="Q59" s="95"/>
      <c r="R59" s="129"/>
      <c r="S59" s="95"/>
      <c r="T59" s="95"/>
      <c r="V59" s="107"/>
    </row>
    <row r="60" ht="15.75" customHeight="1">
      <c r="A60" s="89"/>
      <c r="B60" s="177"/>
      <c r="C60" s="106"/>
      <c r="D60" s="95"/>
      <c r="E60" s="96"/>
      <c r="F60" s="144"/>
      <c r="G60" s="95"/>
      <c r="H60" s="96"/>
      <c r="I60" s="103"/>
      <c r="J60" s="95"/>
      <c r="K60" s="113"/>
      <c r="L60" s="113"/>
      <c r="M60" s="100"/>
      <c r="N60" s="127"/>
      <c r="O60" s="128"/>
      <c r="P60" s="95"/>
      <c r="Q60" s="114"/>
      <c r="R60" s="106"/>
      <c r="S60" s="95"/>
      <c r="T60" s="103"/>
      <c r="V60" s="107"/>
    </row>
    <row r="61" ht="15.75" customHeight="1">
      <c r="A61" s="89"/>
      <c r="B61" s="177"/>
      <c r="C61" s="96"/>
      <c r="D61" s="95"/>
      <c r="E61" s="176"/>
      <c r="F61" s="146"/>
      <c r="G61" s="95"/>
      <c r="H61" s="96"/>
      <c r="I61" s="103"/>
      <c r="J61" s="95"/>
      <c r="K61" s="99"/>
      <c r="L61" s="99"/>
      <c r="M61" s="100"/>
      <c r="N61" s="127"/>
      <c r="O61" s="128"/>
      <c r="P61" s="95"/>
      <c r="Q61" s="95"/>
      <c r="R61" s="129"/>
      <c r="S61" s="95"/>
      <c r="T61" s="95"/>
      <c r="V61" s="107"/>
    </row>
    <row r="62" ht="15.75" customHeight="1">
      <c r="A62" s="89"/>
      <c r="B62" s="177"/>
      <c r="C62" s="96"/>
      <c r="D62" s="95"/>
      <c r="E62" s="176"/>
      <c r="F62" s="144"/>
      <c r="G62" s="95"/>
      <c r="H62" s="96"/>
      <c r="I62" s="103"/>
      <c r="J62" s="95"/>
      <c r="K62" s="113"/>
      <c r="L62" s="113"/>
      <c r="M62" s="100"/>
      <c r="N62" s="127"/>
      <c r="O62" s="128"/>
      <c r="P62" s="95"/>
      <c r="Q62" s="95"/>
      <c r="R62" s="129"/>
      <c r="S62" s="95"/>
      <c r="T62" s="95"/>
      <c r="V62" s="107"/>
    </row>
    <row r="63" ht="15.75" customHeight="1">
      <c r="A63" s="89"/>
      <c r="B63" s="177"/>
      <c r="C63" s="140"/>
      <c r="D63" s="95"/>
      <c r="E63" s="176"/>
      <c r="F63" s="146"/>
      <c r="G63" s="95"/>
      <c r="H63" s="96"/>
      <c r="I63" s="103"/>
      <c r="J63" s="95"/>
      <c r="K63" s="99"/>
      <c r="L63" s="99"/>
      <c r="M63" s="100"/>
      <c r="N63" s="127"/>
      <c r="O63" s="128"/>
      <c r="P63" s="95"/>
      <c r="Q63" s="95"/>
      <c r="R63" s="129"/>
      <c r="S63" s="95"/>
      <c r="T63" s="95"/>
      <c r="V63" s="107"/>
    </row>
    <row r="64" ht="15.75" customHeight="1">
      <c r="A64" s="89"/>
      <c r="B64" s="177"/>
      <c r="C64" s="141"/>
      <c r="D64" s="95"/>
      <c r="E64" s="176"/>
      <c r="F64" s="144"/>
      <c r="G64" s="95"/>
      <c r="H64" s="96"/>
      <c r="I64" s="103"/>
      <c r="J64" s="95"/>
      <c r="K64" s="113"/>
      <c r="L64" s="113"/>
      <c r="M64" s="100"/>
      <c r="N64" s="101"/>
      <c r="O64" s="102"/>
      <c r="P64" s="95"/>
      <c r="Q64" s="114"/>
      <c r="R64" s="115"/>
      <c r="S64" s="103"/>
      <c r="T64" s="103"/>
      <c r="V64" s="107"/>
    </row>
    <row r="65" ht="15.75" customHeight="1">
      <c r="A65" s="89"/>
      <c r="B65" s="177"/>
      <c r="C65" s="97"/>
      <c r="D65" s="95"/>
      <c r="E65" s="176"/>
      <c r="F65" s="144"/>
      <c r="G65" s="95"/>
      <c r="H65" s="96"/>
      <c r="I65" s="103"/>
      <c r="J65" s="95"/>
      <c r="K65" s="99"/>
      <c r="L65" s="99"/>
      <c r="M65" s="100"/>
      <c r="N65" s="101"/>
      <c r="O65" s="102"/>
      <c r="P65" s="95"/>
      <c r="Q65" s="135"/>
      <c r="R65" s="115"/>
      <c r="S65" s="103"/>
      <c r="T65" s="103"/>
      <c r="V65" s="107"/>
    </row>
    <row r="66" ht="15.75" customHeight="1">
      <c r="A66" s="89"/>
      <c r="B66" s="177"/>
      <c r="C66" s="106"/>
      <c r="D66" s="95"/>
      <c r="E66" s="176"/>
      <c r="F66" s="144"/>
      <c r="G66" s="95"/>
      <c r="H66" s="96"/>
      <c r="I66" s="103"/>
      <c r="J66" s="95"/>
      <c r="K66" s="113"/>
      <c r="L66" s="113"/>
      <c r="M66" s="100"/>
      <c r="N66" s="127"/>
      <c r="O66" s="128"/>
      <c r="P66" s="95"/>
      <c r="Q66" s="95"/>
      <c r="R66" s="129"/>
      <c r="S66" s="95"/>
      <c r="T66" s="95"/>
      <c r="V66" s="107"/>
    </row>
    <row r="67" ht="15.75" customHeight="1">
      <c r="A67" s="89"/>
      <c r="B67" s="177"/>
      <c r="C67" s="106"/>
      <c r="D67" s="95"/>
      <c r="E67" s="96"/>
      <c r="F67" s="144"/>
      <c r="G67" s="95"/>
      <c r="H67" s="96"/>
      <c r="I67" s="103"/>
      <c r="J67" s="95"/>
      <c r="K67" s="99"/>
      <c r="L67" s="99"/>
      <c r="M67" s="100"/>
      <c r="N67" s="127"/>
      <c r="O67" s="128"/>
      <c r="P67" s="95"/>
      <c r="Q67" s="135"/>
      <c r="R67" s="106"/>
      <c r="S67" s="103"/>
      <c r="T67" s="103"/>
      <c r="V67" s="107"/>
    </row>
    <row r="68" ht="15.75" customHeight="1">
      <c r="A68" s="89"/>
      <c r="B68" s="177"/>
      <c r="C68" s="106"/>
      <c r="D68" s="95"/>
      <c r="E68" s="96"/>
      <c r="F68" s="144"/>
      <c r="G68" s="95"/>
      <c r="H68" s="96"/>
      <c r="I68" s="103"/>
      <c r="J68" s="95"/>
      <c r="K68" s="113"/>
      <c r="L68" s="113"/>
      <c r="M68" s="100"/>
      <c r="N68" s="127"/>
      <c r="O68" s="128"/>
      <c r="P68" s="95"/>
      <c r="Q68" s="135"/>
      <c r="R68" s="129"/>
      <c r="S68" s="95"/>
      <c r="T68" s="103"/>
      <c r="V68" s="107"/>
    </row>
    <row r="69" ht="15.75" customHeight="1">
      <c r="A69" s="89"/>
      <c r="B69" s="177"/>
      <c r="C69" s="96"/>
      <c r="D69" s="95"/>
      <c r="E69" s="96"/>
      <c r="F69" s="146"/>
      <c r="G69" s="95"/>
      <c r="H69" s="96"/>
      <c r="I69" s="103"/>
      <c r="J69" s="95"/>
      <c r="K69" s="99"/>
      <c r="L69" s="99"/>
      <c r="M69" s="100"/>
      <c r="N69" s="127"/>
      <c r="O69" s="128"/>
      <c r="P69" s="95"/>
      <c r="Q69" s="114"/>
      <c r="R69" s="106"/>
      <c r="S69" s="103"/>
      <c r="T69" s="103"/>
      <c r="V69" s="107"/>
    </row>
    <row r="70" ht="15.75" customHeight="1">
      <c r="A70" s="89"/>
      <c r="B70" s="177"/>
      <c r="C70" s="96"/>
      <c r="D70" s="95"/>
      <c r="E70" s="96"/>
      <c r="F70" s="144"/>
      <c r="G70" s="95"/>
      <c r="H70" s="96"/>
      <c r="I70" s="103"/>
      <c r="J70" s="95"/>
      <c r="K70" s="113"/>
      <c r="L70" s="113"/>
      <c r="M70" s="100"/>
      <c r="N70" s="127"/>
      <c r="O70" s="128"/>
      <c r="P70" s="95"/>
      <c r="Q70" s="137"/>
      <c r="R70" s="129"/>
      <c r="S70" s="95"/>
      <c r="T70" s="95"/>
      <c r="V70" s="107"/>
    </row>
    <row r="71" ht="15.75" customHeight="1">
      <c r="A71" s="89"/>
      <c r="B71" s="177"/>
      <c r="C71" s="96"/>
      <c r="D71" s="95"/>
      <c r="E71" s="96"/>
      <c r="F71" s="144"/>
      <c r="G71" s="95"/>
      <c r="H71" s="96"/>
      <c r="I71" s="103"/>
      <c r="J71" s="95"/>
      <c r="K71" s="99"/>
      <c r="L71" s="99"/>
      <c r="M71" s="100"/>
      <c r="N71" s="127"/>
      <c r="O71" s="128"/>
      <c r="P71" s="95"/>
      <c r="Q71" s="135"/>
      <c r="R71" s="106"/>
      <c r="S71" s="103"/>
      <c r="T71" s="103"/>
      <c r="V71" s="107"/>
    </row>
    <row r="72" ht="15.75" customHeight="1">
      <c r="A72" s="89"/>
      <c r="B72" s="177"/>
      <c r="C72" s="96"/>
      <c r="D72" s="95"/>
      <c r="E72" s="176"/>
      <c r="F72" s="144"/>
      <c r="G72" s="95"/>
      <c r="H72" s="96"/>
      <c r="I72" s="103"/>
      <c r="J72" s="95"/>
      <c r="K72" s="113"/>
      <c r="L72" s="113"/>
      <c r="M72" s="100"/>
      <c r="N72" s="101"/>
      <c r="O72" s="128"/>
      <c r="P72" s="95"/>
      <c r="Q72" s="135"/>
      <c r="R72" s="106"/>
      <c r="S72" s="103"/>
      <c r="T72" s="103"/>
      <c r="V72" s="107"/>
    </row>
    <row r="73" ht="15.75" customHeight="1">
      <c r="A73" s="89"/>
      <c r="B73" s="177"/>
      <c r="C73" s="96"/>
      <c r="D73" s="95"/>
      <c r="E73" s="176"/>
      <c r="F73" s="146"/>
      <c r="G73" s="95"/>
      <c r="H73" s="96"/>
      <c r="I73" s="103"/>
      <c r="J73" s="95"/>
      <c r="K73" s="99"/>
      <c r="L73" s="99"/>
      <c r="M73" s="100"/>
      <c r="N73" s="101"/>
      <c r="O73" s="128"/>
      <c r="P73" s="95"/>
      <c r="Q73" s="114"/>
      <c r="R73" s="106"/>
      <c r="S73" s="103"/>
      <c r="T73" s="103"/>
      <c r="V73" s="107"/>
    </row>
    <row r="74" ht="15.75" customHeight="1">
      <c r="A74" s="89"/>
      <c r="B74" s="177"/>
      <c r="C74" s="106"/>
      <c r="D74" s="95"/>
      <c r="E74" s="176"/>
      <c r="F74" s="144"/>
      <c r="G74" s="95"/>
      <c r="H74" s="96"/>
      <c r="I74" s="103"/>
      <c r="J74" s="95"/>
      <c r="K74" s="113"/>
      <c r="L74" s="113"/>
      <c r="M74" s="100"/>
      <c r="N74" s="101"/>
      <c r="O74" s="128"/>
      <c r="P74" s="95"/>
      <c r="Q74" s="114"/>
      <c r="R74" s="106"/>
      <c r="S74" s="103"/>
      <c r="T74" s="103"/>
      <c r="V74" s="107"/>
    </row>
    <row r="75" ht="15.75" customHeight="1">
      <c r="A75" s="89"/>
      <c r="B75" s="177"/>
      <c r="C75" s="106"/>
      <c r="D75" s="95"/>
      <c r="E75" s="176"/>
      <c r="F75" s="144"/>
      <c r="G75" s="95"/>
      <c r="H75" s="96"/>
      <c r="I75" s="103"/>
      <c r="J75" s="95"/>
      <c r="K75" s="99"/>
      <c r="L75" s="99"/>
      <c r="M75" s="100"/>
      <c r="N75" s="127"/>
      <c r="O75" s="128"/>
      <c r="P75" s="95"/>
      <c r="Q75" s="137"/>
      <c r="R75" s="129"/>
      <c r="S75" s="95"/>
      <c r="T75" s="95"/>
      <c r="V75" s="107"/>
    </row>
    <row r="76" ht="15.75" customHeight="1">
      <c r="A76" s="89"/>
      <c r="B76" s="177"/>
      <c r="C76" s="96"/>
      <c r="D76" s="95"/>
      <c r="E76" s="176"/>
      <c r="F76" s="144"/>
      <c r="G76" s="95"/>
      <c r="H76" s="96"/>
      <c r="I76" s="103"/>
      <c r="J76" s="95"/>
      <c r="K76" s="113"/>
      <c r="L76" s="113"/>
      <c r="M76" s="100"/>
      <c r="N76" s="101"/>
      <c r="O76" s="128"/>
      <c r="P76" s="95"/>
      <c r="Q76" s="114"/>
      <c r="R76" s="106"/>
      <c r="S76" s="103"/>
      <c r="T76" s="103"/>
      <c r="V76" s="107"/>
    </row>
    <row r="77" ht="15.75" customHeight="1">
      <c r="A77" s="89"/>
      <c r="B77" s="177"/>
      <c r="C77" s="96"/>
      <c r="D77" s="95"/>
      <c r="E77" s="96"/>
      <c r="F77" s="144"/>
      <c r="G77" s="95"/>
      <c r="H77" s="96"/>
      <c r="I77" s="103"/>
      <c r="J77" s="95"/>
      <c r="K77" s="99"/>
      <c r="L77" s="99"/>
      <c r="M77" s="100"/>
      <c r="N77" s="127"/>
      <c r="O77" s="128"/>
      <c r="P77" s="95"/>
      <c r="Q77" s="137"/>
      <c r="R77" s="129"/>
      <c r="S77" s="95"/>
      <c r="T77" s="95"/>
      <c r="V77" s="107"/>
    </row>
    <row r="78" ht="15.75" customHeight="1">
      <c r="A78" s="89"/>
      <c r="B78" s="177"/>
      <c r="C78" s="96"/>
      <c r="D78" s="95"/>
      <c r="E78" s="176"/>
      <c r="F78" s="144"/>
      <c r="G78" s="95"/>
      <c r="H78" s="96"/>
      <c r="I78" s="103"/>
      <c r="J78" s="95"/>
      <c r="K78" s="113"/>
      <c r="L78" s="113"/>
      <c r="M78" s="100"/>
      <c r="N78" s="101"/>
      <c r="O78" s="128"/>
      <c r="P78" s="95"/>
      <c r="Q78" s="114"/>
      <c r="R78" s="106"/>
      <c r="S78" s="103"/>
      <c r="T78" s="103"/>
      <c r="V78" s="107"/>
    </row>
    <row r="79" ht="15.75" customHeight="1">
      <c r="A79" s="89"/>
      <c r="B79" s="177"/>
      <c r="C79" s="96"/>
      <c r="D79" s="95"/>
      <c r="E79" s="176"/>
      <c r="F79" s="144"/>
      <c r="G79" s="95"/>
      <c r="H79" s="96"/>
      <c r="I79" s="103"/>
      <c r="J79" s="95"/>
      <c r="K79" s="99"/>
      <c r="L79" s="99"/>
      <c r="M79" s="100"/>
      <c r="N79" s="127"/>
      <c r="O79" s="128"/>
      <c r="P79" s="95"/>
      <c r="Q79" s="137"/>
      <c r="R79" s="129"/>
      <c r="S79" s="95"/>
      <c r="T79" s="95"/>
      <c r="V79" s="107"/>
    </row>
    <row r="80" ht="15.75" customHeight="1">
      <c r="A80" s="89"/>
      <c r="B80" s="177"/>
      <c r="C80" s="96"/>
      <c r="D80" s="95"/>
      <c r="E80" s="176"/>
      <c r="F80" s="144"/>
      <c r="G80" s="95"/>
      <c r="H80" s="96"/>
      <c r="I80" s="103"/>
      <c r="J80" s="95"/>
      <c r="K80" s="113"/>
      <c r="L80" s="113"/>
      <c r="M80" s="100"/>
      <c r="N80" s="101"/>
      <c r="O80" s="102"/>
      <c r="P80" s="95"/>
      <c r="Q80" s="135"/>
      <c r="R80" s="106"/>
      <c r="S80" s="103"/>
      <c r="T80" s="103"/>
      <c r="V80" s="107"/>
    </row>
    <row r="81" ht="15.75" customHeight="1">
      <c r="A81" s="89"/>
      <c r="B81" s="177"/>
      <c r="C81" s="106"/>
      <c r="D81" s="95"/>
      <c r="E81" s="176"/>
      <c r="F81" s="144"/>
      <c r="G81" s="95"/>
      <c r="H81" s="96"/>
      <c r="I81" s="103"/>
      <c r="J81" s="95"/>
      <c r="K81" s="99"/>
      <c r="L81" s="99"/>
      <c r="M81" s="100"/>
      <c r="N81" s="101"/>
      <c r="O81" s="102"/>
      <c r="P81" s="95"/>
      <c r="Q81" s="114"/>
      <c r="R81" s="142"/>
      <c r="S81" s="103"/>
      <c r="T81" s="103"/>
      <c r="V81" s="107"/>
    </row>
    <row r="82" ht="15.75" customHeight="1">
      <c r="A82" s="89"/>
      <c r="B82" s="177"/>
      <c r="C82" s="106"/>
      <c r="D82" s="95"/>
      <c r="E82" s="176"/>
      <c r="F82" s="144"/>
      <c r="G82" s="95"/>
      <c r="H82" s="96"/>
      <c r="I82" s="103"/>
      <c r="J82" s="95"/>
      <c r="K82" s="113"/>
      <c r="L82" s="113"/>
      <c r="M82" s="100"/>
      <c r="N82" s="101"/>
      <c r="O82" s="102"/>
      <c r="P82" s="95"/>
      <c r="Q82" s="114"/>
      <c r="R82" s="106"/>
      <c r="S82" s="103"/>
      <c r="T82" s="103"/>
      <c r="V82" s="107"/>
    </row>
    <row r="83" ht="15.75" customHeight="1">
      <c r="A83" s="89"/>
      <c r="B83" s="177"/>
      <c r="C83" s="96"/>
      <c r="D83" s="95"/>
      <c r="E83" s="176"/>
      <c r="F83" s="144"/>
      <c r="G83" s="95"/>
      <c r="H83" s="96"/>
      <c r="I83" s="103"/>
      <c r="J83" s="95"/>
      <c r="K83" s="99"/>
      <c r="L83" s="99"/>
      <c r="M83" s="100"/>
      <c r="N83" s="127"/>
      <c r="O83" s="128"/>
      <c r="P83" s="95"/>
      <c r="Q83" s="137"/>
      <c r="R83" s="129"/>
      <c r="S83" s="95"/>
      <c r="T83" s="95"/>
      <c r="V83" s="107"/>
    </row>
    <row r="84" ht="15.75" customHeight="1">
      <c r="A84" s="89"/>
      <c r="B84" s="177"/>
      <c r="C84" s="96"/>
      <c r="D84" s="95"/>
      <c r="E84" s="176"/>
      <c r="F84" s="144"/>
      <c r="G84" s="95"/>
      <c r="H84" s="96"/>
      <c r="I84" s="103"/>
      <c r="J84" s="95"/>
      <c r="K84" s="113"/>
      <c r="L84" s="113"/>
      <c r="M84" s="100"/>
      <c r="N84" s="127"/>
      <c r="O84" s="128"/>
      <c r="P84" s="95"/>
      <c r="Q84" s="95"/>
      <c r="R84" s="129"/>
      <c r="S84" s="95"/>
      <c r="T84" s="95"/>
      <c r="V84" s="107"/>
    </row>
    <row r="85" ht="15.75" customHeight="1">
      <c r="A85" s="89"/>
      <c r="B85" s="177"/>
      <c r="C85" s="143"/>
      <c r="D85" s="95"/>
      <c r="E85" s="176"/>
      <c r="F85" s="144"/>
      <c r="G85" s="95"/>
      <c r="H85" s="96"/>
      <c r="I85" s="103"/>
      <c r="J85" s="95"/>
      <c r="K85" s="99"/>
      <c r="L85" s="99"/>
      <c r="M85" s="100"/>
      <c r="N85" s="127"/>
      <c r="O85" s="128"/>
      <c r="P85" s="95"/>
      <c r="Q85" s="137"/>
      <c r="R85" s="129"/>
      <c r="S85" s="95"/>
      <c r="T85" s="95"/>
      <c r="V85" s="107"/>
    </row>
    <row r="86" ht="15.75" customHeight="1">
      <c r="A86" s="89"/>
      <c r="B86" s="177"/>
      <c r="C86" s="97"/>
      <c r="D86" s="95"/>
      <c r="E86" s="176"/>
      <c r="F86" s="144"/>
      <c r="G86" s="95"/>
      <c r="H86" s="96"/>
      <c r="I86" s="103"/>
      <c r="J86" s="95"/>
      <c r="K86" s="113"/>
      <c r="L86" s="113"/>
      <c r="M86" s="100"/>
      <c r="N86" s="101"/>
      <c r="O86" s="102"/>
      <c r="P86" s="95"/>
      <c r="Q86" s="135"/>
      <c r="R86" s="115"/>
      <c r="S86" s="103"/>
      <c r="T86" s="103"/>
      <c r="V86" s="107"/>
    </row>
    <row r="87" ht="15.75" customHeight="1">
      <c r="A87" s="89"/>
      <c r="B87" s="177"/>
      <c r="C87" s="96"/>
      <c r="D87" s="95"/>
      <c r="E87" s="176"/>
      <c r="F87" s="144"/>
      <c r="G87" s="95"/>
      <c r="H87" s="96"/>
      <c r="I87" s="103"/>
      <c r="J87" s="95"/>
      <c r="K87" s="99"/>
      <c r="L87" s="99"/>
      <c r="M87" s="100"/>
      <c r="N87" s="127"/>
      <c r="O87" s="102"/>
      <c r="P87" s="95"/>
      <c r="Q87" s="137"/>
      <c r="R87" s="106"/>
      <c r="S87" s="103"/>
      <c r="T87" s="103"/>
      <c r="V87" s="107"/>
    </row>
    <row r="88" ht="15.75" customHeight="1">
      <c r="A88" s="89"/>
      <c r="B88" s="177"/>
      <c r="C88" s="96"/>
      <c r="D88" s="95"/>
      <c r="E88" s="176"/>
      <c r="F88" s="144"/>
      <c r="G88" s="95"/>
      <c r="H88" s="96"/>
      <c r="I88" s="103"/>
      <c r="J88" s="95"/>
      <c r="K88" s="113"/>
      <c r="L88" s="113"/>
      <c r="M88" s="100"/>
      <c r="N88" s="101"/>
      <c r="O88" s="102"/>
      <c r="P88" s="95"/>
      <c r="Q88" s="114"/>
      <c r="R88" s="106"/>
      <c r="S88" s="103"/>
      <c r="T88" s="103"/>
      <c r="V88" s="107"/>
    </row>
    <row r="89" ht="15.75" customHeight="1">
      <c r="A89" s="89"/>
      <c r="B89" s="177"/>
      <c r="C89" s="96"/>
      <c r="D89" s="95"/>
      <c r="E89" s="176"/>
      <c r="F89" s="144"/>
      <c r="G89" s="95"/>
      <c r="H89" s="96"/>
      <c r="I89" s="103"/>
      <c r="J89" s="95"/>
      <c r="K89" s="99"/>
      <c r="L89" s="99"/>
      <c r="M89" s="100"/>
      <c r="N89" s="127"/>
      <c r="O89" s="128"/>
      <c r="P89" s="95"/>
      <c r="Q89" s="95"/>
      <c r="R89" s="129"/>
      <c r="S89" s="95"/>
      <c r="T89" s="95"/>
      <c r="V89" s="107"/>
    </row>
    <row r="90" ht="15.75" customHeight="1">
      <c r="A90" s="89"/>
      <c r="B90" s="177"/>
      <c r="C90" s="144"/>
      <c r="D90" s="95"/>
      <c r="E90" s="176"/>
      <c r="F90" s="180"/>
      <c r="G90" s="95"/>
      <c r="H90" s="96"/>
      <c r="I90" s="103"/>
      <c r="J90" s="95"/>
      <c r="K90" s="113"/>
      <c r="L90" s="113"/>
      <c r="M90" s="100"/>
      <c r="N90" s="101"/>
      <c r="O90" s="102"/>
      <c r="P90" s="95"/>
      <c r="Q90" s="103"/>
      <c r="R90" s="106"/>
      <c r="S90" s="103"/>
      <c r="T90" s="103"/>
      <c r="V90" s="107"/>
    </row>
    <row r="91" ht="15.75" customHeight="1">
      <c r="A91" s="89"/>
      <c r="B91" s="177"/>
      <c r="C91" s="146"/>
      <c r="D91" s="95"/>
      <c r="E91" s="176"/>
      <c r="F91" s="144"/>
      <c r="G91" s="95"/>
      <c r="H91" s="96"/>
      <c r="I91" s="103"/>
      <c r="J91" s="95"/>
      <c r="K91" s="99"/>
      <c r="L91" s="99"/>
      <c r="M91" s="100"/>
      <c r="N91" s="127"/>
      <c r="O91" s="128"/>
      <c r="P91" s="95"/>
      <c r="Q91" s="95"/>
      <c r="R91" s="129"/>
      <c r="S91" s="95"/>
      <c r="T91" s="95"/>
      <c r="V91" s="107"/>
    </row>
    <row r="92" ht="15.75" customHeight="1">
      <c r="A92" s="89"/>
      <c r="B92" s="177"/>
      <c r="C92" s="144"/>
      <c r="D92" s="95"/>
      <c r="E92" s="176"/>
      <c r="F92" s="144"/>
      <c r="G92" s="95"/>
      <c r="H92" s="96"/>
      <c r="I92" s="103"/>
      <c r="J92" s="95"/>
      <c r="K92" s="113"/>
      <c r="L92" s="113"/>
      <c r="M92" s="100"/>
      <c r="N92" s="101"/>
      <c r="O92" s="102"/>
      <c r="P92" s="95"/>
      <c r="Q92" s="135"/>
      <c r="R92" s="106"/>
      <c r="S92" s="103"/>
      <c r="T92" s="103"/>
      <c r="V92" s="107"/>
    </row>
    <row r="93" ht="15.75" customHeight="1">
      <c r="A93" s="89"/>
      <c r="B93" s="177"/>
      <c r="C93" s="146"/>
      <c r="D93" s="95"/>
      <c r="E93" s="144"/>
      <c r="F93" s="144"/>
      <c r="G93" s="95"/>
      <c r="H93" s="96"/>
      <c r="I93" s="103"/>
      <c r="J93" s="95"/>
      <c r="K93" s="99"/>
      <c r="L93" s="99"/>
      <c r="M93" s="100"/>
      <c r="N93" s="127"/>
      <c r="O93" s="128"/>
      <c r="P93" s="95"/>
      <c r="Q93" s="137"/>
      <c r="R93" s="129"/>
      <c r="S93" s="95"/>
      <c r="T93" s="95"/>
      <c r="V93" s="107"/>
    </row>
    <row r="94" ht="15.75" customHeight="1">
      <c r="A94" s="89"/>
      <c r="B94" s="177"/>
      <c r="C94" s="96"/>
      <c r="D94" s="95"/>
      <c r="E94" s="176"/>
      <c r="F94" s="144"/>
      <c r="G94" s="95"/>
      <c r="H94" s="96"/>
      <c r="I94" s="103"/>
      <c r="J94" s="95"/>
      <c r="K94" s="113"/>
      <c r="L94" s="113"/>
      <c r="M94" s="100"/>
      <c r="N94" s="127"/>
      <c r="O94" s="128"/>
      <c r="P94" s="95"/>
      <c r="Q94" s="95"/>
      <c r="R94" s="129"/>
      <c r="S94" s="95"/>
      <c r="T94" s="95"/>
      <c r="V94" s="107"/>
    </row>
    <row r="95" ht="15.75" customHeight="1">
      <c r="A95" s="89"/>
      <c r="B95" s="177"/>
      <c r="C95" s="96"/>
      <c r="D95" s="95"/>
      <c r="E95" s="176"/>
      <c r="F95" s="144"/>
      <c r="G95" s="95"/>
      <c r="H95" s="96"/>
      <c r="I95" s="103"/>
      <c r="J95" s="95"/>
      <c r="K95" s="99"/>
      <c r="L95" s="99"/>
      <c r="M95" s="100"/>
      <c r="N95" s="101"/>
      <c r="O95" s="102"/>
      <c r="P95" s="95"/>
      <c r="Q95" s="114"/>
      <c r="R95" s="106"/>
      <c r="S95" s="103"/>
      <c r="T95" s="103"/>
      <c r="V95" s="107"/>
    </row>
    <row r="96" ht="15.75" customHeight="1">
      <c r="A96" s="89"/>
      <c r="B96" s="177"/>
      <c r="C96" s="96"/>
      <c r="D96" s="95"/>
      <c r="E96" s="176"/>
      <c r="F96" s="144"/>
      <c r="G96" s="95"/>
      <c r="H96" s="96"/>
      <c r="I96" s="103"/>
      <c r="J96" s="95"/>
      <c r="K96" s="113"/>
      <c r="L96" s="113"/>
      <c r="M96" s="100"/>
      <c r="N96" s="127"/>
      <c r="O96" s="128"/>
      <c r="P96" s="95"/>
      <c r="Q96" s="95"/>
      <c r="R96" s="129"/>
      <c r="S96" s="95"/>
      <c r="T96" s="95"/>
      <c r="V96" s="107"/>
    </row>
    <row r="97" ht="15.75" customHeight="1">
      <c r="A97" s="89"/>
      <c r="B97" s="177"/>
      <c r="C97" s="96"/>
      <c r="D97" s="95"/>
      <c r="E97" s="181"/>
      <c r="F97" s="144"/>
      <c r="G97" s="95"/>
      <c r="H97" s="96"/>
      <c r="I97" s="103"/>
      <c r="J97" s="95"/>
      <c r="K97" s="99"/>
      <c r="L97" s="99"/>
      <c r="M97" s="100"/>
      <c r="N97" s="127"/>
      <c r="O97" s="128"/>
      <c r="P97" s="95"/>
      <c r="Q97" s="137"/>
      <c r="R97" s="129"/>
      <c r="S97" s="95"/>
      <c r="T97" s="95"/>
      <c r="V97" s="107"/>
    </row>
    <row r="98" ht="15.75" customHeight="1">
      <c r="A98" s="89"/>
      <c r="B98" s="177"/>
      <c r="C98" s="106"/>
      <c r="D98" s="95"/>
      <c r="E98" s="176"/>
      <c r="F98" s="144"/>
      <c r="G98" s="95"/>
      <c r="H98" s="96"/>
      <c r="I98" s="103"/>
      <c r="J98" s="95"/>
      <c r="K98" s="113"/>
      <c r="L98" s="113"/>
      <c r="M98" s="100"/>
      <c r="N98" s="127"/>
      <c r="O98" s="128"/>
      <c r="P98" s="95"/>
      <c r="Q98" s="135"/>
      <c r="R98" s="106"/>
      <c r="S98" s="95"/>
      <c r="T98" s="103"/>
      <c r="V98" s="107"/>
    </row>
    <row r="99" ht="15.75" customHeight="1">
      <c r="A99" s="89"/>
      <c r="B99" s="177"/>
      <c r="C99" s="106"/>
      <c r="D99" s="95"/>
      <c r="E99" s="176"/>
      <c r="F99" s="144"/>
      <c r="G99" s="95"/>
      <c r="H99" s="96"/>
      <c r="I99" s="103"/>
      <c r="J99" s="95"/>
      <c r="K99" s="99"/>
      <c r="L99" s="99"/>
      <c r="M99" s="100"/>
      <c r="N99" s="127"/>
      <c r="O99" s="128"/>
      <c r="P99" s="95"/>
      <c r="Q99" s="135"/>
      <c r="R99" s="106"/>
      <c r="S99" s="95"/>
      <c r="T99" s="103"/>
      <c r="V99" s="107"/>
    </row>
    <row r="100" ht="15.75" customHeight="1">
      <c r="A100" s="89"/>
      <c r="B100" s="177"/>
      <c r="C100" s="96"/>
      <c r="D100" s="95"/>
      <c r="E100" s="96"/>
      <c r="F100" s="146"/>
      <c r="G100" s="95"/>
      <c r="H100" s="96"/>
      <c r="I100" s="103"/>
      <c r="J100" s="95"/>
      <c r="K100" s="113"/>
      <c r="L100" s="113"/>
      <c r="M100" s="100"/>
      <c r="N100" s="127"/>
      <c r="O100" s="128"/>
      <c r="P100" s="95"/>
      <c r="Q100" s="137"/>
      <c r="R100" s="129"/>
      <c r="S100" s="95"/>
      <c r="T100" s="95"/>
      <c r="V100" s="107"/>
    </row>
    <row r="101" ht="15.75" customHeight="1">
      <c r="A101" s="89"/>
      <c r="B101" s="177"/>
      <c r="C101" s="96"/>
      <c r="D101" s="95"/>
      <c r="E101" s="176"/>
      <c r="F101" s="144"/>
      <c r="G101" s="95"/>
      <c r="H101" s="96"/>
      <c r="I101" s="103"/>
      <c r="J101" s="95"/>
      <c r="K101" s="99"/>
      <c r="L101" s="99"/>
      <c r="M101" s="100"/>
      <c r="N101" s="127"/>
      <c r="O101" s="128"/>
      <c r="P101" s="95"/>
      <c r="Q101" s="95"/>
      <c r="R101" s="129"/>
      <c r="S101" s="95"/>
      <c r="T101" s="95"/>
      <c r="V101" s="107"/>
    </row>
    <row r="102" ht="15.75" customHeight="1">
      <c r="A102" s="89"/>
      <c r="B102" s="177"/>
      <c r="C102" s="96"/>
      <c r="D102" s="95"/>
      <c r="E102" s="176"/>
      <c r="F102" s="144"/>
      <c r="G102" s="95"/>
      <c r="H102" s="96"/>
      <c r="I102" s="103"/>
      <c r="J102" s="95"/>
      <c r="K102" s="113"/>
      <c r="L102" s="113"/>
      <c r="M102" s="100"/>
      <c r="N102" s="101"/>
      <c r="O102" s="102"/>
      <c r="P102" s="95"/>
      <c r="Q102" s="114"/>
      <c r="R102" s="115"/>
      <c r="S102" s="103"/>
      <c r="T102" s="103"/>
      <c r="V102" s="107"/>
    </row>
    <row r="103" ht="15.75" customHeight="1">
      <c r="A103" s="89"/>
      <c r="B103" s="182"/>
      <c r="C103" s="149"/>
      <c r="D103" s="95"/>
      <c r="E103" s="149"/>
      <c r="F103" s="180"/>
      <c r="G103" s="95"/>
      <c r="H103" s="96"/>
      <c r="I103" s="103"/>
      <c r="J103" s="95"/>
      <c r="K103" s="99"/>
      <c r="L103" s="99"/>
      <c r="M103" s="100"/>
      <c r="N103" s="101"/>
      <c r="O103" s="128"/>
      <c r="P103" s="95"/>
      <c r="Q103" s="137"/>
      <c r="R103" s="129"/>
      <c r="S103" s="103"/>
      <c r="T103" s="95"/>
      <c r="V103" s="107"/>
    </row>
    <row r="104" ht="15.75" customHeight="1">
      <c r="A104" s="89"/>
      <c r="B104" s="182"/>
      <c r="C104" s="149"/>
      <c r="D104" s="95"/>
      <c r="E104" s="149"/>
      <c r="F104" s="149"/>
      <c r="G104" s="95"/>
      <c r="H104" s="96"/>
      <c r="I104" s="103"/>
      <c r="J104" s="95"/>
      <c r="K104" s="113"/>
      <c r="L104" s="113"/>
      <c r="M104" s="100"/>
      <c r="N104" s="101"/>
      <c r="O104" s="128"/>
      <c r="P104" s="95"/>
      <c r="Q104" s="95"/>
      <c r="R104" s="129"/>
      <c r="S104" s="103"/>
      <c r="T104" s="95"/>
      <c r="V104" s="107"/>
    </row>
    <row r="105" ht="15.75" customHeight="1">
      <c r="A105" s="89"/>
      <c r="B105" s="182"/>
      <c r="C105" s="107"/>
      <c r="D105" s="95"/>
      <c r="E105" s="149"/>
      <c r="F105" s="149"/>
      <c r="G105" s="95"/>
      <c r="H105" s="96"/>
      <c r="I105" s="103"/>
      <c r="J105" s="95"/>
      <c r="K105" s="99"/>
      <c r="L105" s="99"/>
      <c r="M105" s="100"/>
      <c r="N105" s="101"/>
      <c r="O105" s="128"/>
      <c r="P105" s="95"/>
      <c r="Q105" s="137"/>
      <c r="R105" s="129"/>
      <c r="S105" s="103"/>
      <c r="T105" s="95"/>
      <c r="V105" s="107"/>
    </row>
    <row r="106" ht="15.75" customHeight="1">
      <c r="A106" s="89"/>
      <c r="B106" s="182"/>
      <c r="C106" s="107"/>
      <c r="D106" s="95"/>
      <c r="E106" s="149"/>
      <c r="F106" s="149"/>
      <c r="G106" s="95"/>
      <c r="H106" s="96"/>
      <c r="I106" s="103"/>
      <c r="J106" s="95"/>
      <c r="K106" s="113"/>
      <c r="L106" s="113"/>
      <c r="M106" s="100"/>
      <c r="N106" s="101"/>
      <c r="O106" s="128"/>
      <c r="P106" s="95"/>
      <c r="Q106" s="137"/>
      <c r="R106" s="129"/>
      <c r="S106" s="103"/>
      <c r="T106" s="95"/>
      <c r="V106" s="107"/>
    </row>
    <row r="107" ht="15.75" customHeight="1">
      <c r="A107" s="89"/>
      <c r="B107" s="182"/>
      <c r="C107" s="149"/>
      <c r="D107" s="95"/>
      <c r="E107" s="149"/>
      <c r="F107" s="149"/>
      <c r="G107" s="95"/>
      <c r="H107" s="96"/>
      <c r="I107" s="103"/>
      <c r="J107" s="95"/>
      <c r="K107" s="99"/>
      <c r="L107" s="99"/>
      <c r="M107" s="100"/>
      <c r="N107" s="101"/>
      <c r="O107" s="128"/>
      <c r="P107" s="95"/>
      <c r="Q107" s="137"/>
      <c r="R107" s="129"/>
      <c r="S107" s="103"/>
      <c r="T107" s="95"/>
      <c r="V107" s="107"/>
    </row>
    <row r="108" ht="15.75" customHeight="1">
      <c r="A108" s="89"/>
      <c r="B108" s="182"/>
      <c r="C108" s="149"/>
      <c r="D108" s="95"/>
      <c r="E108" s="149"/>
      <c r="F108" s="149"/>
      <c r="G108" s="95"/>
      <c r="H108" s="96"/>
      <c r="I108" s="103"/>
      <c r="J108" s="95"/>
      <c r="K108" s="113"/>
      <c r="L108" s="113"/>
      <c r="M108" s="100"/>
      <c r="N108" s="101"/>
      <c r="O108" s="128"/>
      <c r="P108" s="95"/>
      <c r="Q108" s="95"/>
      <c r="R108" s="129"/>
      <c r="S108" s="103"/>
      <c r="T108" s="95"/>
      <c r="V108" s="107"/>
    </row>
    <row r="109" ht="15.75" customHeight="1">
      <c r="A109" s="89"/>
      <c r="B109" s="182"/>
      <c r="C109" s="149"/>
      <c r="D109" s="95"/>
      <c r="E109" s="149"/>
      <c r="F109" s="149"/>
      <c r="G109" s="95"/>
      <c r="H109" s="96"/>
      <c r="I109" s="103"/>
      <c r="J109" s="95"/>
      <c r="K109" s="99"/>
      <c r="L109" s="99"/>
      <c r="M109" s="100"/>
      <c r="N109" s="101"/>
      <c r="O109" s="128"/>
      <c r="P109" s="95"/>
      <c r="Q109" s="137"/>
      <c r="R109" s="129"/>
      <c r="S109" s="103"/>
      <c r="T109" s="95"/>
      <c r="V109" s="107"/>
    </row>
    <row r="110" ht="15.75" customHeight="1">
      <c r="A110" s="89"/>
      <c r="B110" s="182"/>
      <c r="C110" s="149"/>
      <c r="D110" s="95"/>
      <c r="E110" s="149"/>
      <c r="F110" s="149"/>
      <c r="G110" s="95"/>
      <c r="H110" s="149"/>
      <c r="I110" s="151"/>
      <c r="J110" s="95"/>
      <c r="K110" s="113"/>
      <c r="L110" s="113"/>
      <c r="M110" s="100"/>
      <c r="N110" s="127"/>
      <c r="O110" s="128"/>
      <c r="P110" s="95"/>
      <c r="Q110" s="95"/>
      <c r="R110" s="129"/>
      <c r="S110" s="95"/>
      <c r="T110" s="95"/>
      <c r="V110" s="107"/>
    </row>
    <row r="111" ht="15.75" customHeight="1">
      <c r="A111" s="89"/>
      <c r="B111" s="182"/>
      <c r="C111" s="149"/>
      <c r="D111" s="95"/>
      <c r="E111" s="149"/>
      <c r="F111" s="149"/>
      <c r="G111" s="95"/>
      <c r="H111" s="149"/>
      <c r="I111" s="95"/>
      <c r="J111" s="95"/>
      <c r="K111" s="99"/>
      <c r="L111" s="99"/>
      <c r="M111" s="100"/>
      <c r="N111" s="127"/>
      <c r="O111" s="128"/>
      <c r="P111" s="95"/>
      <c r="Q111" s="137"/>
      <c r="R111" s="129"/>
      <c r="S111" s="95"/>
      <c r="T111" s="95"/>
      <c r="V111" s="107"/>
    </row>
    <row r="112" ht="15.75" customHeight="1">
      <c r="A112" s="89"/>
      <c r="B112" s="182"/>
      <c r="C112" s="107"/>
      <c r="D112" s="95"/>
      <c r="E112" s="149"/>
      <c r="F112" s="149"/>
      <c r="G112" s="95"/>
      <c r="H112" s="149"/>
      <c r="I112" s="95"/>
      <c r="J112" s="95"/>
      <c r="K112" s="113"/>
      <c r="L112" s="113"/>
      <c r="M112" s="100"/>
      <c r="N112" s="127"/>
      <c r="O112" s="128"/>
      <c r="P112" s="95"/>
      <c r="Q112" s="95"/>
      <c r="R112" s="129"/>
      <c r="S112" s="95"/>
      <c r="T112" s="95"/>
      <c r="V112" s="107"/>
    </row>
    <row r="113" ht="15.75" customHeight="1">
      <c r="A113" s="89"/>
      <c r="B113" s="182"/>
      <c r="C113" s="107"/>
      <c r="D113" s="95"/>
      <c r="E113" s="149"/>
      <c r="F113" s="149"/>
      <c r="G113" s="95"/>
      <c r="H113" s="149"/>
      <c r="I113" s="95"/>
      <c r="J113" s="95"/>
      <c r="K113" s="99"/>
      <c r="L113" s="99"/>
      <c r="M113" s="100"/>
      <c r="N113" s="127"/>
      <c r="O113" s="128"/>
      <c r="P113" s="95"/>
      <c r="Q113" s="95"/>
      <c r="R113" s="129"/>
      <c r="S113" s="95"/>
      <c r="T113" s="95"/>
      <c r="V113" s="107"/>
    </row>
    <row r="114" ht="15.75" customHeight="1">
      <c r="A114" s="89"/>
      <c r="B114" s="182"/>
      <c r="C114" s="107"/>
      <c r="D114" s="95"/>
      <c r="E114" s="149"/>
      <c r="F114" s="149"/>
      <c r="G114" s="95"/>
      <c r="H114" s="149"/>
      <c r="I114" s="95"/>
      <c r="J114" s="95"/>
      <c r="K114" s="113"/>
      <c r="L114" s="113"/>
      <c r="M114" s="100"/>
      <c r="N114" s="127"/>
      <c r="O114" s="128"/>
      <c r="P114" s="95"/>
      <c r="Q114" s="95"/>
      <c r="R114" s="129"/>
      <c r="S114" s="95"/>
      <c r="T114" s="95"/>
      <c r="V114" s="107"/>
    </row>
    <row r="115" ht="15.75" customHeight="1">
      <c r="A115" s="89"/>
      <c r="B115" s="182"/>
      <c r="C115" s="149"/>
      <c r="D115" s="95"/>
      <c r="E115" s="149"/>
      <c r="F115" s="149"/>
      <c r="G115" s="95"/>
      <c r="H115" s="149"/>
      <c r="I115" s="95"/>
      <c r="J115" s="95"/>
      <c r="K115" s="99"/>
      <c r="L115" s="99"/>
      <c r="M115" s="100"/>
      <c r="N115" s="127"/>
      <c r="O115" s="128"/>
      <c r="P115" s="95"/>
      <c r="Q115" s="95"/>
      <c r="R115" s="129"/>
      <c r="S115" s="95"/>
      <c r="T115" s="95"/>
      <c r="V115" s="107"/>
    </row>
    <row r="116" ht="15.75" customHeight="1">
      <c r="A116" s="89"/>
      <c r="B116" s="182"/>
      <c r="C116" s="149"/>
      <c r="D116" s="95"/>
      <c r="E116" s="149"/>
      <c r="F116" s="149"/>
      <c r="G116" s="95"/>
      <c r="H116" s="149"/>
      <c r="I116" s="95"/>
      <c r="J116" s="95"/>
      <c r="K116" s="113"/>
      <c r="L116" s="113"/>
      <c r="M116" s="100"/>
      <c r="N116" s="127"/>
      <c r="O116" s="128"/>
      <c r="P116" s="95"/>
      <c r="Q116" s="95"/>
      <c r="R116" s="129"/>
      <c r="S116" s="95"/>
      <c r="T116" s="95"/>
      <c r="V116" s="107"/>
    </row>
    <row r="117" ht="15.75" customHeight="1">
      <c r="A117" s="89"/>
      <c r="B117" s="182"/>
      <c r="C117" s="149"/>
      <c r="D117" s="95"/>
      <c r="E117" s="149"/>
      <c r="F117" s="149"/>
      <c r="G117" s="95"/>
      <c r="H117" s="149"/>
      <c r="I117" s="95"/>
      <c r="J117" s="95"/>
      <c r="K117" s="99"/>
      <c r="L117" s="99"/>
      <c r="M117" s="100"/>
      <c r="N117" s="127"/>
      <c r="O117" s="128"/>
      <c r="P117" s="95"/>
      <c r="Q117" s="95"/>
      <c r="R117" s="129"/>
      <c r="S117" s="95"/>
      <c r="T117" s="95"/>
      <c r="V117" s="107"/>
    </row>
    <row r="118" ht="15.75" customHeight="1">
      <c r="A118" s="89"/>
      <c r="B118" s="182"/>
      <c r="C118" s="149"/>
      <c r="D118" s="95"/>
      <c r="E118" s="149"/>
      <c r="F118" s="149"/>
      <c r="G118" s="95"/>
      <c r="H118" s="149"/>
      <c r="I118" s="95"/>
      <c r="J118" s="95"/>
      <c r="K118" s="113"/>
      <c r="L118" s="113"/>
      <c r="M118" s="100"/>
      <c r="N118" s="127"/>
      <c r="O118" s="128"/>
      <c r="P118" s="95"/>
      <c r="Q118" s="95"/>
      <c r="R118" s="129"/>
      <c r="S118" s="95"/>
      <c r="T118" s="95"/>
      <c r="V118" s="107"/>
    </row>
    <row r="119" ht="15.75" customHeight="1">
      <c r="A119" s="89"/>
      <c r="B119" s="182"/>
      <c r="C119" s="149"/>
      <c r="D119" s="95"/>
      <c r="E119" s="149"/>
      <c r="F119" s="149"/>
      <c r="G119" s="95"/>
      <c r="H119" s="149"/>
      <c r="I119" s="95"/>
      <c r="J119" s="95"/>
      <c r="K119" s="99"/>
      <c r="L119" s="99"/>
      <c r="M119" s="100"/>
      <c r="N119" s="127"/>
      <c r="O119" s="128"/>
      <c r="P119" s="95"/>
      <c r="Q119" s="137"/>
      <c r="R119" s="129"/>
      <c r="S119" s="95"/>
      <c r="T119" s="95"/>
      <c r="V119" s="107"/>
    </row>
    <row r="120" ht="15.75" customHeight="1">
      <c r="A120" s="89"/>
      <c r="B120" s="182"/>
      <c r="C120" s="107"/>
      <c r="D120" s="95"/>
      <c r="E120" s="149"/>
      <c r="F120" s="149"/>
      <c r="G120" s="95"/>
      <c r="H120" s="149"/>
      <c r="I120" s="95"/>
      <c r="J120" s="95"/>
      <c r="K120" s="113"/>
      <c r="L120" s="113"/>
      <c r="M120" s="100"/>
      <c r="N120" s="127"/>
      <c r="O120" s="128"/>
      <c r="P120" s="95"/>
      <c r="Q120" s="95"/>
      <c r="R120" s="129"/>
      <c r="S120" s="95"/>
      <c r="T120" s="95"/>
      <c r="V120" s="107"/>
    </row>
    <row r="121" ht="15.75" customHeight="1">
      <c r="A121" s="89"/>
      <c r="B121" s="182"/>
      <c r="C121" s="107"/>
      <c r="D121" s="95"/>
      <c r="E121" s="149"/>
      <c r="F121" s="149"/>
      <c r="G121" s="95"/>
      <c r="H121" s="149"/>
      <c r="I121" s="95"/>
      <c r="J121" s="95"/>
      <c r="K121" s="99"/>
      <c r="L121" s="99"/>
      <c r="M121" s="100"/>
      <c r="N121" s="127"/>
      <c r="O121" s="128"/>
      <c r="P121" s="95"/>
      <c r="Q121" s="95"/>
      <c r="R121" s="129"/>
      <c r="S121" s="95"/>
      <c r="T121" s="95"/>
      <c r="V121" s="107"/>
    </row>
    <row r="122" ht="15.75" customHeight="1">
      <c r="A122" s="89"/>
      <c r="B122" s="182"/>
      <c r="C122" s="107"/>
      <c r="D122" s="95"/>
      <c r="E122" s="149"/>
      <c r="F122" s="149"/>
      <c r="G122" s="95"/>
      <c r="H122" s="149"/>
      <c r="I122" s="95"/>
      <c r="J122" s="95"/>
      <c r="K122" s="113"/>
      <c r="L122" s="113"/>
      <c r="M122" s="100"/>
      <c r="N122" s="127"/>
      <c r="O122" s="128"/>
      <c r="P122" s="95"/>
      <c r="Q122" s="137"/>
      <c r="R122" s="129"/>
      <c r="S122" s="95"/>
      <c r="T122" s="95"/>
      <c r="V122" s="107"/>
    </row>
    <row r="123" ht="15.75" customHeight="1">
      <c r="A123" s="89"/>
      <c r="B123" s="182"/>
      <c r="C123" s="149"/>
      <c r="D123" s="95"/>
      <c r="E123" s="149"/>
      <c r="F123" s="149"/>
      <c r="G123" s="95"/>
      <c r="H123" s="149"/>
      <c r="I123" s="95"/>
      <c r="J123" s="95"/>
      <c r="K123" s="99"/>
      <c r="L123" s="99"/>
      <c r="M123" s="100"/>
      <c r="N123" s="127"/>
      <c r="O123" s="128"/>
      <c r="P123" s="95"/>
      <c r="Q123" s="137"/>
      <c r="R123" s="129"/>
      <c r="S123" s="95"/>
      <c r="T123" s="95"/>
      <c r="V123" s="107"/>
    </row>
    <row r="124" ht="15.75" customHeight="1">
      <c r="A124" s="89"/>
      <c r="B124" s="182"/>
      <c r="C124" s="149"/>
      <c r="D124" s="95"/>
      <c r="E124" s="149"/>
      <c r="F124" s="149"/>
      <c r="G124" s="95"/>
      <c r="H124" s="149"/>
      <c r="I124" s="95"/>
      <c r="J124" s="95"/>
      <c r="K124" s="113"/>
      <c r="L124" s="113"/>
      <c r="M124" s="100"/>
      <c r="N124" s="127"/>
      <c r="O124" s="128"/>
      <c r="P124" s="95"/>
      <c r="Q124" s="137"/>
      <c r="R124" s="129"/>
      <c r="S124" s="95"/>
      <c r="T124" s="95"/>
      <c r="V124" s="107"/>
    </row>
    <row r="125" ht="15.75" customHeight="1">
      <c r="A125" s="89"/>
      <c r="B125" s="182"/>
      <c r="C125" s="149"/>
      <c r="D125" s="95"/>
      <c r="E125" s="149"/>
      <c r="F125" s="149"/>
      <c r="G125" s="95"/>
      <c r="H125" s="149"/>
      <c r="I125" s="95"/>
      <c r="J125" s="95"/>
      <c r="K125" s="99"/>
      <c r="L125" s="99"/>
      <c r="M125" s="100"/>
      <c r="N125" s="127"/>
      <c r="O125" s="128"/>
      <c r="P125" s="95"/>
      <c r="Q125" s="137"/>
      <c r="R125" s="129"/>
      <c r="S125" s="95"/>
      <c r="T125" s="95"/>
      <c r="V125" s="107"/>
    </row>
    <row r="126" ht="15.75" customHeight="1">
      <c r="A126" s="89"/>
      <c r="B126" s="182"/>
      <c r="C126" s="149"/>
      <c r="D126" s="95"/>
      <c r="E126" s="149"/>
      <c r="F126" s="149"/>
      <c r="G126" s="95"/>
      <c r="H126" s="149"/>
      <c r="I126" s="95"/>
      <c r="J126" s="95"/>
      <c r="K126" s="113"/>
      <c r="L126" s="113"/>
      <c r="M126" s="100"/>
      <c r="N126" s="127"/>
      <c r="O126" s="128"/>
      <c r="P126" s="95"/>
      <c r="Q126" s="137"/>
      <c r="R126" s="129"/>
      <c r="S126" s="95"/>
      <c r="T126" s="95"/>
      <c r="V126" s="107"/>
    </row>
    <row r="127" ht="15.75" customHeight="1">
      <c r="A127" s="89"/>
      <c r="B127" s="182"/>
      <c r="C127" s="149"/>
      <c r="D127" s="95"/>
      <c r="E127" s="149"/>
      <c r="F127" s="149"/>
      <c r="G127" s="95"/>
      <c r="H127" s="149"/>
      <c r="I127" s="95"/>
      <c r="J127" s="95"/>
      <c r="K127" s="99"/>
      <c r="L127" s="99"/>
      <c r="M127" s="100"/>
      <c r="N127" s="127"/>
      <c r="O127" s="128"/>
      <c r="P127" s="95"/>
      <c r="Q127" s="137"/>
      <c r="R127" s="129"/>
      <c r="S127" s="95"/>
      <c r="T127" s="95"/>
      <c r="V127" s="107"/>
    </row>
    <row r="128" ht="15.75" customHeight="1">
      <c r="A128" s="89"/>
      <c r="B128" s="182"/>
      <c r="C128" s="107"/>
      <c r="D128" s="95"/>
      <c r="E128" s="149"/>
      <c r="F128" s="149"/>
      <c r="G128" s="95"/>
      <c r="H128" s="149"/>
      <c r="I128" s="95"/>
      <c r="J128" s="95"/>
      <c r="K128" s="113"/>
      <c r="L128" s="113"/>
      <c r="M128" s="100"/>
      <c r="N128" s="127"/>
      <c r="O128" s="128"/>
      <c r="P128" s="95"/>
      <c r="Q128" s="95"/>
      <c r="R128" s="129"/>
      <c r="S128" s="95"/>
      <c r="T128" s="95"/>
      <c r="V128" s="107"/>
    </row>
    <row r="129" ht="15.75" customHeight="1">
      <c r="A129" s="89"/>
      <c r="B129" s="182"/>
      <c r="C129" s="107"/>
      <c r="D129" s="95"/>
      <c r="E129" s="149"/>
      <c r="F129" s="149"/>
      <c r="G129" s="95"/>
      <c r="H129" s="149"/>
      <c r="I129" s="95"/>
      <c r="J129" s="95"/>
      <c r="K129" s="99"/>
      <c r="L129" s="99"/>
      <c r="M129" s="100"/>
      <c r="N129" s="127"/>
      <c r="O129" s="128"/>
      <c r="P129" s="95"/>
      <c r="Q129" s="137"/>
      <c r="R129" s="129"/>
      <c r="S129" s="95"/>
      <c r="T129" s="95"/>
      <c r="V129" s="107"/>
    </row>
    <row r="130" ht="15.75" customHeight="1">
      <c r="A130" s="89"/>
      <c r="B130" s="182"/>
      <c r="C130" s="107"/>
      <c r="D130" s="95"/>
      <c r="E130" s="149"/>
      <c r="F130" s="149"/>
      <c r="G130" s="95"/>
      <c r="H130" s="149"/>
      <c r="I130" s="95"/>
      <c r="J130" s="95"/>
      <c r="K130" s="113"/>
      <c r="L130" s="113"/>
      <c r="M130" s="100"/>
      <c r="N130" s="127"/>
      <c r="O130" s="128"/>
      <c r="P130" s="95"/>
      <c r="Q130" s="95"/>
      <c r="R130" s="129"/>
      <c r="S130" s="95"/>
      <c r="T130" s="95"/>
      <c r="V130" s="107"/>
    </row>
    <row r="131" ht="15.75" customHeight="1">
      <c r="A131" s="89"/>
      <c r="B131" s="182"/>
      <c r="C131" s="149"/>
      <c r="D131" s="95"/>
      <c r="E131" s="149"/>
      <c r="F131" s="149"/>
      <c r="G131" s="95"/>
      <c r="H131" s="149"/>
      <c r="I131" s="95"/>
      <c r="J131" s="95"/>
      <c r="K131" s="99"/>
      <c r="L131" s="99"/>
      <c r="M131" s="100"/>
      <c r="N131" s="127"/>
      <c r="O131" s="128"/>
      <c r="P131" s="95"/>
      <c r="Q131" s="95"/>
      <c r="R131" s="129"/>
      <c r="S131" s="95"/>
      <c r="T131" s="95"/>
      <c r="V131" s="107"/>
    </row>
    <row r="132" ht="15.75" customHeight="1">
      <c r="A132" s="89"/>
      <c r="B132" s="182"/>
      <c r="C132" s="149"/>
      <c r="D132" s="95"/>
      <c r="E132" s="149"/>
      <c r="F132" s="149"/>
      <c r="G132" s="95"/>
      <c r="H132" s="149"/>
      <c r="I132" s="95"/>
      <c r="J132" s="95"/>
      <c r="K132" s="113"/>
      <c r="L132" s="113"/>
      <c r="M132" s="100"/>
      <c r="N132" s="127"/>
      <c r="O132" s="128"/>
      <c r="P132" s="95"/>
      <c r="Q132" s="137"/>
      <c r="R132" s="129"/>
      <c r="S132" s="95"/>
      <c r="T132" s="95"/>
      <c r="V132" s="107"/>
    </row>
    <row r="133" ht="15.75" customHeight="1">
      <c r="A133" s="89"/>
      <c r="B133" s="182"/>
      <c r="C133" s="149"/>
      <c r="D133" s="95"/>
      <c r="E133" s="149"/>
      <c r="F133" s="149"/>
      <c r="G133" s="95"/>
      <c r="H133" s="149"/>
      <c r="I133" s="95"/>
      <c r="J133" s="95"/>
      <c r="K133" s="99"/>
      <c r="L133" s="99"/>
      <c r="M133" s="100"/>
      <c r="N133" s="127"/>
      <c r="O133" s="128"/>
      <c r="P133" s="95"/>
      <c r="Q133" s="95"/>
      <c r="R133" s="129"/>
      <c r="S133" s="95"/>
      <c r="T133" s="95"/>
      <c r="V133" s="107"/>
    </row>
    <row r="134" ht="15.75" customHeight="1">
      <c r="A134" s="89"/>
      <c r="B134" s="182"/>
      <c r="C134" s="149"/>
      <c r="D134" s="95"/>
      <c r="E134" s="149"/>
      <c r="F134" s="149"/>
      <c r="G134" s="95"/>
      <c r="H134" s="149"/>
      <c r="I134" s="95"/>
      <c r="J134" s="95"/>
      <c r="K134" s="113"/>
      <c r="L134" s="113"/>
      <c r="M134" s="100"/>
      <c r="N134" s="127"/>
      <c r="O134" s="128"/>
      <c r="P134" s="95"/>
      <c r="Q134" s="95"/>
      <c r="R134" s="129"/>
      <c r="S134" s="95"/>
      <c r="T134" s="95"/>
      <c r="V134" s="107"/>
    </row>
    <row r="135" ht="15.75" customHeight="1">
      <c r="A135" s="89"/>
      <c r="B135" s="182"/>
      <c r="C135" s="149"/>
      <c r="D135" s="95"/>
      <c r="E135" s="149"/>
      <c r="F135" s="149"/>
      <c r="G135" s="95"/>
      <c r="H135" s="149"/>
      <c r="I135" s="95"/>
      <c r="J135" s="95"/>
      <c r="K135" s="99"/>
      <c r="L135" s="99"/>
      <c r="M135" s="100"/>
      <c r="N135" s="127"/>
      <c r="O135" s="128"/>
      <c r="P135" s="95"/>
      <c r="Q135" s="137"/>
      <c r="R135" s="129"/>
      <c r="S135" s="95"/>
      <c r="T135" s="95"/>
      <c r="V135" s="107"/>
    </row>
    <row r="136" ht="15.75" customHeight="1">
      <c r="A136" s="89"/>
      <c r="B136" s="182"/>
      <c r="C136" s="107"/>
      <c r="D136" s="95"/>
      <c r="E136" s="149"/>
      <c r="F136" s="149"/>
      <c r="G136" s="95"/>
      <c r="H136" s="149"/>
      <c r="I136" s="95"/>
      <c r="J136" s="95"/>
      <c r="K136" s="113"/>
      <c r="L136" s="113"/>
      <c r="M136" s="100"/>
      <c r="N136" s="127"/>
      <c r="O136" s="128"/>
      <c r="P136" s="95"/>
      <c r="Q136" s="95"/>
      <c r="R136" s="129"/>
      <c r="S136" s="95"/>
      <c r="T136" s="95"/>
      <c r="V136" s="107"/>
    </row>
    <row r="137" ht="15.75" customHeight="1">
      <c r="A137" s="89"/>
      <c r="B137" s="182"/>
      <c r="C137" s="107"/>
      <c r="D137" s="95"/>
      <c r="E137" s="149"/>
      <c r="F137" s="149"/>
      <c r="G137" s="95"/>
      <c r="H137" s="149"/>
      <c r="I137" s="95"/>
      <c r="J137" s="95"/>
      <c r="K137" s="99"/>
      <c r="L137" s="99"/>
      <c r="M137" s="100"/>
      <c r="N137" s="127"/>
      <c r="O137" s="128"/>
      <c r="P137" s="95"/>
      <c r="Q137" s="137"/>
      <c r="R137" s="129"/>
      <c r="S137" s="95"/>
      <c r="T137" s="95"/>
      <c r="V137" s="107"/>
    </row>
    <row r="138" ht="15.75" customHeight="1">
      <c r="A138" s="89"/>
      <c r="B138" s="182"/>
      <c r="C138" s="107"/>
      <c r="D138" s="95"/>
      <c r="E138" s="149"/>
      <c r="F138" s="149"/>
      <c r="G138" s="95"/>
      <c r="H138" s="149"/>
      <c r="I138" s="95"/>
      <c r="J138" s="95"/>
      <c r="K138" s="113"/>
      <c r="L138" s="113"/>
      <c r="M138" s="100"/>
      <c r="N138" s="127"/>
      <c r="O138" s="128"/>
      <c r="P138" s="95"/>
      <c r="Q138" s="137"/>
      <c r="R138" s="129"/>
      <c r="S138" s="95"/>
      <c r="T138" s="95"/>
      <c r="V138" s="107"/>
    </row>
    <row r="139" ht="15.75" customHeight="1">
      <c r="A139" s="89"/>
      <c r="B139" s="182"/>
      <c r="C139" s="149"/>
      <c r="D139" s="95"/>
      <c r="E139" s="149"/>
      <c r="F139" s="149"/>
      <c r="G139" s="95"/>
      <c r="H139" s="149"/>
      <c r="I139" s="95"/>
      <c r="J139" s="95"/>
      <c r="K139" s="99"/>
      <c r="L139" s="99"/>
      <c r="M139" s="100"/>
      <c r="N139" s="127"/>
      <c r="O139" s="128"/>
      <c r="P139" s="95"/>
      <c r="Q139" s="137"/>
      <c r="R139" s="129"/>
      <c r="S139" s="95"/>
      <c r="T139" s="95"/>
      <c r="V139" s="107"/>
    </row>
    <row r="140" ht="15.75" customHeight="1">
      <c r="A140" s="89"/>
      <c r="B140" s="182"/>
      <c r="C140" s="149"/>
      <c r="D140" s="95"/>
      <c r="E140" s="149"/>
      <c r="F140" s="149"/>
      <c r="G140" s="95"/>
      <c r="H140" s="149"/>
      <c r="I140" s="95"/>
      <c r="J140" s="95"/>
      <c r="K140" s="113"/>
      <c r="L140" s="113"/>
      <c r="M140" s="100"/>
      <c r="N140" s="127"/>
      <c r="O140" s="128"/>
      <c r="P140" s="95"/>
      <c r="Q140" s="95"/>
      <c r="R140" s="129"/>
      <c r="S140" s="95"/>
      <c r="T140" s="95"/>
      <c r="V140" s="107"/>
    </row>
    <row r="141" ht="15.75" customHeight="1">
      <c r="A141" s="89"/>
      <c r="B141" s="182"/>
      <c r="C141" s="149"/>
      <c r="D141" s="95"/>
      <c r="E141" s="149"/>
      <c r="F141" s="149"/>
      <c r="G141" s="95"/>
      <c r="H141" s="149"/>
      <c r="I141" s="95"/>
      <c r="J141" s="95"/>
      <c r="K141" s="99"/>
      <c r="L141" s="99"/>
      <c r="M141" s="100"/>
      <c r="N141" s="127"/>
      <c r="O141" s="128"/>
      <c r="P141" s="95"/>
      <c r="Q141" s="137"/>
      <c r="R141" s="129"/>
      <c r="S141" s="95"/>
      <c r="T141" s="95"/>
      <c r="V141" s="107"/>
    </row>
    <row r="142" ht="15.75" customHeight="1">
      <c r="A142" s="89"/>
      <c r="B142" s="182"/>
      <c r="C142" s="149"/>
      <c r="D142" s="95"/>
      <c r="E142" s="149"/>
      <c r="F142" s="149"/>
      <c r="G142" s="95"/>
      <c r="H142" s="149"/>
      <c r="I142" s="95"/>
      <c r="J142" s="95"/>
      <c r="K142" s="113"/>
      <c r="L142" s="113"/>
      <c r="M142" s="100"/>
      <c r="N142" s="127"/>
      <c r="O142" s="128"/>
      <c r="P142" s="95"/>
      <c r="Q142" s="95"/>
      <c r="R142" s="129"/>
      <c r="S142" s="95"/>
      <c r="T142" s="95"/>
      <c r="V142" s="107"/>
    </row>
    <row r="143" ht="15.75" customHeight="1">
      <c r="A143" s="89"/>
      <c r="B143" s="182"/>
      <c r="C143" s="149"/>
      <c r="D143" s="95"/>
      <c r="E143" s="149"/>
      <c r="F143" s="183"/>
      <c r="G143" s="95"/>
      <c r="H143" s="149"/>
      <c r="I143" s="95"/>
      <c r="J143" s="95"/>
      <c r="K143" s="99"/>
      <c r="L143" s="99"/>
      <c r="M143" s="100"/>
      <c r="N143" s="127"/>
      <c r="O143" s="128"/>
      <c r="P143" s="95"/>
      <c r="Q143" s="137"/>
      <c r="R143" s="129"/>
      <c r="S143" s="95"/>
      <c r="T143" s="95"/>
      <c r="V143" s="107"/>
    </row>
    <row r="144" ht="15.75" customHeight="1">
      <c r="A144" s="89"/>
      <c r="B144" s="182"/>
      <c r="C144" s="107"/>
      <c r="D144" s="95"/>
      <c r="E144" s="149"/>
      <c r="F144" s="149"/>
      <c r="G144" s="95"/>
      <c r="H144" s="149"/>
      <c r="I144" s="95"/>
      <c r="J144" s="95"/>
      <c r="K144" s="113"/>
      <c r="L144" s="113"/>
      <c r="M144" s="100"/>
      <c r="N144" s="127"/>
      <c r="O144" s="128"/>
      <c r="P144" s="95"/>
      <c r="Q144" s="95"/>
      <c r="R144" s="129"/>
      <c r="S144" s="95"/>
      <c r="T144" s="95"/>
      <c r="V144" s="107"/>
    </row>
    <row r="145" ht="15.75" customHeight="1">
      <c r="A145" s="89"/>
      <c r="B145" s="182"/>
      <c r="C145" s="107"/>
      <c r="D145" s="95"/>
      <c r="E145" s="149"/>
      <c r="F145" s="149"/>
      <c r="G145" s="95"/>
      <c r="H145" s="149"/>
      <c r="I145" s="95"/>
      <c r="J145" s="95"/>
      <c r="K145" s="99"/>
      <c r="L145" s="99"/>
      <c r="M145" s="100"/>
      <c r="N145" s="127"/>
      <c r="O145" s="128"/>
      <c r="P145" s="95"/>
      <c r="Q145" s="137"/>
      <c r="R145" s="129"/>
      <c r="S145" s="95"/>
      <c r="T145" s="95"/>
      <c r="V145" s="107"/>
    </row>
    <row r="146" ht="15.75" customHeight="1">
      <c r="A146" s="89"/>
      <c r="B146" s="182"/>
      <c r="C146" s="149"/>
      <c r="D146" s="95"/>
      <c r="E146" s="149"/>
      <c r="F146" s="149"/>
      <c r="G146" s="95"/>
      <c r="H146" s="149"/>
      <c r="I146" s="95"/>
      <c r="J146" s="95"/>
      <c r="K146" s="113"/>
      <c r="L146" s="113"/>
      <c r="M146" s="100"/>
      <c r="N146" s="127"/>
      <c r="O146" s="128"/>
      <c r="P146" s="95"/>
      <c r="Q146" s="137"/>
      <c r="R146" s="129"/>
      <c r="S146" s="95"/>
      <c r="T146" s="95"/>
      <c r="V146" s="107"/>
    </row>
    <row r="147" ht="15.75" customHeight="1">
      <c r="A147" s="89"/>
      <c r="B147" s="182"/>
      <c r="C147" s="149"/>
      <c r="D147" s="95"/>
      <c r="E147" s="149"/>
      <c r="F147" s="149"/>
      <c r="G147" s="95"/>
      <c r="H147" s="149"/>
      <c r="I147" s="95"/>
      <c r="J147" s="95"/>
      <c r="K147" s="99"/>
      <c r="L147" s="99"/>
      <c r="M147" s="100"/>
      <c r="N147" s="127"/>
      <c r="O147" s="128"/>
      <c r="P147" s="95"/>
      <c r="Q147" s="137"/>
      <c r="R147" s="129"/>
      <c r="S147" s="95"/>
      <c r="T147" s="95"/>
      <c r="V147" s="107"/>
    </row>
    <row r="148" ht="15.75" customHeight="1">
      <c r="A148" s="89"/>
      <c r="B148" s="182"/>
      <c r="C148" s="149"/>
      <c r="D148" s="95"/>
      <c r="E148" s="149"/>
      <c r="F148" s="149"/>
      <c r="G148" s="95"/>
      <c r="H148" s="149"/>
      <c r="I148" s="95"/>
      <c r="J148" s="95"/>
      <c r="K148" s="113"/>
      <c r="L148" s="113"/>
      <c r="M148" s="100"/>
      <c r="N148" s="127"/>
      <c r="O148" s="128"/>
      <c r="P148" s="95"/>
      <c r="Q148" s="137"/>
      <c r="R148" s="129"/>
      <c r="S148" s="95"/>
      <c r="T148" s="95"/>
      <c r="V148" s="107"/>
    </row>
    <row r="149" ht="15.75" customHeight="1">
      <c r="A149" s="89"/>
      <c r="B149" s="182"/>
      <c r="C149" s="149"/>
      <c r="D149" s="95"/>
      <c r="E149" s="149"/>
      <c r="F149" s="149"/>
      <c r="G149" s="95"/>
      <c r="H149" s="149"/>
      <c r="I149" s="95"/>
      <c r="J149" s="95"/>
      <c r="K149" s="99"/>
      <c r="L149" s="99"/>
      <c r="M149" s="100"/>
      <c r="N149" s="127"/>
      <c r="O149" s="128"/>
      <c r="P149" s="95"/>
      <c r="Q149" s="137"/>
      <c r="R149" s="129"/>
      <c r="S149" s="95"/>
      <c r="T149" s="95"/>
      <c r="V149" s="107"/>
    </row>
    <row r="150" ht="15.75" customHeight="1">
      <c r="A150" s="89"/>
      <c r="B150" s="182"/>
      <c r="C150" s="149"/>
      <c r="D150" s="95"/>
      <c r="E150" s="149"/>
      <c r="F150" s="149"/>
      <c r="G150" s="95"/>
      <c r="H150" s="149"/>
      <c r="I150" s="95"/>
      <c r="J150" s="95"/>
      <c r="K150" s="113"/>
      <c r="L150" s="113"/>
      <c r="M150" s="100"/>
      <c r="N150" s="127"/>
      <c r="O150" s="128"/>
      <c r="P150" s="95"/>
      <c r="Q150" s="137"/>
      <c r="R150" s="129"/>
      <c r="S150" s="95"/>
      <c r="T150" s="95"/>
      <c r="V150" s="107"/>
    </row>
    <row r="151" ht="15.75" customHeight="1">
      <c r="A151" s="89"/>
      <c r="B151" s="182"/>
      <c r="C151" s="107"/>
      <c r="D151" s="95"/>
      <c r="E151" s="149"/>
      <c r="F151" s="149"/>
      <c r="G151" s="95"/>
      <c r="H151" s="149"/>
      <c r="I151" s="95"/>
      <c r="J151" s="95"/>
      <c r="K151" s="99"/>
      <c r="L151" s="99"/>
      <c r="M151" s="100"/>
      <c r="N151" s="127"/>
      <c r="O151" s="128"/>
      <c r="P151" s="95"/>
      <c r="Q151" s="137"/>
      <c r="R151" s="129"/>
      <c r="S151" s="95"/>
      <c r="T151" s="95"/>
      <c r="V151" s="107"/>
    </row>
    <row r="152" ht="15.75" customHeight="1">
      <c r="A152" s="89"/>
      <c r="B152" s="182"/>
      <c r="C152" s="149"/>
      <c r="D152" s="95"/>
      <c r="E152" s="149"/>
      <c r="F152" s="149"/>
      <c r="G152" s="95"/>
      <c r="H152" s="149"/>
      <c r="I152" s="95"/>
      <c r="J152" s="95"/>
      <c r="K152" s="113"/>
      <c r="L152" s="113"/>
      <c r="M152" s="100"/>
      <c r="N152" s="127"/>
      <c r="O152" s="128"/>
      <c r="P152" s="95"/>
      <c r="Q152" s="137"/>
      <c r="R152" s="129"/>
      <c r="S152" s="95"/>
      <c r="T152" s="95"/>
      <c r="V152" s="107"/>
    </row>
    <row r="153" ht="15.75" customHeight="1">
      <c r="A153" s="89"/>
      <c r="B153" s="182"/>
      <c r="C153" s="149"/>
      <c r="D153" s="95"/>
      <c r="E153" s="149"/>
      <c r="F153" s="149"/>
      <c r="G153" s="95"/>
      <c r="H153" s="149"/>
      <c r="I153" s="95"/>
      <c r="J153" s="95"/>
      <c r="K153" s="99"/>
      <c r="L153" s="99"/>
      <c r="M153" s="100"/>
      <c r="N153" s="127"/>
      <c r="O153" s="128"/>
      <c r="P153" s="95"/>
      <c r="Q153" s="137"/>
      <c r="R153" s="129"/>
      <c r="S153" s="95"/>
      <c r="T153" s="95"/>
      <c r="V153" s="107"/>
    </row>
    <row r="154" ht="15.75" customHeight="1">
      <c r="A154" s="89"/>
      <c r="B154" s="182"/>
      <c r="C154" s="149"/>
      <c r="D154" s="95"/>
      <c r="E154" s="149"/>
      <c r="F154" s="149"/>
      <c r="G154" s="95"/>
      <c r="H154" s="149"/>
      <c r="I154" s="95"/>
      <c r="J154" s="95"/>
      <c r="K154" s="113"/>
      <c r="L154" s="113"/>
      <c r="M154" s="100"/>
      <c r="N154" s="127"/>
      <c r="O154" s="128"/>
      <c r="P154" s="95"/>
      <c r="Q154" s="137"/>
      <c r="R154" s="129"/>
      <c r="S154" s="95"/>
      <c r="T154" s="95"/>
      <c r="V154" s="107"/>
    </row>
    <row r="155" ht="15.75" customHeight="1">
      <c r="A155" s="89"/>
      <c r="B155" s="182"/>
      <c r="C155" s="149"/>
      <c r="D155" s="95"/>
      <c r="E155" s="149"/>
      <c r="F155" s="149"/>
      <c r="G155" s="95"/>
      <c r="H155" s="149"/>
      <c r="I155" s="95"/>
      <c r="J155" s="95"/>
      <c r="K155" s="99"/>
      <c r="L155" s="99"/>
      <c r="M155" s="100"/>
      <c r="N155" s="127"/>
      <c r="O155" s="128"/>
      <c r="P155" s="95"/>
      <c r="Q155" s="137"/>
      <c r="R155" s="129"/>
      <c r="S155" s="95"/>
      <c r="T155" s="95"/>
      <c r="V155" s="107"/>
    </row>
    <row r="156" ht="15.75" customHeight="1">
      <c r="A156" s="89"/>
      <c r="B156" s="182"/>
      <c r="C156" s="149"/>
      <c r="D156" s="95"/>
      <c r="E156" s="149"/>
      <c r="F156" s="149"/>
      <c r="G156" s="95"/>
      <c r="H156" s="149"/>
      <c r="I156" s="95"/>
      <c r="J156" s="95"/>
      <c r="K156" s="113"/>
      <c r="L156" s="113"/>
      <c r="M156" s="100"/>
      <c r="N156" s="127"/>
      <c r="O156" s="128"/>
      <c r="P156" s="95"/>
      <c r="Q156" s="137"/>
      <c r="R156" s="129"/>
      <c r="S156" s="95"/>
      <c r="T156" s="95"/>
      <c r="V156" s="107"/>
    </row>
    <row r="157" ht="15.75" customHeight="1">
      <c r="A157" s="89"/>
      <c r="B157" s="182"/>
      <c r="C157" s="107"/>
      <c r="D157" s="95"/>
      <c r="E157" s="149"/>
      <c r="F157" s="149"/>
      <c r="G157" s="95"/>
      <c r="H157" s="149"/>
      <c r="I157" s="95"/>
      <c r="J157" s="95"/>
      <c r="K157" s="99"/>
      <c r="L157" s="99"/>
      <c r="M157" s="100"/>
      <c r="N157" s="127"/>
      <c r="O157" s="128"/>
      <c r="P157" s="95"/>
      <c r="Q157" s="137"/>
      <c r="R157" s="129"/>
      <c r="S157" s="95"/>
      <c r="T157" s="95"/>
      <c r="V157" s="107"/>
    </row>
    <row r="158" ht="15.75" customHeight="1">
      <c r="A158" s="89"/>
      <c r="B158" s="182"/>
      <c r="C158" s="149"/>
      <c r="D158" s="95"/>
      <c r="E158" s="149"/>
      <c r="F158" s="149"/>
      <c r="G158" s="95"/>
      <c r="H158" s="149"/>
      <c r="I158" s="95"/>
      <c r="J158" s="95"/>
      <c r="K158" s="113"/>
      <c r="L158" s="113"/>
      <c r="M158" s="100"/>
      <c r="N158" s="127"/>
      <c r="O158" s="128"/>
      <c r="P158" s="95"/>
      <c r="Q158" s="137"/>
      <c r="R158" s="129"/>
      <c r="S158" s="95"/>
      <c r="T158" s="95"/>
      <c r="V158" s="107"/>
    </row>
    <row r="159" ht="15.75" customHeight="1">
      <c r="A159" s="89"/>
      <c r="B159" s="182"/>
      <c r="C159" s="149"/>
      <c r="D159" s="95"/>
      <c r="E159" s="149"/>
      <c r="F159" s="149"/>
      <c r="G159" s="95"/>
      <c r="H159" s="149"/>
      <c r="I159" s="95"/>
      <c r="J159" s="95"/>
      <c r="K159" s="99"/>
      <c r="L159" s="99"/>
      <c r="M159" s="100"/>
      <c r="N159" s="127"/>
      <c r="O159" s="128"/>
      <c r="P159" s="95"/>
      <c r="Q159" s="137"/>
      <c r="R159" s="129"/>
      <c r="S159" s="95"/>
      <c r="T159" s="95"/>
      <c r="V159" s="107"/>
    </row>
    <row r="160" ht="15.75" customHeight="1">
      <c r="A160" s="89"/>
      <c r="B160" s="182"/>
      <c r="C160" s="149"/>
      <c r="D160" s="95"/>
      <c r="E160" s="149"/>
      <c r="F160" s="149"/>
      <c r="G160" s="95"/>
      <c r="H160" s="149"/>
      <c r="I160" s="95"/>
      <c r="J160" s="95"/>
      <c r="K160" s="113"/>
      <c r="L160" s="113"/>
      <c r="M160" s="100"/>
      <c r="N160" s="127"/>
      <c r="O160" s="128"/>
      <c r="P160" s="95"/>
      <c r="Q160" s="137"/>
      <c r="R160" s="129"/>
      <c r="S160" s="95"/>
      <c r="T160" s="95"/>
      <c r="V160" s="107"/>
    </row>
    <row r="161" ht="15.75" customHeight="1">
      <c r="A161" s="89"/>
      <c r="B161" s="182"/>
      <c r="C161" s="149"/>
      <c r="D161" s="95"/>
      <c r="E161" s="149"/>
      <c r="F161" s="149"/>
      <c r="G161" s="95"/>
      <c r="H161" s="149"/>
      <c r="I161" s="95"/>
      <c r="J161" s="95"/>
      <c r="K161" s="99"/>
      <c r="L161" s="99"/>
      <c r="M161" s="100"/>
      <c r="N161" s="127"/>
      <c r="O161" s="128"/>
      <c r="P161" s="95"/>
      <c r="Q161" s="137"/>
      <c r="R161" s="129"/>
      <c r="S161" s="95"/>
      <c r="T161" s="95"/>
      <c r="V161" s="107"/>
    </row>
    <row r="162" ht="15.75" customHeight="1">
      <c r="A162" s="89"/>
      <c r="B162" s="182"/>
      <c r="C162" s="149"/>
      <c r="D162" s="95"/>
      <c r="E162" s="149"/>
      <c r="F162" s="149"/>
      <c r="G162" s="95"/>
      <c r="H162" s="149"/>
      <c r="I162" s="95"/>
      <c r="J162" s="95"/>
      <c r="K162" s="113"/>
      <c r="L162" s="113"/>
      <c r="M162" s="100"/>
      <c r="N162" s="127"/>
      <c r="O162" s="128"/>
      <c r="P162" s="95"/>
      <c r="Q162" s="137"/>
      <c r="R162" s="129"/>
      <c r="S162" s="95"/>
      <c r="T162" s="95"/>
      <c r="V162" s="107"/>
    </row>
    <row r="163" ht="15.75" customHeight="1">
      <c r="A163" s="89"/>
      <c r="B163" s="182"/>
      <c r="C163" s="107"/>
      <c r="D163" s="95"/>
      <c r="E163" s="149"/>
      <c r="F163" s="149"/>
      <c r="G163" s="95"/>
      <c r="H163" s="149"/>
      <c r="I163" s="95"/>
      <c r="J163" s="95"/>
      <c r="K163" s="99"/>
      <c r="L163" s="99"/>
      <c r="M163" s="100"/>
      <c r="N163" s="127"/>
      <c r="O163" s="128"/>
      <c r="P163" s="95"/>
      <c r="Q163" s="137"/>
      <c r="R163" s="129"/>
      <c r="S163" s="95"/>
      <c r="T163" s="95"/>
      <c r="V163" s="107"/>
    </row>
    <row r="164" ht="15.75" customHeight="1">
      <c r="A164" s="89"/>
      <c r="B164" s="182"/>
      <c r="C164" s="149"/>
      <c r="D164" s="95"/>
      <c r="E164" s="149"/>
      <c r="F164" s="149"/>
      <c r="G164" s="95"/>
      <c r="H164" s="149"/>
      <c r="I164" s="95"/>
      <c r="J164" s="95"/>
      <c r="K164" s="113"/>
      <c r="L164" s="113"/>
      <c r="M164" s="100"/>
      <c r="N164" s="127"/>
      <c r="O164" s="128"/>
      <c r="P164" s="95"/>
      <c r="Q164" s="137"/>
      <c r="R164" s="129"/>
      <c r="S164" s="95"/>
      <c r="T164" s="95"/>
      <c r="V164" s="107"/>
    </row>
    <row r="165" ht="15.75" customHeight="1">
      <c r="A165" s="89"/>
      <c r="B165" s="182"/>
      <c r="C165" s="149"/>
      <c r="D165" s="95"/>
      <c r="E165" s="149"/>
      <c r="F165" s="149"/>
      <c r="G165" s="95"/>
      <c r="H165" s="149"/>
      <c r="I165" s="95"/>
      <c r="J165" s="95"/>
      <c r="K165" s="99"/>
      <c r="L165" s="99"/>
      <c r="M165" s="100"/>
      <c r="N165" s="127"/>
      <c r="O165" s="128"/>
      <c r="P165" s="95"/>
      <c r="Q165" s="137"/>
      <c r="R165" s="129"/>
      <c r="S165" s="95"/>
      <c r="T165" s="95"/>
      <c r="V165" s="107"/>
    </row>
    <row r="166" ht="15.75" customHeight="1">
      <c r="A166" s="89"/>
      <c r="B166" s="182"/>
      <c r="C166" s="149"/>
      <c r="D166" s="95"/>
      <c r="E166" s="149"/>
      <c r="F166" s="149"/>
      <c r="G166" s="95"/>
      <c r="H166" s="149"/>
      <c r="I166" s="95"/>
      <c r="J166" s="95"/>
      <c r="K166" s="113"/>
      <c r="L166" s="113"/>
      <c r="M166" s="100"/>
      <c r="N166" s="127"/>
      <c r="O166" s="128"/>
      <c r="P166" s="95"/>
      <c r="Q166" s="137"/>
      <c r="R166" s="129"/>
      <c r="S166" s="95"/>
      <c r="T166" s="95"/>
      <c r="V166" s="107"/>
    </row>
    <row r="167" ht="15.75" customHeight="1">
      <c r="A167" s="89"/>
      <c r="B167" s="182"/>
      <c r="C167" s="149"/>
      <c r="D167" s="95"/>
      <c r="E167" s="149"/>
      <c r="F167" s="149"/>
      <c r="G167" s="95"/>
      <c r="H167" s="149"/>
      <c r="I167" s="95"/>
      <c r="J167" s="95"/>
      <c r="K167" s="99"/>
      <c r="L167" s="99"/>
      <c r="M167" s="100"/>
      <c r="N167" s="127"/>
      <c r="O167" s="128"/>
      <c r="P167" s="95"/>
      <c r="Q167" s="137"/>
      <c r="R167" s="129"/>
      <c r="S167" s="95"/>
      <c r="T167" s="95"/>
      <c r="V167" s="107"/>
    </row>
    <row r="168" ht="15.75" customHeight="1">
      <c r="A168" s="89"/>
      <c r="B168" s="182"/>
      <c r="C168" s="149"/>
      <c r="D168" s="95"/>
      <c r="E168" s="149"/>
      <c r="F168" s="149"/>
      <c r="G168" s="95"/>
      <c r="H168" s="149"/>
      <c r="I168" s="95"/>
      <c r="J168" s="95"/>
      <c r="K168" s="113"/>
      <c r="L168" s="113"/>
      <c r="M168" s="100"/>
      <c r="N168" s="127"/>
      <c r="O168" s="128"/>
      <c r="P168" s="95"/>
      <c r="Q168" s="137"/>
      <c r="R168" s="129"/>
      <c r="S168" s="95"/>
      <c r="T168" s="95"/>
      <c r="V168" s="107"/>
    </row>
    <row r="169" ht="15.75" customHeight="1">
      <c r="A169" s="89"/>
      <c r="B169" s="182"/>
      <c r="C169" s="107"/>
      <c r="D169" s="95"/>
      <c r="E169" s="149"/>
      <c r="F169" s="149"/>
      <c r="G169" s="95"/>
      <c r="H169" s="149"/>
      <c r="I169" s="95"/>
      <c r="J169" s="95"/>
      <c r="K169" s="99"/>
      <c r="L169" s="99"/>
      <c r="M169" s="100"/>
      <c r="N169" s="127"/>
      <c r="O169" s="128"/>
      <c r="P169" s="95"/>
      <c r="Q169" s="137"/>
      <c r="R169" s="129"/>
      <c r="S169" s="95"/>
      <c r="T169" s="95"/>
      <c r="V169" s="107"/>
    </row>
    <row r="170" ht="15.75" customHeight="1">
      <c r="A170" s="89"/>
      <c r="B170" s="182"/>
      <c r="C170" s="149"/>
      <c r="D170" s="95"/>
      <c r="E170" s="149"/>
      <c r="F170" s="149"/>
      <c r="G170" s="95"/>
      <c r="H170" s="149"/>
      <c r="I170" s="95"/>
      <c r="J170" s="95"/>
      <c r="K170" s="113"/>
      <c r="L170" s="113"/>
      <c r="M170" s="100"/>
      <c r="N170" s="127"/>
      <c r="O170" s="128"/>
      <c r="P170" s="95"/>
      <c r="Q170" s="137"/>
      <c r="R170" s="129"/>
      <c r="S170" s="95"/>
      <c r="T170" s="95"/>
      <c r="V170" s="107"/>
    </row>
    <row r="171" ht="15.75" customHeight="1">
      <c r="A171" s="89"/>
      <c r="B171" s="182"/>
      <c r="C171" s="149"/>
      <c r="D171" s="95"/>
      <c r="E171" s="149"/>
      <c r="F171" s="149"/>
      <c r="G171" s="95"/>
      <c r="H171" s="149"/>
      <c r="I171" s="95"/>
      <c r="J171" s="95"/>
      <c r="K171" s="99"/>
      <c r="L171" s="99"/>
      <c r="M171" s="100"/>
      <c r="N171" s="127"/>
      <c r="O171" s="128"/>
      <c r="P171" s="95"/>
      <c r="Q171" s="137"/>
      <c r="R171" s="129"/>
      <c r="S171" s="95"/>
      <c r="T171" s="95"/>
      <c r="V171" s="107"/>
    </row>
    <row r="172" ht="15.75" customHeight="1">
      <c r="A172" s="89"/>
      <c r="B172" s="182"/>
      <c r="C172" s="149"/>
      <c r="D172" s="95"/>
      <c r="E172" s="149"/>
      <c r="F172" s="149"/>
      <c r="G172" s="95"/>
      <c r="H172" s="149"/>
      <c r="I172" s="95"/>
      <c r="J172" s="95"/>
      <c r="K172" s="113"/>
      <c r="L172" s="113"/>
      <c r="M172" s="100"/>
      <c r="N172" s="127"/>
      <c r="O172" s="128"/>
      <c r="P172" s="95"/>
      <c r="Q172" s="137"/>
      <c r="R172" s="129"/>
      <c r="S172" s="95"/>
      <c r="T172" s="95"/>
      <c r="V172" s="107"/>
    </row>
    <row r="173" ht="15.75" customHeight="1">
      <c r="A173" s="89"/>
      <c r="B173" s="182"/>
      <c r="C173" s="149"/>
      <c r="D173" s="95"/>
      <c r="E173" s="149"/>
      <c r="F173" s="149"/>
      <c r="G173" s="95"/>
      <c r="H173" s="149"/>
      <c r="I173" s="95"/>
      <c r="J173" s="95"/>
      <c r="K173" s="99"/>
      <c r="L173" s="99"/>
      <c r="M173" s="100"/>
      <c r="N173" s="127"/>
      <c r="O173" s="128"/>
      <c r="P173" s="95"/>
      <c r="Q173" s="137"/>
      <c r="R173" s="129"/>
      <c r="S173" s="95"/>
      <c r="T173" s="95"/>
      <c r="V173" s="107"/>
    </row>
    <row r="174" ht="15.75" customHeight="1">
      <c r="A174" s="89"/>
      <c r="B174" s="182"/>
      <c r="C174" s="149"/>
      <c r="D174" s="95"/>
      <c r="E174" s="149"/>
      <c r="F174" s="149"/>
      <c r="G174" s="95"/>
      <c r="H174" s="149"/>
      <c r="I174" s="95"/>
      <c r="J174" s="95"/>
      <c r="K174" s="113"/>
      <c r="L174" s="113"/>
      <c r="M174" s="100"/>
      <c r="N174" s="127"/>
      <c r="O174" s="128"/>
      <c r="P174" s="95"/>
      <c r="Q174" s="137"/>
      <c r="R174" s="129"/>
      <c r="S174" s="95"/>
      <c r="T174" s="95"/>
      <c r="V174" s="107"/>
    </row>
    <row r="175" ht="15.75" customHeight="1">
      <c r="A175" s="89"/>
      <c r="B175" s="182"/>
      <c r="C175" s="107"/>
      <c r="D175" s="95"/>
      <c r="E175" s="149"/>
      <c r="F175" s="149"/>
      <c r="G175" s="95"/>
      <c r="H175" s="149"/>
      <c r="I175" s="95"/>
      <c r="J175" s="95"/>
      <c r="K175" s="99"/>
      <c r="L175" s="99"/>
      <c r="M175" s="100"/>
      <c r="N175" s="127"/>
      <c r="O175" s="128"/>
      <c r="P175" s="95"/>
      <c r="Q175" s="137"/>
      <c r="R175" s="129"/>
      <c r="S175" s="95"/>
      <c r="T175" s="95"/>
      <c r="V175" s="107"/>
    </row>
    <row r="176" ht="15.75" customHeight="1">
      <c r="A176" s="89"/>
      <c r="B176" s="182"/>
      <c r="C176" s="149"/>
      <c r="D176" s="95"/>
      <c r="E176" s="149"/>
      <c r="F176" s="149"/>
      <c r="G176" s="95"/>
      <c r="H176" s="149"/>
      <c r="I176" s="95"/>
      <c r="J176" s="95"/>
      <c r="K176" s="113"/>
      <c r="L176" s="113"/>
      <c r="M176" s="100"/>
      <c r="N176" s="127"/>
      <c r="O176" s="128"/>
      <c r="P176" s="95"/>
      <c r="Q176" s="137"/>
      <c r="R176" s="129"/>
      <c r="S176" s="95"/>
      <c r="T176" s="95"/>
      <c r="V176" s="107"/>
    </row>
    <row r="177" ht="15.75" customHeight="1">
      <c r="A177" s="89"/>
      <c r="B177" s="182"/>
      <c r="C177" s="149"/>
      <c r="D177" s="95"/>
      <c r="E177" s="149"/>
      <c r="F177" s="149"/>
      <c r="G177" s="95"/>
      <c r="H177" s="149"/>
      <c r="I177" s="95"/>
      <c r="J177" s="95"/>
      <c r="K177" s="99"/>
      <c r="L177" s="99"/>
      <c r="M177" s="100"/>
      <c r="N177" s="127"/>
      <c r="O177" s="128"/>
      <c r="P177" s="95"/>
      <c r="Q177" s="137"/>
      <c r="R177" s="129"/>
      <c r="S177" s="95"/>
      <c r="T177" s="95"/>
      <c r="V177" s="107"/>
    </row>
    <row r="178" ht="15.75" customHeight="1">
      <c r="A178" s="89"/>
      <c r="B178" s="182"/>
      <c r="C178" s="149"/>
      <c r="D178" s="95"/>
      <c r="E178" s="149"/>
      <c r="F178" s="149"/>
      <c r="G178" s="95"/>
      <c r="H178" s="149"/>
      <c r="I178" s="95"/>
      <c r="J178" s="95"/>
      <c r="K178" s="113"/>
      <c r="L178" s="113"/>
      <c r="M178" s="100"/>
      <c r="N178" s="127"/>
      <c r="O178" s="128"/>
      <c r="P178" s="95"/>
      <c r="Q178" s="137"/>
      <c r="R178" s="129"/>
      <c r="S178" s="95"/>
      <c r="T178" s="95"/>
      <c r="V178" s="107"/>
    </row>
    <row r="179" ht="15.75" customHeight="1">
      <c r="A179" s="89"/>
      <c r="B179" s="182"/>
      <c r="C179" s="149"/>
      <c r="D179" s="95"/>
      <c r="E179" s="149"/>
      <c r="F179" s="149"/>
      <c r="G179" s="95"/>
      <c r="H179" s="149"/>
      <c r="I179" s="95"/>
      <c r="J179" s="95"/>
      <c r="K179" s="99"/>
      <c r="L179" s="99"/>
      <c r="M179" s="100"/>
      <c r="N179" s="127"/>
      <c r="O179" s="128"/>
      <c r="P179" s="95"/>
      <c r="Q179" s="137"/>
      <c r="R179" s="129"/>
      <c r="S179" s="95"/>
      <c r="T179" s="95"/>
      <c r="V179" s="107"/>
    </row>
    <row r="180" ht="15.75" customHeight="1">
      <c r="A180" s="89"/>
      <c r="B180" s="182"/>
      <c r="C180" s="149"/>
      <c r="D180" s="95"/>
      <c r="E180" s="149"/>
      <c r="F180" s="149"/>
      <c r="G180" s="95"/>
      <c r="H180" s="149"/>
      <c r="I180" s="95"/>
      <c r="J180" s="95"/>
      <c r="K180" s="113"/>
      <c r="L180" s="113"/>
      <c r="M180" s="100"/>
      <c r="N180" s="127"/>
      <c r="O180" s="128"/>
      <c r="P180" s="95"/>
      <c r="Q180" s="137"/>
      <c r="R180" s="129"/>
      <c r="S180" s="95"/>
      <c r="T180" s="95"/>
      <c r="V180" s="107"/>
    </row>
    <row r="181" ht="15.75" customHeight="1">
      <c r="A181" s="89"/>
      <c r="B181" s="182"/>
      <c r="C181" s="107"/>
      <c r="D181" s="95"/>
      <c r="E181" s="149"/>
      <c r="F181" s="149"/>
      <c r="G181" s="95"/>
      <c r="H181" s="149"/>
      <c r="I181" s="95"/>
      <c r="J181" s="95"/>
      <c r="K181" s="99"/>
      <c r="L181" s="99"/>
      <c r="M181" s="100"/>
      <c r="N181" s="127"/>
      <c r="O181" s="128"/>
      <c r="P181" s="95"/>
      <c r="Q181" s="137"/>
      <c r="R181" s="129"/>
      <c r="S181" s="95"/>
      <c r="T181" s="95"/>
      <c r="V181" s="107"/>
    </row>
    <row r="182" ht="15.75" customHeight="1">
      <c r="A182" s="89"/>
      <c r="B182" s="182"/>
      <c r="C182" s="149"/>
      <c r="D182" s="95"/>
      <c r="E182" s="149"/>
      <c r="F182" s="149"/>
      <c r="G182" s="95"/>
      <c r="H182" s="149"/>
      <c r="I182" s="95"/>
      <c r="J182" s="95"/>
      <c r="K182" s="113"/>
      <c r="L182" s="113"/>
      <c r="M182" s="100"/>
      <c r="N182" s="127"/>
      <c r="O182" s="128"/>
      <c r="P182" s="95"/>
      <c r="Q182" s="137"/>
      <c r="R182" s="129"/>
      <c r="S182" s="95"/>
      <c r="T182" s="95"/>
      <c r="V182" s="107"/>
    </row>
    <row r="183" ht="15.75" customHeight="1">
      <c r="A183" s="89"/>
      <c r="B183" s="182"/>
      <c r="C183" s="149"/>
      <c r="D183" s="95"/>
      <c r="E183" s="149"/>
      <c r="F183" s="149"/>
      <c r="G183" s="95"/>
      <c r="H183" s="149"/>
      <c r="I183" s="95"/>
      <c r="J183" s="95"/>
      <c r="K183" s="99"/>
      <c r="L183" s="99"/>
      <c r="M183" s="100"/>
      <c r="N183" s="127"/>
      <c r="O183" s="128"/>
      <c r="P183" s="95"/>
      <c r="Q183" s="137"/>
      <c r="R183" s="129"/>
      <c r="S183" s="95"/>
      <c r="T183" s="95"/>
      <c r="V183" s="107"/>
    </row>
    <row r="184" ht="15.75" customHeight="1">
      <c r="A184" s="89"/>
      <c r="B184" s="182"/>
      <c r="C184" s="149"/>
      <c r="D184" s="95"/>
      <c r="E184" s="149"/>
      <c r="F184" s="149"/>
      <c r="G184" s="95"/>
      <c r="H184" s="149"/>
      <c r="I184" s="95"/>
      <c r="J184" s="95"/>
      <c r="K184" s="113"/>
      <c r="L184" s="113"/>
      <c r="M184" s="100"/>
      <c r="N184" s="127"/>
      <c r="O184" s="128"/>
      <c r="P184" s="95"/>
      <c r="Q184" s="137"/>
      <c r="R184" s="129"/>
      <c r="S184" s="95"/>
      <c r="T184" s="95"/>
      <c r="V184" s="107"/>
    </row>
    <row r="185" ht="15.75" customHeight="1">
      <c r="A185" s="89"/>
      <c r="B185" s="182"/>
      <c r="C185" s="149"/>
      <c r="D185" s="95"/>
      <c r="E185" s="149"/>
      <c r="F185" s="149"/>
      <c r="G185" s="95"/>
      <c r="H185" s="149"/>
      <c r="I185" s="95"/>
      <c r="J185" s="95"/>
      <c r="K185" s="99"/>
      <c r="L185" s="99"/>
      <c r="M185" s="100"/>
      <c r="N185" s="127"/>
      <c r="O185" s="128"/>
      <c r="P185" s="95"/>
      <c r="Q185" s="137"/>
      <c r="R185" s="129"/>
      <c r="S185" s="95"/>
      <c r="T185" s="95"/>
      <c r="V185" s="107"/>
    </row>
    <row r="186" ht="15.75" customHeight="1">
      <c r="A186" s="89"/>
      <c r="B186" s="182"/>
      <c r="C186" s="149"/>
      <c r="D186" s="95"/>
      <c r="E186" s="149"/>
      <c r="F186" s="149"/>
      <c r="G186" s="95"/>
      <c r="H186" s="149"/>
      <c r="I186" s="95"/>
      <c r="J186" s="95"/>
      <c r="K186" s="113"/>
      <c r="L186" s="113"/>
      <c r="M186" s="100"/>
      <c r="N186" s="127"/>
      <c r="O186" s="128"/>
      <c r="P186" s="95"/>
      <c r="Q186" s="137"/>
      <c r="R186" s="129"/>
      <c r="S186" s="95"/>
      <c r="T186" s="95"/>
      <c r="V186" s="107"/>
    </row>
    <row r="187" ht="15.75" customHeight="1">
      <c r="A187" s="89"/>
      <c r="B187" s="182"/>
      <c r="C187" s="107"/>
      <c r="D187" s="95"/>
      <c r="E187" s="149"/>
      <c r="F187" s="149"/>
      <c r="G187" s="95"/>
      <c r="H187" s="149"/>
      <c r="I187" s="95"/>
      <c r="J187" s="95"/>
      <c r="K187" s="99"/>
      <c r="L187" s="99"/>
      <c r="M187" s="100"/>
      <c r="N187" s="127"/>
      <c r="O187" s="128"/>
      <c r="P187" s="95"/>
      <c r="Q187" s="137"/>
      <c r="R187" s="129"/>
      <c r="S187" s="95"/>
      <c r="T187" s="95"/>
      <c r="V187" s="107"/>
    </row>
    <row r="188" ht="15.75" customHeight="1">
      <c r="A188" s="89"/>
      <c r="B188" s="182"/>
      <c r="C188" s="149"/>
      <c r="D188" s="95"/>
      <c r="E188" s="149"/>
      <c r="F188" s="149"/>
      <c r="G188" s="95"/>
      <c r="H188" s="149"/>
      <c r="I188" s="95"/>
      <c r="J188" s="95"/>
      <c r="K188" s="113"/>
      <c r="L188" s="113"/>
      <c r="M188" s="100"/>
      <c r="N188" s="127"/>
      <c r="O188" s="128"/>
      <c r="P188" s="95"/>
      <c r="Q188" s="137"/>
      <c r="R188" s="129"/>
      <c r="S188" s="95"/>
      <c r="T188" s="95"/>
      <c r="V188" s="107"/>
    </row>
    <row r="189" ht="15.75" customHeight="1">
      <c r="A189" s="89"/>
      <c r="B189" s="182"/>
      <c r="C189" s="149"/>
      <c r="D189" s="95"/>
      <c r="E189" s="149"/>
      <c r="F189" s="149"/>
      <c r="G189" s="95"/>
      <c r="H189" s="149"/>
      <c r="I189" s="95"/>
      <c r="J189" s="95"/>
      <c r="K189" s="99"/>
      <c r="L189" s="99"/>
      <c r="M189" s="100"/>
      <c r="N189" s="127"/>
      <c r="O189" s="128"/>
      <c r="P189" s="95"/>
      <c r="Q189" s="137"/>
      <c r="R189" s="129"/>
      <c r="S189" s="95"/>
      <c r="T189" s="95"/>
      <c r="V189" s="107"/>
    </row>
    <row r="190" ht="15.75" customHeight="1">
      <c r="A190" s="89"/>
      <c r="B190" s="182"/>
      <c r="C190" s="149"/>
      <c r="D190" s="95"/>
      <c r="E190" s="149"/>
      <c r="F190" s="149"/>
      <c r="G190" s="95"/>
      <c r="H190" s="149"/>
      <c r="I190" s="95"/>
      <c r="J190" s="95"/>
      <c r="K190" s="113"/>
      <c r="L190" s="113"/>
      <c r="M190" s="100"/>
      <c r="N190" s="127"/>
      <c r="O190" s="128"/>
      <c r="P190" s="95"/>
      <c r="Q190" s="137"/>
      <c r="R190" s="129"/>
      <c r="S190" s="95"/>
      <c r="T190" s="95"/>
      <c r="V190" s="107"/>
    </row>
    <row r="191" ht="15.75" customHeight="1">
      <c r="A191" s="89"/>
      <c r="B191" s="182"/>
      <c r="C191" s="149"/>
      <c r="D191" s="95"/>
      <c r="E191" s="149"/>
      <c r="F191" s="149"/>
      <c r="G191" s="95"/>
      <c r="H191" s="149"/>
      <c r="I191" s="95"/>
      <c r="J191" s="95"/>
      <c r="K191" s="99"/>
      <c r="L191" s="99"/>
      <c r="M191" s="100"/>
      <c r="N191" s="127"/>
      <c r="O191" s="128"/>
      <c r="P191" s="95"/>
      <c r="Q191" s="137"/>
      <c r="R191" s="129"/>
      <c r="S191" s="95"/>
      <c r="T191" s="95"/>
      <c r="V191" s="107"/>
    </row>
    <row r="192" ht="15.75" customHeight="1">
      <c r="A192" s="89"/>
      <c r="B192" s="182"/>
      <c r="C192" s="149"/>
      <c r="D192" s="95"/>
      <c r="E192" s="149"/>
      <c r="F192" s="149"/>
      <c r="G192" s="95"/>
      <c r="H192" s="149"/>
      <c r="I192" s="95"/>
      <c r="J192" s="95"/>
      <c r="K192" s="113"/>
      <c r="L192" s="113"/>
      <c r="M192" s="100"/>
      <c r="N192" s="127"/>
      <c r="O192" s="128"/>
      <c r="P192" s="95"/>
      <c r="Q192" s="137"/>
      <c r="R192" s="129"/>
      <c r="S192" s="95"/>
      <c r="T192" s="95"/>
      <c r="V192" s="107"/>
    </row>
    <row r="193" ht="15.75" customHeight="1">
      <c r="A193" s="89"/>
      <c r="B193" s="182"/>
      <c r="C193" s="107"/>
      <c r="D193" s="95"/>
      <c r="E193" s="149"/>
      <c r="F193" s="149"/>
      <c r="G193" s="95"/>
      <c r="H193" s="149"/>
      <c r="I193" s="95"/>
      <c r="J193" s="95"/>
      <c r="K193" s="99"/>
      <c r="L193" s="99"/>
      <c r="M193" s="100"/>
      <c r="N193" s="127"/>
      <c r="O193" s="128"/>
      <c r="P193" s="95"/>
      <c r="Q193" s="137"/>
      <c r="R193" s="129"/>
      <c r="S193" s="95"/>
      <c r="T193" s="95"/>
      <c r="V193" s="107"/>
    </row>
    <row r="194" ht="15.75" customHeight="1">
      <c r="A194" s="89"/>
      <c r="B194" s="182"/>
      <c r="C194" s="149"/>
      <c r="D194" s="95"/>
      <c r="E194" s="149"/>
      <c r="F194" s="149"/>
      <c r="G194" s="95"/>
      <c r="H194" s="149"/>
      <c r="I194" s="95"/>
      <c r="J194" s="95"/>
      <c r="K194" s="113"/>
      <c r="L194" s="113"/>
      <c r="M194" s="100"/>
      <c r="N194" s="127"/>
      <c r="O194" s="128"/>
      <c r="P194" s="95"/>
      <c r="Q194" s="137"/>
      <c r="R194" s="129"/>
      <c r="S194" s="95"/>
      <c r="T194" s="95"/>
      <c r="V194" s="107"/>
    </row>
    <row r="195" ht="15.75" customHeight="1">
      <c r="A195" s="89"/>
      <c r="B195" s="182"/>
      <c r="C195" s="149"/>
      <c r="D195" s="95"/>
      <c r="E195" s="149"/>
      <c r="F195" s="149"/>
      <c r="G195" s="95"/>
      <c r="H195" s="149"/>
      <c r="I195" s="95"/>
      <c r="J195" s="95"/>
      <c r="K195" s="99"/>
      <c r="L195" s="99"/>
      <c r="M195" s="100"/>
      <c r="N195" s="127"/>
      <c r="O195" s="128"/>
      <c r="P195" s="95"/>
      <c r="Q195" s="137"/>
      <c r="R195" s="129"/>
      <c r="S195" s="95"/>
      <c r="T195" s="95"/>
      <c r="V195" s="107"/>
    </row>
    <row r="196" ht="15.75" customHeight="1">
      <c r="A196" s="89"/>
      <c r="B196" s="182"/>
      <c r="C196" s="149"/>
      <c r="D196" s="95"/>
      <c r="E196" s="149"/>
      <c r="F196" s="149"/>
      <c r="G196" s="95"/>
      <c r="H196" s="149"/>
      <c r="I196" s="95"/>
      <c r="J196" s="95"/>
      <c r="K196" s="113"/>
      <c r="L196" s="113"/>
      <c r="M196" s="100"/>
      <c r="N196" s="127"/>
      <c r="O196" s="128"/>
      <c r="P196" s="95"/>
      <c r="Q196" s="137"/>
      <c r="R196" s="129"/>
      <c r="S196" s="95"/>
      <c r="T196" s="95"/>
      <c r="V196" s="107"/>
    </row>
    <row r="197" ht="15.75" customHeight="1">
      <c r="A197" s="89"/>
      <c r="B197" s="182"/>
      <c r="C197" s="149"/>
      <c r="D197" s="95"/>
      <c r="E197" s="149"/>
      <c r="F197" s="149"/>
      <c r="G197" s="95"/>
      <c r="H197" s="149"/>
      <c r="I197" s="95"/>
      <c r="J197" s="95"/>
      <c r="K197" s="99"/>
      <c r="L197" s="99"/>
      <c r="M197" s="100"/>
      <c r="N197" s="127"/>
      <c r="O197" s="128"/>
      <c r="P197" s="95"/>
      <c r="Q197" s="137"/>
      <c r="R197" s="129"/>
      <c r="S197" s="95"/>
      <c r="T197" s="95"/>
      <c r="V197" s="107"/>
    </row>
    <row r="198" ht="15.75" customHeight="1">
      <c r="A198" s="89"/>
      <c r="B198" s="182"/>
      <c r="C198" s="149"/>
      <c r="D198" s="95"/>
      <c r="E198" s="149"/>
      <c r="F198" s="149"/>
      <c r="G198" s="95"/>
      <c r="H198" s="149"/>
      <c r="I198" s="95"/>
      <c r="J198" s="95"/>
      <c r="K198" s="113"/>
      <c r="L198" s="113"/>
      <c r="M198" s="100"/>
      <c r="N198" s="127"/>
      <c r="O198" s="128"/>
      <c r="P198" s="95"/>
      <c r="Q198" s="137"/>
      <c r="R198" s="129"/>
      <c r="S198" s="95"/>
      <c r="T198" s="95"/>
      <c r="V198" s="107"/>
    </row>
    <row r="199" ht="15.75" customHeight="1">
      <c r="A199" s="89"/>
      <c r="B199" s="182"/>
      <c r="C199" s="107"/>
      <c r="D199" s="95"/>
      <c r="E199" s="149"/>
      <c r="F199" s="149"/>
      <c r="G199" s="95"/>
      <c r="H199" s="149"/>
      <c r="I199" s="95"/>
      <c r="J199" s="95"/>
      <c r="K199" s="99"/>
      <c r="L199" s="99"/>
      <c r="M199" s="100"/>
      <c r="N199" s="127"/>
      <c r="O199" s="128"/>
      <c r="P199" s="95"/>
      <c r="Q199" s="137"/>
      <c r="R199" s="129"/>
      <c r="S199" s="95"/>
      <c r="T199" s="95"/>
      <c r="V199" s="107"/>
    </row>
    <row r="200" ht="15.75" customHeight="1">
      <c r="A200" s="89"/>
      <c r="B200" s="182"/>
      <c r="C200" s="149"/>
      <c r="D200" s="95"/>
      <c r="E200" s="149"/>
      <c r="F200" s="149"/>
      <c r="G200" s="95"/>
      <c r="H200" s="149"/>
      <c r="I200" s="95"/>
      <c r="J200" s="95"/>
      <c r="K200" s="113"/>
      <c r="L200" s="113"/>
      <c r="M200" s="100"/>
      <c r="N200" s="127"/>
      <c r="O200" s="128"/>
      <c r="P200" s="95"/>
      <c r="Q200" s="137"/>
      <c r="R200" s="129"/>
      <c r="S200" s="95"/>
      <c r="T200" s="95"/>
      <c r="V200" s="107"/>
    </row>
    <row r="201" ht="15.75" customHeight="1">
      <c r="A201" s="89"/>
      <c r="B201" s="182"/>
      <c r="C201" s="149"/>
      <c r="D201" s="95"/>
      <c r="E201" s="149"/>
      <c r="F201" s="149"/>
      <c r="G201" s="95"/>
      <c r="H201" s="149"/>
      <c r="I201" s="95"/>
      <c r="J201" s="95"/>
      <c r="K201" s="99"/>
      <c r="L201" s="99"/>
      <c r="M201" s="100"/>
      <c r="N201" s="127"/>
      <c r="O201" s="128"/>
      <c r="P201" s="95"/>
      <c r="Q201" s="137"/>
      <c r="R201" s="129"/>
      <c r="S201" s="95"/>
      <c r="T201" s="95"/>
      <c r="V201" s="107"/>
    </row>
    <row r="202" ht="15.75" customHeight="1">
      <c r="A202" s="89"/>
      <c r="B202" s="182"/>
      <c r="C202" s="149"/>
      <c r="D202" s="95"/>
      <c r="E202" s="149"/>
      <c r="F202" s="149"/>
      <c r="G202" s="95"/>
      <c r="H202" s="149"/>
      <c r="I202" s="95"/>
      <c r="J202" s="95"/>
      <c r="K202" s="113"/>
      <c r="L202" s="113"/>
      <c r="M202" s="100"/>
      <c r="N202" s="127"/>
      <c r="O202" s="128"/>
      <c r="P202" s="95"/>
      <c r="Q202" s="137"/>
      <c r="R202" s="129"/>
      <c r="S202" s="95"/>
      <c r="T202" s="95"/>
      <c r="V202" s="107"/>
    </row>
    <row r="203" ht="15.75" customHeight="1">
      <c r="A203" s="89"/>
      <c r="B203" s="182"/>
      <c r="C203" s="149"/>
      <c r="D203" s="95"/>
      <c r="E203" s="149"/>
      <c r="F203" s="149"/>
      <c r="G203" s="95"/>
      <c r="H203" s="149"/>
      <c r="I203" s="95"/>
      <c r="J203" s="95"/>
      <c r="K203" s="99"/>
      <c r="L203" s="99"/>
      <c r="M203" s="100"/>
      <c r="N203" s="127"/>
      <c r="O203" s="128"/>
      <c r="P203" s="95"/>
      <c r="Q203" s="137"/>
      <c r="R203" s="129"/>
      <c r="S203" s="95"/>
      <c r="T203" s="95"/>
      <c r="V203" s="107"/>
    </row>
    <row r="204" ht="15.75" customHeight="1">
      <c r="A204" s="89"/>
      <c r="B204" s="182"/>
      <c r="C204" s="149"/>
      <c r="D204" s="95"/>
      <c r="E204" s="149"/>
      <c r="F204" s="149"/>
      <c r="G204" s="95"/>
      <c r="H204" s="149"/>
      <c r="I204" s="95"/>
      <c r="J204" s="95"/>
      <c r="K204" s="113"/>
      <c r="L204" s="113"/>
      <c r="M204" s="100"/>
      <c r="N204" s="127"/>
      <c r="O204" s="128"/>
      <c r="P204" s="95"/>
      <c r="Q204" s="137"/>
      <c r="R204" s="129"/>
      <c r="S204" s="95"/>
      <c r="T204" s="95"/>
      <c r="V204" s="107"/>
    </row>
    <row r="205" ht="15.75" customHeight="1">
      <c r="A205" s="89"/>
      <c r="B205" s="182"/>
      <c r="C205" s="107"/>
      <c r="D205" s="95"/>
      <c r="E205" s="149"/>
      <c r="F205" s="149"/>
      <c r="G205" s="95"/>
      <c r="H205" s="149"/>
      <c r="I205" s="95"/>
      <c r="J205" s="95"/>
      <c r="K205" s="99"/>
      <c r="L205" s="99"/>
      <c r="M205" s="100"/>
      <c r="N205" s="127"/>
      <c r="O205" s="128"/>
      <c r="P205" s="95"/>
      <c r="Q205" s="137"/>
      <c r="R205" s="129"/>
      <c r="S205" s="95"/>
      <c r="T205" s="95"/>
      <c r="V205" s="107"/>
    </row>
    <row r="206" ht="15.75" customHeight="1">
      <c r="A206" s="89"/>
      <c r="B206" s="182"/>
      <c r="C206" s="149"/>
      <c r="D206" s="95"/>
      <c r="E206" s="149"/>
      <c r="F206" s="149"/>
      <c r="G206" s="95"/>
      <c r="H206" s="149"/>
      <c r="I206" s="95"/>
      <c r="J206" s="95"/>
      <c r="K206" s="113"/>
      <c r="L206" s="113"/>
      <c r="M206" s="100"/>
      <c r="N206" s="127"/>
      <c r="O206" s="128"/>
      <c r="P206" s="95"/>
      <c r="Q206" s="137"/>
      <c r="R206" s="129"/>
      <c r="S206" s="95"/>
      <c r="T206" s="95"/>
      <c r="V206" s="107"/>
    </row>
    <row r="207" ht="15.75" customHeight="1">
      <c r="A207" s="89"/>
      <c r="B207" s="182"/>
      <c r="C207" s="149"/>
      <c r="D207" s="95"/>
      <c r="E207" s="149"/>
      <c r="F207" s="149"/>
      <c r="G207" s="95"/>
      <c r="H207" s="149"/>
      <c r="I207" s="95"/>
      <c r="J207" s="95"/>
      <c r="K207" s="99"/>
      <c r="L207" s="99"/>
      <c r="M207" s="100"/>
      <c r="N207" s="127"/>
      <c r="O207" s="128"/>
      <c r="P207" s="95"/>
      <c r="Q207" s="137"/>
      <c r="R207" s="129"/>
      <c r="S207" s="95"/>
      <c r="T207" s="95"/>
      <c r="V207" s="107"/>
    </row>
    <row r="208" ht="15.75" customHeight="1">
      <c r="A208" s="89"/>
      <c r="B208" s="182"/>
      <c r="C208" s="149"/>
      <c r="D208" s="95"/>
      <c r="E208" s="149"/>
      <c r="F208" s="149"/>
      <c r="G208" s="95"/>
      <c r="H208" s="149"/>
      <c r="I208" s="95"/>
      <c r="J208" s="95"/>
      <c r="K208" s="113"/>
      <c r="L208" s="113"/>
      <c r="M208" s="100"/>
      <c r="N208" s="127"/>
      <c r="O208" s="128"/>
      <c r="P208" s="95"/>
      <c r="Q208" s="137"/>
      <c r="R208" s="129"/>
      <c r="S208" s="95"/>
      <c r="T208" s="95"/>
      <c r="V208" s="107"/>
    </row>
    <row r="209" ht="15.75" customHeight="1">
      <c r="A209" s="89"/>
      <c r="B209" s="182"/>
      <c r="C209" s="149"/>
      <c r="D209" s="95"/>
      <c r="E209" s="149"/>
      <c r="F209" s="149"/>
      <c r="G209" s="95"/>
      <c r="H209" s="149"/>
      <c r="I209" s="95"/>
      <c r="J209" s="95"/>
      <c r="K209" s="99"/>
      <c r="L209" s="99"/>
      <c r="M209" s="100"/>
      <c r="N209" s="127"/>
      <c r="O209" s="128"/>
      <c r="P209" s="95"/>
      <c r="Q209" s="137"/>
      <c r="R209" s="129"/>
      <c r="S209" s="95"/>
      <c r="T209" s="95"/>
      <c r="V209" s="107"/>
    </row>
    <row r="210" ht="15.75" customHeight="1">
      <c r="A210" s="89"/>
      <c r="B210" s="182"/>
      <c r="C210" s="149"/>
      <c r="D210" s="95"/>
      <c r="E210" s="149"/>
      <c r="F210" s="149"/>
      <c r="G210" s="95"/>
      <c r="H210" s="149"/>
      <c r="I210" s="95"/>
      <c r="J210" s="95"/>
      <c r="K210" s="113"/>
      <c r="L210" s="113"/>
      <c r="M210" s="100"/>
      <c r="N210" s="127"/>
      <c r="O210" s="128"/>
      <c r="P210" s="95"/>
      <c r="Q210" s="137"/>
      <c r="R210" s="129"/>
      <c r="S210" s="95"/>
      <c r="T210" s="95"/>
      <c r="V210" s="107"/>
    </row>
    <row r="211" ht="15.75" customHeight="1">
      <c r="A211" s="89"/>
      <c r="B211" s="182"/>
      <c r="C211" s="107"/>
      <c r="D211" s="95"/>
      <c r="E211" s="149"/>
      <c r="F211" s="149"/>
      <c r="G211" s="95"/>
      <c r="H211" s="149"/>
      <c r="I211" s="95"/>
      <c r="J211" s="95"/>
      <c r="K211" s="99"/>
      <c r="L211" s="99"/>
      <c r="M211" s="100"/>
      <c r="N211" s="127"/>
      <c r="O211" s="128"/>
      <c r="P211" s="95"/>
      <c r="Q211" s="137"/>
      <c r="R211" s="129"/>
      <c r="S211" s="95"/>
      <c r="T211" s="95"/>
      <c r="V211" s="107"/>
    </row>
    <row r="212" ht="15.75" customHeight="1">
      <c r="A212" s="89"/>
      <c r="B212" s="182"/>
      <c r="C212" s="149"/>
      <c r="D212" s="95"/>
      <c r="E212" s="149"/>
      <c r="F212" s="149"/>
      <c r="G212" s="95"/>
      <c r="H212" s="149"/>
      <c r="I212" s="95"/>
      <c r="J212" s="95"/>
      <c r="K212" s="113"/>
      <c r="L212" s="113"/>
      <c r="M212" s="100"/>
      <c r="N212" s="127"/>
      <c r="O212" s="128"/>
      <c r="P212" s="95"/>
      <c r="Q212" s="137"/>
      <c r="R212" s="129"/>
      <c r="S212" s="95"/>
      <c r="T212" s="95"/>
      <c r="V212" s="107"/>
    </row>
    <row r="213" ht="15.75" customHeight="1">
      <c r="A213" s="89"/>
      <c r="B213" s="182"/>
      <c r="C213" s="149"/>
      <c r="D213" s="95"/>
      <c r="E213" s="149"/>
      <c r="F213" s="149"/>
      <c r="G213" s="95"/>
      <c r="H213" s="149"/>
      <c r="I213" s="95"/>
      <c r="J213" s="95"/>
      <c r="K213" s="99"/>
      <c r="L213" s="99"/>
      <c r="M213" s="100"/>
      <c r="N213" s="127"/>
      <c r="O213" s="128"/>
      <c r="P213" s="95"/>
      <c r="Q213" s="137"/>
      <c r="R213" s="129"/>
      <c r="S213" s="95"/>
      <c r="T213" s="95"/>
      <c r="V213" s="107"/>
    </row>
    <row r="214" ht="15.75" customHeight="1">
      <c r="A214" s="89"/>
      <c r="B214" s="182"/>
      <c r="C214" s="149"/>
      <c r="D214" s="95"/>
      <c r="E214" s="149"/>
      <c r="F214" s="149"/>
      <c r="G214" s="95"/>
      <c r="H214" s="149"/>
      <c r="I214" s="95"/>
      <c r="J214" s="95"/>
      <c r="K214" s="113"/>
      <c r="L214" s="113"/>
      <c r="M214" s="100"/>
      <c r="N214" s="127"/>
      <c r="O214" s="128"/>
      <c r="P214" s="95"/>
      <c r="Q214" s="137"/>
      <c r="R214" s="129"/>
      <c r="S214" s="95"/>
      <c r="T214" s="95"/>
      <c r="V214" s="107"/>
    </row>
    <row r="215" ht="15.75" customHeight="1">
      <c r="A215" s="89"/>
      <c r="B215" s="182"/>
      <c r="C215" s="149"/>
      <c r="D215" s="95"/>
      <c r="E215" s="149"/>
      <c r="F215" s="149"/>
      <c r="G215" s="95"/>
      <c r="H215" s="149"/>
      <c r="I215" s="95"/>
      <c r="J215" s="95"/>
      <c r="K215" s="99"/>
      <c r="L215" s="99"/>
      <c r="M215" s="100"/>
      <c r="N215" s="127"/>
      <c r="O215" s="128"/>
      <c r="P215" s="95"/>
      <c r="Q215" s="137"/>
      <c r="R215" s="129"/>
      <c r="S215" s="95"/>
      <c r="T215" s="95"/>
      <c r="V215" s="107"/>
    </row>
    <row r="216" ht="15.75" customHeight="1">
      <c r="A216" s="89"/>
      <c r="B216" s="182"/>
      <c r="C216" s="149"/>
      <c r="D216" s="95"/>
      <c r="E216" s="149"/>
      <c r="F216" s="149"/>
      <c r="G216" s="95"/>
      <c r="H216" s="149"/>
      <c r="I216" s="95"/>
      <c r="J216" s="95"/>
      <c r="K216" s="113"/>
      <c r="L216" s="113"/>
      <c r="M216" s="100"/>
      <c r="N216" s="127"/>
      <c r="O216" s="128"/>
      <c r="P216" s="95"/>
      <c r="Q216" s="137"/>
      <c r="R216" s="129"/>
      <c r="S216" s="95"/>
      <c r="T216" s="95"/>
      <c r="V216" s="107"/>
    </row>
    <row r="217" ht="15.75" customHeight="1">
      <c r="A217" s="89"/>
      <c r="B217" s="182"/>
      <c r="C217" s="107"/>
      <c r="D217" s="95"/>
      <c r="E217" s="149"/>
      <c r="F217" s="149"/>
      <c r="G217" s="95"/>
      <c r="H217" s="149"/>
      <c r="I217" s="95"/>
      <c r="J217" s="95"/>
      <c r="K217" s="99"/>
      <c r="L217" s="99"/>
      <c r="M217" s="100"/>
      <c r="N217" s="127"/>
      <c r="O217" s="128"/>
      <c r="P217" s="95"/>
      <c r="Q217" s="137"/>
      <c r="R217" s="129"/>
      <c r="S217" s="95"/>
      <c r="T217" s="95"/>
      <c r="V217" s="107"/>
    </row>
    <row r="218" ht="15.75" customHeight="1">
      <c r="A218" s="89"/>
      <c r="B218" s="182"/>
      <c r="C218" s="149"/>
      <c r="D218" s="95"/>
      <c r="E218" s="149"/>
      <c r="F218" s="149"/>
      <c r="G218" s="95"/>
      <c r="H218" s="149"/>
      <c r="I218" s="95"/>
      <c r="J218" s="95"/>
      <c r="K218" s="113"/>
      <c r="L218" s="113"/>
      <c r="M218" s="100"/>
      <c r="N218" s="127"/>
      <c r="O218" s="128"/>
      <c r="P218" s="95"/>
      <c r="Q218" s="137"/>
      <c r="R218" s="129"/>
      <c r="S218" s="95"/>
      <c r="T218" s="95"/>
      <c r="V218" s="107"/>
    </row>
    <row r="219" ht="15.75" customHeight="1">
      <c r="A219" s="89"/>
      <c r="B219" s="182"/>
      <c r="C219" s="149"/>
      <c r="D219" s="95"/>
      <c r="E219" s="149"/>
      <c r="F219" s="149"/>
      <c r="G219" s="95"/>
      <c r="H219" s="149"/>
      <c r="I219" s="95"/>
      <c r="J219" s="95"/>
      <c r="K219" s="99"/>
      <c r="L219" s="99"/>
      <c r="M219" s="100"/>
      <c r="N219" s="127"/>
      <c r="O219" s="128"/>
      <c r="P219" s="95"/>
      <c r="Q219" s="137"/>
      <c r="R219" s="129"/>
      <c r="S219" s="95"/>
      <c r="T219" s="95"/>
      <c r="V219" s="107"/>
    </row>
    <row r="220" ht="15.75" customHeight="1">
      <c r="A220" s="89"/>
      <c r="B220" s="182"/>
      <c r="C220" s="149"/>
      <c r="D220" s="95"/>
      <c r="E220" s="149"/>
      <c r="F220" s="149"/>
      <c r="G220" s="95"/>
      <c r="H220" s="149"/>
      <c r="I220" s="95"/>
      <c r="J220" s="95"/>
      <c r="K220" s="113"/>
      <c r="L220" s="113"/>
      <c r="M220" s="100"/>
      <c r="N220" s="127"/>
      <c r="O220" s="128"/>
      <c r="P220" s="95"/>
      <c r="Q220" s="137"/>
      <c r="R220" s="129"/>
      <c r="S220" s="95"/>
      <c r="T220" s="95"/>
      <c r="V220" s="107"/>
    </row>
    <row r="221" ht="15.75" customHeight="1">
      <c r="A221" s="89"/>
      <c r="B221" s="182"/>
      <c r="C221" s="149"/>
      <c r="D221" s="95"/>
      <c r="E221" s="149"/>
      <c r="F221" s="149"/>
      <c r="G221" s="95"/>
      <c r="H221" s="149"/>
      <c r="I221" s="95"/>
      <c r="J221" s="95"/>
      <c r="K221" s="99"/>
      <c r="L221" s="99"/>
      <c r="M221" s="100"/>
      <c r="N221" s="127"/>
      <c r="O221" s="128"/>
      <c r="P221" s="95"/>
      <c r="Q221" s="137"/>
      <c r="R221" s="129"/>
      <c r="S221" s="95"/>
      <c r="T221" s="95"/>
      <c r="V221" s="107"/>
    </row>
    <row r="222" ht="15.75" customHeight="1">
      <c r="A222" s="89"/>
      <c r="B222" s="182"/>
      <c r="C222" s="149"/>
      <c r="D222" s="95"/>
      <c r="E222" s="149"/>
      <c r="F222" s="149"/>
      <c r="G222" s="95"/>
      <c r="H222" s="149"/>
      <c r="I222" s="95"/>
      <c r="J222" s="95"/>
      <c r="K222" s="113"/>
      <c r="L222" s="113"/>
      <c r="M222" s="100"/>
      <c r="N222" s="127"/>
      <c r="O222" s="128"/>
      <c r="P222" s="95"/>
      <c r="Q222" s="137"/>
      <c r="R222" s="129"/>
      <c r="S222" s="95"/>
      <c r="T222" s="95"/>
      <c r="V222" s="107"/>
    </row>
    <row r="223" ht="15.75" customHeight="1">
      <c r="A223" s="89"/>
      <c r="B223" s="182"/>
      <c r="C223" s="107"/>
      <c r="D223" s="95"/>
      <c r="E223" s="149"/>
      <c r="F223" s="149"/>
      <c r="G223" s="95"/>
      <c r="H223" s="149"/>
      <c r="I223" s="95"/>
      <c r="J223" s="95"/>
      <c r="K223" s="99"/>
      <c r="L223" s="99"/>
      <c r="M223" s="100"/>
      <c r="N223" s="127"/>
      <c r="O223" s="128"/>
      <c r="P223" s="95"/>
      <c r="Q223" s="137"/>
      <c r="R223" s="129"/>
      <c r="S223" s="95"/>
      <c r="T223" s="95"/>
      <c r="V223" s="107"/>
    </row>
    <row r="224" ht="15.75" customHeight="1">
      <c r="A224" s="89"/>
      <c r="B224" s="182"/>
      <c r="C224" s="149"/>
      <c r="D224" s="95"/>
      <c r="E224" s="149"/>
      <c r="F224" s="149"/>
      <c r="G224" s="95"/>
      <c r="H224" s="149"/>
      <c r="I224" s="95"/>
      <c r="J224" s="95"/>
      <c r="K224" s="113"/>
      <c r="L224" s="113"/>
      <c r="M224" s="100"/>
      <c r="N224" s="127"/>
      <c r="O224" s="128"/>
      <c r="P224" s="95"/>
      <c r="Q224" s="137"/>
      <c r="R224" s="129"/>
      <c r="S224" s="95"/>
      <c r="T224" s="95"/>
      <c r="V224" s="107"/>
    </row>
    <row r="225" ht="15.75" customHeight="1">
      <c r="A225" s="89"/>
      <c r="B225" s="182"/>
      <c r="C225" s="149"/>
      <c r="D225" s="95"/>
      <c r="E225" s="149"/>
      <c r="F225" s="149"/>
      <c r="G225" s="95"/>
      <c r="H225" s="149"/>
      <c r="I225" s="95"/>
      <c r="J225" s="95"/>
      <c r="K225" s="99"/>
      <c r="L225" s="99"/>
      <c r="M225" s="100"/>
      <c r="N225" s="127"/>
      <c r="O225" s="128"/>
      <c r="P225" s="95"/>
      <c r="Q225" s="137"/>
      <c r="R225" s="129"/>
      <c r="S225" s="95"/>
      <c r="T225" s="95"/>
      <c r="V225" s="107"/>
    </row>
    <row r="226" ht="15.75" customHeight="1">
      <c r="A226" s="89"/>
      <c r="B226" s="182"/>
      <c r="C226" s="149"/>
      <c r="D226" s="95"/>
      <c r="E226" s="149"/>
      <c r="F226" s="149"/>
      <c r="G226" s="95"/>
      <c r="H226" s="149"/>
      <c r="I226" s="95"/>
      <c r="J226" s="95"/>
      <c r="K226" s="113"/>
      <c r="L226" s="113"/>
      <c r="M226" s="100"/>
      <c r="N226" s="127"/>
      <c r="O226" s="128"/>
      <c r="P226" s="95"/>
      <c r="Q226" s="137"/>
      <c r="R226" s="129"/>
      <c r="S226" s="95"/>
      <c r="T226" s="95"/>
      <c r="V226" s="107"/>
    </row>
    <row r="227" ht="15.75" customHeight="1">
      <c r="A227" s="89"/>
      <c r="B227" s="182"/>
      <c r="C227" s="149"/>
      <c r="D227" s="95"/>
      <c r="E227" s="149"/>
      <c r="F227" s="149"/>
      <c r="G227" s="95"/>
      <c r="H227" s="149"/>
      <c r="I227" s="95"/>
      <c r="J227" s="95"/>
      <c r="K227" s="99"/>
      <c r="L227" s="99"/>
      <c r="M227" s="100"/>
      <c r="N227" s="127"/>
      <c r="O227" s="128"/>
      <c r="P227" s="95"/>
      <c r="Q227" s="137"/>
      <c r="R227" s="129"/>
      <c r="S227" s="95"/>
      <c r="T227" s="95"/>
      <c r="V227" s="107"/>
    </row>
    <row r="228" ht="15.75" customHeight="1">
      <c r="A228" s="89"/>
      <c r="B228" s="182"/>
      <c r="C228" s="149"/>
      <c r="D228" s="95"/>
      <c r="E228" s="149"/>
      <c r="F228" s="149"/>
      <c r="G228" s="95"/>
      <c r="H228" s="149"/>
      <c r="I228" s="95"/>
      <c r="J228" s="95"/>
      <c r="K228" s="113"/>
      <c r="L228" s="113"/>
      <c r="M228" s="100"/>
      <c r="N228" s="127"/>
      <c r="O228" s="128"/>
      <c r="P228" s="95"/>
      <c r="Q228" s="137"/>
      <c r="R228" s="129"/>
      <c r="S228" s="95"/>
      <c r="T228" s="95"/>
      <c r="V228" s="107"/>
    </row>
    <row r="229" ht="15.75" customHeight="1">
      <c r="A229" s="89"/>
      <c r="B229" s="182"/>
      <c r="C229" s="107"/>
      <c r="D229" s="95"/>
      <c r="E229" s="149"/>
      <c r="F229" s="149"/>
      <c r="G229" s="95"/>
      <c r="H229" s="149"/>
      <c r="I229" s="95"/>
      <c r="J229" s="95"/>
      <c r="K229" s="99"/>
      <c r="L229" s="99"/>
      <c r="M229" s="100"/>
      <c r="N229" s="127"/>
      <c r="O229" s="128"/>
      <c r="P229" s="95"/>
      <c r="Q229" s="137"/>
      <c r="R229" s="129"/>
      <c r="S229" s="95"/>
      <c r="T229" s="95"/>
      <c r="V229" s="107"/>
    </row>
    <row r="230" ht="15.75" customHeight="1">
      <c r="A230" s="89"/>
      <c r="B230" s="182"/>
      <c r="C230" s="149"/>
      <c r="D230" s="95"/>
      <c r="E230" s="149"/>
      <c r="F230" s="149"/>
      <c r="G230" s="95"/>
      <c r="H230" s="149"/>
      <c r="I230" s="95"/>
      <c r="J230" s="95"/>
      <c r="K230" s="113"/>
      <c r="L230" s="113"/>
      <c r="M230" s="100"/>
      <c r="N230" s="127"/>
      <c r="O230" s="128"/>
      <c r="P230" s="95"/>
      <c r="Q230" s="137"/>
      <c r="R230" s="129"/>
      <c r="S230" s="95"/>
      <c r="T230" s="95"/>
      <c r="V230" s="107"/>
    </row>
    <row r="231" ht="15.75" customHeight="1">
      <c r="A231" s="89"/>
      <c r="B231" s="182"/>
      <c r="C231" s="149"/>
      <c r="D231" s="95"/>
      <c r="E231" s="149"/>
      <c r="F231" s="149"/>
      <c r="G231" s="95"/>
      <c r="H231" s="149"/>
      <c r="I231" s="95"/>
      <c r="J231" s="95"/>
      <c r="K231" s="99"/>
      <c r="L231" s="99"/>
      <c r="M231" s="100"/>
      <c r="N231" s="127"/>
      <c r="O231" s="128"/>
      <c r="P231" s="95"/>
      <c r="Q231" s="137"/>
      <c r="R231" s="129"/>
      <c r="S231" s="95"/>
      <c r="T231" s="95"/>
      <c r="V231" s="107"/>
    </row>
    <row r="232" ht="15.75" customHeight="1">
      <c r="A232" s="89"/>
      <c r="B232" s="182"/>
      <c r="C232" s="149"/>
      <c r="D232" s="95"/>
      <c r="E232" s="149"/>
      <c r="F232" s="149"/>
      <c r="G232" s="95"/>
      <c r="H232" s="149"/>
      <c r="I232" s="95"/>
      <c r="J232" s="95"/>
      <c r="K232" s="113"/>
      <c r="L232" s="113"/>
      <c r="M232" s="100"/>
      <c r="N232" s="127"/>
      <c r="O232" s="128"/>
      <c r="P232" s="95"/>
      <c r="Q232" s="137"/>
      <c r="R232" s="129"/>
      <c r="S232" s="95"/>
      <c r="T232" s="95"/>
      <c r="V232" s="107"/>
    </row>
    <row r="233" ht="15.75" customHeight="1">
      <c r="A233" s="89"/>
      <c r="B233" s="182"/>
      <c r="C233" s="149"/>
      <c r="D233" s="95"/>
      <c r="E233" s="149"/>
      <c r="F233" s="149"/>
      <c r="G233" s="95"/>
      <c r="H233" s="149"/>
      <c r="I233" s="95"/>
      <c r="J233" s="95"/>
      <c r="K233" s="99"/>
      <c r="L233" s="99"/>
      <c r="M233" s="100"/>
      <c r="N233" s="127"/>
      <c r="O233" s="128"/>
      <c r="P233" s="95"/>
      <c r="Q233" s="137"/>
      <c r="R233" s="129"/>
      <c r="S233" s="95"/>
      <c r="T233" s="95"/>
      <c r="V233" s="107"/>
    </row>
    <row r="234" ht="15.75" customHeight="1">
      <c r="A234" s="89"/>
      <c r="B234" s="182"/>
      <c r="C234" s="149"/>
      <c r="D234" s="95"/>
      <c r="E234" s="149"/>
      <c r="F234" s="149"/>
      <c r="G234" s="95"/>
      <c r="H234" s="149"/>
      <c r="I234" s="95"/>
      <c r="J234" s="95"/>
      <c r="K234" s="113"/>
      <c r="L234" s="113"/>
      <c r="M234" s="100"/>
      <c r="N234" s="127"/>
      <c r="O234" s="128"/>
      <c r="P234" s="95"/>
      <c r="Q234" s="137"/>
      <c r="R234" s="129"/>
      <c r="S234" s="95"/>
      <c r="T234" s="95"/>
      <c r="V234" s="107"/>
    </row>
    <row r="235" ht="15.75" customHeight="1">
      <c r="A235" s="89"/>
      <c r="B235" s="182"/>
      <c r="C235" s="107"/>
      <c r="D235" s="95"/>
      <c r="E235" s="149"/>
      <c r="F235" s="149"/>
      <c r="G235" s="95"/>
      <c r="H235" s="149"/>
      <c r="I235" s="95"/>
      <c r="J235" s="95"/>
      <c r="K235" s="99"/>
      <c r="L235" s="99"/>
      <c r="M235" s="100"/>
      <c r="N235" s="127"/>
      <c r="O235" s="128"/>
      <c r="P235" s="95"/>
      <c r="Q235" s="137"/>
      <c r="R235" s="129"/>
      <c r="S235" s="95"/>
      <c r="T235" s="95"/>
      <c r="V235" s="107"/>
    </row>
    <row r="236" ht="15.75" customHeight="1">
      <c r="A236" s="89"/>
      <c r="B236" s="182"/>
      <c r="C236" s="149"/>
      <c r="D236" s="95"/>
      <c r="E236" s="149"/>
      <c r="F236" s="149"/>
      <c r="G236" s="95"/>
      <c r="H236" s="149"/>
      <c r="I236" s="95"/>
      <c r="J236" s="95"/>
      <c r="K236" s="113"/>
      <c r="L236" s="113"/>
      <c r="M236" s="100"/>
      <c r="N236" s="127"/>
      <c r="O236" s="128"/>
      <c r="P236" s="95"/>
      <c r="Q236" s="137"/>
      <c r="R236" s="129"/>
      <c r="S236" s="95"/>
      <c r="T236" s="95"/>
      <c r="V236" s="107"/>
    </row>
    <row r="237" ht="15.75" customHeight="1">
      <c r="A237" s="89"/>
      <c r="B237" s="182"/>
      <c r="C237" s="149"/>
      <c r="D237" s="95"/>
      <c r="E237" s="149"/>
      <c r="F237" s="149"/>
      <c r="G237" s="95"/>
      <c r="H237" s="149"/>
      <c r="I237" s="95"/>
      <c r="J237" s="95"/>
      <c r="K237" s="99"/>
      <c r="L237" s="99"/>
      <c r="M237" s="100"/>
      <c r="N237" s="127"/>
      <c r="O237" s="128"/>
      <c r="P237" s="95"/>
      <c r="Q237" s="137"/>
      <c r="R237" s="129"/>
      <c r="S237" s="95"/>
      <c r="T237" s="95"/>
      <c r="V237" s="107"/>
    </row>
    <row r="238" ht="15.75" customHeight="1">
      <c r="A238" s="89"/>
      <c r="B238" s="182"/>
      <c r="C238" s="149"/>
      <c r="D238" s="95"/>
      <c r="E238" s="149"/>
      <c r="F238" s="149"/>
      <c r="G238" s="95"/>
      <c r="H238" s="149"/>
      <c r="I238" s="95"/>
      <c r="J238" s="95"/>
      <c r="K238" s="113"/>
      <c r="L238" s="113"/>
      <c r="M238" s="100"/>
      <c r="N238" s="127"/>
      <c r="O238" s="128"/>
      <c r="P238" s="95"/>
      <c r="Q238" s="137"/>
      <c r="R238" s="129"/>
      <c r="S238" s="95"/>
      <c r="T238" s="95"/>
      <c r="V238" s="107"/>
    </row>
    <row r="239" ht="15.75" customHeight="1">
      <c r="A239" s="89"/>
      <c r="B239" s="182"/>
      <c r="C239" s="149"/>
      <c r="D239" s="95"/>
      <c r="E239" s="149"/>
      <c r="F239" s="149"/>
      <c r="G239" s="95"/>
      <c r="H239" s="149"/>
      <c r="I239" s="95"/>
      <c r="J239" s="95"/>
      <c r="K239" s="99"/>
      <c r="L239" s="99"/>
      <c r="M239" s="100"/>
      <c r="N239" s="127"/>
      <c r="O239" s="128"/>
      <c r="P239" s="95"/>
      <c r="Q239" s="137"/>
      <c r="R239" s="129"/>
      <c r="S239" s="95"/>
      <c r="T239" s="95"/>
      <c r="V239" s="107"/>
    </row>
    <row r="240" ht="15.75" customHeight="1">
      <c r="A240" s="89"/>
      <c r="B240" s="182"/>
      <c r="C240" s="149"/>
      <c r="D240" s="95"/>
      <c r="E240" s="149"/>
      <c r="F240" s="149"/>
      <c r="G240" s="95"/>
      <c r="H240" s="149"/>
      <c r="I240" s="95"/>
      <c r="J240" s="95"/>
      <c r="K240" s="113"/>
      <c r="L240" s="113"/>
      <c r="M240" s="100"/>
      <c r="N240" s="127"/>
      <c r="O240" s="128"/>
      <c r="P240" s="95"/>
      <c r="Q240" s="137"/>
      <c r="R240" s="129"/>
      <c r="S240" s="95"/>
      <c r="T240" s="95"/>
      <c r="V240" s="107"/>
    </row>
    <row r="241" ht="15.75" customHeight="1">
      <c r="A241" s="89"/>
      <c r="B241" s="182"/>
      <c r="C241" s="107"/>
      <c r="D241" s="95"/>
      <c r="E241" s="149"/>
      <c r="F241" s="149"/>
      <c r="G241" s="95"/>
      <c r="H241" s="149"/>
      <c r="I241" s="95"/>
      <c r="J241" s="95"/>
      <c r="K241" s="99"/>
      <c r="L241" s="99"/>
      <c r="M241" s="100"/>
      <c r="N241" s="127"/>
      <c r="O241" s="128"/>
      <c r="P241" s="95"/>
      <c r="Q241" s="137"/>
      <c r="R241" s="129"/>
      <c r="S241" s="95"/>
      <c r="T241" s="95"/>
      <c r="V241" s="107"/>
    </row>
    <row r="242" ht="15.75" customHeight="1">
      <c r="A242" s="89"/>
      <c r="B242" s="182"/>
      <c r="C242" s="149"/>
      <c r="D242" s="95"/>
      <c r="E242" s="149"/>
      <c r="F242" s="149"/>
      <c r="G242" s="95"/>
      <c r="H242" s="149"/>
      <c r="I242" s="95"/>
      <c r="J242" s="95"/>
      <c r="K242" s="113"/>
      <c r="L242" s="113"/>
      <c r="M242" s="100"/>
      <c r="N242" s="127"/>
      <c r="O242" s="128"/>
      <c r="P242" s="95"/>
      <c r="Q242" s="137"/>
      <c r="R242" s="129"/>
      <c r="S242" s="95"/>
      <c r="T242" s="95"/>
      <c r="V242" s="107"/>
    </row>
    <row r="243" ht="15.75" customHeight="1">
      <c r="A243" s="89"/>
      <c r="B243" s="182"/>
      <c r="C243" s="149"/>
      <c r="D243" s="95"/>
      <c r="E243" s="149"/>
      <c r="F243" s="149"/>
      <c r="G243" s="95"/>
      <c r="H243" s="149"/>
      <c r="I243" s="95"/>
      <c r="J243" s="95"/>
      <c r="K243" s="99"/>
      <c r="L243" s="99"/>
      <c r="M243" s="100"/>
      <c r="N243" s="127"/>
      <c r="O243" s="128"/>
      <c r="P243" s="95"/>
      <c r="Q243" s="137"/>
      <c r="R243" s="129"/>
      <c r="S243" s="95"/>
      <c r="T243" s="95"/>
      <c r="V243" s="107"/>
    </row>
    <row r="244" ht="15.75" customHeight="1">
      <c r="A244" s="89"/>
      <c r="B244" s="182"/>
      <c r="C244" s="149"/>
      <c r="D244" s="95"/>
      <c r="E244" s="149"/>
      <c r="F244" s="149"/>
      <c r="G244" s="95"/>
      <c r="H244" s="149"/>
      <c r="I244" s="95"/>
      <c r="J244" s="95"/>
      <c r="K244" s="154"/>
      <c r="L244" s="154"/>
      <c r="M244" s="100"/>
      <c r="N244" s="127"/>
      <c r="O244" s="128"/>
      <c r="P244" s="95"/>
      <c r="Q244" s="137"/>
      <c r="R244" s="129"/>
      <c r="S244" s="95"/>
      <c r="T244" s="95"/>
      <c r="V244" s="107"/>
    </row>
    <row r="245" ht="15.75" customHeight="1">
      <c r="A245" s="89"/>
      <c r="B245" s="182"/>
      <c r="C245" s="149"/>
      <c r="D245" s="95"/>
      <c r="E245" s="149"/>
      <c r="F245" s="149"/>
      <c r="G245" s="95"/>
      <c r="H245" s="149"/>
      <c r="I245" s="95"/>
      <c r="J245" s="95"/>
      <c r="K245" s="156"/>
      <c r="L245" s="156"/>
      <c r="M245" s="100"/>
      <c r="N245" s="127"/>
      <c r="O245" s="128"/>
      <c r="P245" s="95"/>
      <c r="Q245" s="137"/>
      <c r="R245" s="129"/>
      <c r="S245" s="95"/>
      <c r="T245" s="95"/>
      <c r="V245" s="107"/>
    </row>
    <row r="246" ht="15.75" customHeight="1">
      <c r="A246" s="89"/>
      <c r="B246" s="182"/>
      <c r="C246" s="149"/>
      <c r="D246" s="95"/>
      <c r="E246" s="149"/>
      <c r="F246" s="149"/>
      <c r="G246" s="95"/>
      <c r="H246" s="149"/>
      <c r="I246" s="95"/>
      <c r="J246" s="95"/>
      <c r="K246" s="154"/>
      <c r="L246" s="154"/>
      <c r="M246" s="100"/>
      <c r="N246" s="127"/>
      <c r="O246" s="128"/>
      <c r="P246" s="95"/>
      <c r="Q246" s="137"/>
      <c r="R246" s="129"/>
      <c r="S246" s="95"/>
      <c r="T246" s="95"/>
      <c r="V246" s="107"/>
    </row>
    <row r="247" ht="15.75" customHeight="1">
      <c r="A247" s="89"/>
      <c r="B247" s="182"/>
      <c r="C247" s="107"/>
      <c r="D247" s="95"/>
      <c r="E247" s="149"/>
      <c r="F247" s="149"/>
      <c r="G247" s="95"/>
      <c r="H247" s="149"/>
      <c r="I247" s="95"/>
      <c r="J247" s="95"/>
      <c r="K247" s="156"/>
      <c r="L247" s="156"/>
      <c r="M247" s="100"/>
      <c r="N247" s="127"/>
      <c r="O247" s="128"/>
      <c r="P247" s="95"/>
      <c r="Q247" s="137"/>
      <c r="R247" s="129"/>
      <c r="S247" s="95"/>
      <c r="T247" s="95"/>
      <c r="V247" s="107"/>
    </row>
    <row r="248" ht="15.75" customHeight="1">
      <c r="A248" s="89"/>
      <c r="B248" s="182"/>
      <c r="C248" s="149"/>
      <c r="D248" s="95"/>
      <c r="E248" s="149"/>
      <c r="F248" s="149"/>
      <c r="G248" s="95"/>
      <c r="H248" s="149"/>
      <c r="I248" s="95"/>
      <c r="J248" s="95"/>
      <c r="K248" s="154"/>
      <c r="L248" s="154"/>
      <c r="M248" s="100"/>
      <c r="N248" s="127"/>
      <c r="O248" s="128"/>
      <c r="P248" s="95"/>
      <c r="Q248" s="137"/>
      <c r="R248" s="129"/>
      <c r="S248" s="95"/>
      <c r="T248" s="95"/>
      <c r="V248" s="107"/>
    </row>
    <row r="249" ht="15.75" customHeight="1">
      <c r="A249" s="89"/>
      <c r="B249" s="182"/>
      <c r="C249" s="149"/>
      <c r="D249" s="95"/>
      <c r="E249" s="149"/>
      <c r="F249" s="149"/>
      <c r="G249" s="95"/>
      <c r="H249" s="149"/>
      <c r="I249" s="95"/>
      <c r="J249" s="95"/>
      <c r="K249" s="156"/>
      <c r="L249" s="156"/>
      <c r="M249" s="100"/>
      <c r="N249" s="127"/>
      <c r="O249" s="128"/>
      <c r="P249" s="95"/>
      <c r="Q249" s="137"/>
      <c r="R249" s="129"/>
      <c r="S249" s="95"/>
      <c r="T249" s="95"/>
      <c r="V249" s="107"/>
    </row>
    <row r="250" ht="15.75" customHeight="1">
      <c r="A250" s="89"/>
      <c r="B250" s="182"/>
      <c r="C250" s="149"/>
      <c r="D250" s="95"/>
      <c r="E250" s="149"/>
      <c r="F250" s="149"/>
      <c r="G250" s="95"/>
      <c r="H250" s="149"/>
      <c r="I250" s="95"/>
      <c r="J250" s="95"/>
      <c r="K250" s="154"/>
      <c r="L250" s="154"/>
      <c r="M250" s="100"/>
      <c r="N250" s="127"/>
      <c r="O250" s="128"/>
      <c r="P250" s="95"/>
      <c r="Q250" s="137"/>
      <c r="R250" s="129"/>
      <c r="S250" s="95"/>
      <c r="T250" s="95"/>
      <c r="V250" s="107"/>
    </row>
    <row r="251" ht="15.75" customHeight="1">
      <c r="A251" s="89"/>
      <c r="B251" s="182"/>
      <c r="C251" s="149"/>
      <c r="D251" s="95"/>
      <c r="E251" s="149"/>
      <c r="F251" s="149"/>
      <c r="G251" s="95"/>
      <c r="H251" s="149"/>
      <c r="I251" s="95"/>
      <c r="J251" s="95"/>
      <c r="K251" s="156"/>
      <c r="L251" s="156"/>
      <c r="M251" s="100"/>
      <c r="N251" s="127"/>
      <c r="O251" s="128"/>
      <c r="P251" s="95"/>
      <c r="Q251" s="137"/>
      <c r="R251" s="129"/>
      <c r="S251" s="95"/>
      <c r="T251" s="95"/>
      <c r="V251" s="107"/>
    </row>
    <row r="252" ht="15.75" customHeight="1">
      <c r="A252" s="89"/>
      <c r="B252" s="182"/>
      <c r="C252" s="149"/>
      <c r="D252" s="95"/>
      <c r="E252" s="149"/>
      <c r="F252" s="149"/>
      <c r="G252" s="95"/>
      <c r="H252" s="149"/>
      <c r="I252" s="95"/>
      <c r="J252" s="95"/>
      <c r="K252" s="154"/>
      <c r="L252" s="154"/>
      <c r="M252" s="100"/>
      <c r="N252" s="127"/>
      <c r="O252" s="128"/>
      <c r="P252" s="95"/>
      <c r="Q252" s="137"/>
      <c r="R252" s="129"/>
      <c r="S252" s="95"/>
      <c r="T252" s="95"/>
      <c r="V252" s="107"/>
    </row>
    <row r="253" ht="15.75" customHeight="1">
      <c r="A253" s="89"/>
      <c r="B253" s="182"/>
      <c r="C253" s="107"/>
      <c r="D253" s="95"/>
      <c r="E253" s="149"/>
      <c r="F253" s="149"/>
      <c r="G253" s="95"/>
      <c r="H253" s="149"/>
      <c r="I253" s="95"/>
      <c r="J253" s="95"/>
      <c r="K253" s="156"/>
      <c r="L253" s="156"/>
      <c r="M253" s="100"/>
      <c r="N253" s="127"/>
      <c r="O253" s="128"/>
      <c r="P253" s="95"/>
      <c r="Q253" s="137"/>
      <c r="R253" s="129"/>
      <c r="S253" s="95"/>
      <c r="T253" s="95"/>
      <c r="V253" s="107"/>
    </row>
    <row r="254" ht="15.75" customHeight="1">
      <c r="A254" s="89"/>
      <c r="B254" s="182"/>
      <c r="C254" s="149"/>
      <c r="D254" s="95"/>
      <c r="E254" s="149"/>
      <c r="F254" s="149"/>
      <c r="G254" s="95"/>
      <c r="H254" s="149"/>
      <c r="I254" s="95"/>
      <c r="J254" s="95"/>
      <c r="K254" s="154"/>
      <c r="L254" s="154"/>
      <c r="M254" s="100"/>
      <c r="N254" s="127"/>
      <c r="O254" s="128"/>
      <c r="P254" s="95"/>
      <c r="Q254" s="137"/>
      <c r="R254" s="129"/>
      <c r="S254" s="95"/>
      <c r="T254" s="95"/>
      <c r="V254" s="107"/>
    </row>
    <row r="255" ht="15.75" customHeight="1">
      <c r="A255" s="89"/>
      <c r="B255" s="182"/>
      <c r="C255" s="149"/>
      <c r="D255" s="95"/>
      <c r="E255" s="149"/>
      <c r="F255" s="149"/>
      <c r="G255" s="95"/>
      <c r="H255" s="149"/>
      <c r="I255" s="95"/>
      <c r="J255" s="95"/>
      <c r="K255" s="156"/>
      <c r="L255" s="156"/>
      <c r="M255" s="100"/>
      <c r="N255" s="127"/>
      <c r="O255" s="128"/>
      <c r="P255" s="95"/>
      <c r="Q255" s="137"/>
      <c r="R255" s="129"/>
      <c r="S255" s="95"/>
      <c r="T255" s="95"/>
      <c r="V255" s="107"/>
    </row>
    <row r="256" ht="15.75" customHeight="1">
      <c r="A256" s="89"/>
      <c r="B256" s="182"/>
      <c r="C256" s="149"/>
      <c r="D256" s="95"/>
      <c r="E256" s="149"/>
      <c r="F256" s="149"/>
      <c r="G256" s="95"/>
      <c r="H256" s="149"/>
      <c r="I256" s="95"/>
      <c r="J256" s="95"/>
      <c r="K256" s="154"/>
      <c r="L256" s="154"/>
      <c r="M256" s="100"/>
      <c r="N256" s="127"/>
      <c r="O256" s="128"/>
      <c r="P256" s="95"/>
      <c r="Q256" s="137"/>
      <c r="R256" s="129"/>
      <c r="S256" s="95"/>
      <c r="T256" s="95"/>
      <c r="V256" s="107"/>
    </row>
    <row r="257" ht="15.75" customHeight="1">
      <c r="A257" s="89"/>
      <c r="B257" s="182"/>
      <c r="C257" s="149"/>
      <c r="D257" s="95"/>
      <c r="E257" s="149"/>
      <c r="F257" s="149"/>
      <c r="G257" s="95"/>
      <c r="H257" s="149"/>
      <c r="I257" s="95"/>
      <c r="J257" s="95"/>
      <c r="K257" s="156"/>
      <c r="L257" s="156"/>
      <c r="M257" s="100"/>
      <c r="N257" s="127"/>
      <c r="O257" s="128"/>
      <c r="P257" s="95"/>
      <c r="Q257" s="137"/>
      <c r="R257" s="129"/>
      <c r="S257" s="95"/>
      <c r="T257" s="95"/>
      <c r="V257" s="107"/>
    </row>
    <row r="258" ht="15.75" customHeight="1">
      <c r="A258" s="89"/>
      <c r="B258" s="182"/>
      <c r="C258" s="149"/>
      <c r="D258" s="95"/>
      <c r="E258" s="149"/>
      <c r="F258" s="149"/>
      <c r="G258" s="95"/>
      <c r="H258" s="149"/>
      <c r="I258" s="95"/>
      <c r="J258" s="95"/>
      <c r="K258" s="154"/>
      <c r="L258" s="154"/>
      <c r="M258" s="100"/>
      <c r="N258" s="127"/>
      <c r="O258" s="128"/>
      <c r="P258" s="95"/>
      <c r="Q258" s="137"/>
      <c r="R258" s="129"/>
      <c r="S258" s="95"/>
      <c r="T258" s="95"/>
      <c r="V258" s="107"/>
    </row>
    <row r="259" ht="15.75" customHeight="1">
      <c r="A259" s="89"/>
      <c r="B259" s="182"/>
      <c r="C259" s="107"/>
      <c r="D259" s="95"/>
      <c r="E259" s="149"/>
      <c r="F259" s="149"/>
      <c r="G259" s="95"/>
      <c r="H259" s="149"/>
      <c r="I259" s="95"/>
      <c r="J259" s="95"/>
      <c r="K259" s="156"/>
      <c r="L259" s="156"/>
      <c r="M259" s="100"/>
      <c r="N259" s="127"/>
      <c r="O259" s="128"/>
      <c r="P259" s="95"/>
      <c r="Q259" s="137"/>
      <c r="R259" s="129"/>
      <c r="S259" s="95"/>
      <c r="T259" s="95"/>
      <c r="V259" s="107"/>
    </row>
    <row r="260" ht="15.75" customHeight="1">
      <c r="A260" s="89"/>
      <c r="B260" s="182"/>
      <c r="C260" s="149"/>
      <c r="D260" s="95"/>
      <c r="E260" s="149"/>
      <c r="F260" s="149"/>
      <c r="G260" s="95"/>
      <c r="H260" s="149"/>
      <c r="I260" s="95"/>
      <c r="J260" s="95"/>
      <c r="K260" s="154"/>
      <c r="L260" s="154"/>
      <c r="M260" s="100"/>
      <c r="N260" s="127"/>
      <c r="O260" s="128"/>
      <c r="P260" s="95"/>
      <c r="Q260" s="137"/>
      <c r="R260" s="129"/>
      <c r="S260" s="95"/>
      <c r="T260" s="95"/>
      <c r="V260" s="107"/>
    </row>
    <row r="261" ht="15.75" customHeight="1">
      <c r="A261" s="89"/>
      <c r="B261" s="182"/>
      <c r="C261" s="149"/>
      <c r="D261" s="95"/>
      <c r="E261" s="149"/>
      <c r="F261" s="149"/>
      <c r="G261" s="95"/>
      <c r="H261" s="149"/>
      <c r="I261" s="95"/>
      <c r="J261" s="95"/>
      <c r="K261" s="156"/>
      <c r="L261" s="156"/>
      <c r="M261" s="100"/>
      <c r="N261" s="127"/>
      <c r="O261" s="128"/>
      <c r="P261" s="95"/>
      <c r="Q261" s="137"/>
      <c r="R261" s="129"/>
      <c r="S261" s="95"/>
      <c r="T261" s="95"/>
      <c r="V261" s="107"/>
    </row>
    <row r="262" ht="15.75" customHeight="1">
      <c r="A262" s="89"/>
      <c r="B262" s="182"/>
      <c r="C262" s="149"/>
      <c r="D262" s="95"/>
      <c r="E262" s="149"/>
      <c r="F262" s="149"/>
      <c r="G262" s="95"/>
      <c r="H262" s="149"/>
      <c r="I262" s="95"/>
      <c r="J262" s="95"/>
      <c r="K262" s="154"/>
      <c r="L262" s="154"/>
      <c r="M262" s="100"/>
      <c r="N262" s="127"/>
      <c r="O262" s="128"/>
      <c r="P262" s="95"/>
      <c r="Q262" s="137"/>
      <c r="R262" s="129"/>
      <c r="S262" s="95"/>
      <c r="T262" s="95"/>
      <c r="V262" s="107"/>
    </row>
    <row r="263" ht="15.75" customHeight="1">
      <c r="A263" s="89"/>
      <c r="B263" s="182"/>
      <c r="C263" s="149"/>
      <c r="D263" s="95"/>
      <c r="E263" s="149"/>
      <c r="F263" s="149"/>
      <c r="G263" s="95"/>
      <c r="H263" s="149"/>
      <c r="I263" s="95"/>
      <c r="J263" s="95"/>
      <c r="K263" s="156"/>
      <c r="L263" s="156"/>
      <c r="M263" s="100"/>
      <c r="N263" s="127"/>
      <c r="O263" s="128"/>
      <c r="P263" s="95"/>
      <c r="Q263" s="137"/>
      <c r="R263" s="129"/>
      <c r="S263" s="95"/>
      <c r="T263" s="95"/>
      <c r="V263" s="107"/>
    </row>
    <row r="264" ht="15.75" customHeight="1">
      <c r="A264" s="89"/>
      <c r="B264" s="182"/>
      <c r="C264" s="149"/>
      <c r="D264" s="95"/>
      <c r="E264" s="149"/>
      <c r="F264" s="149"/>
      <c r="G264" s="95"/>
      <c r="H264" s="149"/>
      <c r="I264" s="95"/>
      <c r="J264" s="95"/>
      <c r="K264" s="154"/>
      <c r="L264" s="154"/>
      <c r="M264" s="100"/>
      <c r="N264" s="127"/>
      <c r="O264" s="128"/>
      <c r="P264" s="95"/>
      <c r="Q264" s="137"/>
      <c r="R264" s="129"/>
      <c r="S264" s="95"/>
      <c r="T264" s="95"/>
      <c r="V264" s="107"/>
    </row>
    <row r="265" ht="15.75" customHeight="1">
      <c r="A265" s="89"/>
      <c r="B265" s="182"/>
      <c r="C265" s="107"/>
      <c r="D265" s="95"/>
      <c r="E265" s="149"/>
      <c r="F265" s="149"/>
      <c r="G265" s="95"/>
      <c r="H265" s="149"/>
      <c r="I265" s="95"/>
      <c r="J265" s="95"/>
      <c r="K265" s="156"/>
      <c r="L265" s="156"/>
      <c r="M265" s="100"/>
      <c r="N265" s="127"/>
      <c r="O265" s="128"/>
      <c r="P265" s="95"/>
      <c r="Q265" s="137"/>
      <c r="R265" s="129"/>
      <c r="S265" s="95"/>
      <c r="T265" s="95"/>
      <c r="V265" s="107"/>
    </row>
    <row r="266" ht="15.75" customHeight="1">
      <c r="A266" s="89"/>
      <c r="B266" s="182"/>
      <c r="C266" s="149"/>
      <c r="D266" s="95"/>
      <c r="E266" s="149"/>
      <c r="F266" s="149"/>
      <c r="G266" s="95"/>
      <c r="H266" s="149"/>
      <c r="I266" s="95"/>
      <c r="J266" s="95"/>
      <c r="K266" s="154"/>
      <c r="L266" s="154"/>
      <c r="M266" s="100"/>
      <c r="N266" s="127"/>
      <c r="O266" s="128"/>
      <c r="P266" s="95"/>
      <c r="Q266" s="137"/>
      <c r="R266" s="129"/>
      <c r="S266" s="95"/>
      <c r="T266" s="95"/>
      <c r="V266" s="107"/>
    </row>
    <row r="267" ht="15.75" customHeight="1">
      <c r="A267" s="89"/>
      <c r="B267" s="182"/>
      <c r="C267" s="149"/>
      <c r="D267" s="95"/>
      <c r="E267" s="149"/>
      <c r="F267" s="149"/>
      <c r="G267" s="95"/>
      <c r="H267" s="149"/>
      <c r="I267" s="95"/>
      <c r="J267" s="95"/>
      <c r="K267" s="156"/>
      <c r="L267" s="156"/>
      <c r="M267" s="100"/>
      <c r="N267" s="127"/>
      <c r="O267" s="128"/>
      <c r="P267" s="95"/>
      <c r="Q267" s="137"/>
      <c r="R267" s="129"/>
      <c r="S267" s="95"/>
      <c r="T267" s="95"/>
      <c r="V267" s="107"/>
    </row>
    <row r="268" ht="15.75" customHeight="1">
      <c r="A268" s="89"/>
      <c r="B268" s="182"/>
      <c r="C268" s="149"/>
      <c r="D268" s="95"/>
      <c r="E268" s="149"/>
      <c r="F268" s="149"/>
      <c r="G268" s="95"/>
      <c r="H268" s="149"/>
      <c r="I268" s="95"/>
      <c r="J268" s="95"/>
      <c r="K268" s="154"/>
      <c r="L268" s="154"/>
      <c r="M268" s="100"/>
      <c r="N268" s="127"/>
      <c r="O268" s="128"/>
      <c r="P268" s="95"/>
      <c r="Q268" s="137"/>
      <c r="R268" s="129"/>
      <c r="S268" s="95"/>
      <c r="T268" s="95"/>
      <c r="V268" s="107"/>
    </row>
    <row r="269" ht="15.75" customHeight="1">
      <c r="A269" s="89"/>
      <c r="B269" s="182"/>
      <c r="C269" s="149"/>
      <c r="D269" s="95"/>
      <c r="E269" s="149"/>
      <c r="F269" s="149"/>
      <c r="G269" s="95"/>
      <c r="H269" s="149"/>
      <c r="I269" s="95"/>
      <c r="J269" s="95"/>
      <c r="K269" s="156"/>
      <c r="L269" s="156"/>
      <c r="M269" s="100"/>
      <c r="N269" s="127"/>
      <c r="O269" s="128"/>
      <c r="P269" s="95"/>
      <c r="Q269" s="137"/>
      <c r="R269" s="129"/>
      <c r="S269" s="95"/>
      <c r="T269" s="95"/>
      <c r="V269" s="107"/>
    </row>
    <row r="270" ht="15.75" customHeight="1">
      <c r="A270" s="89"/>
      <c r="B270" s="182"/>
      <c r="C270" s="149"/>
      <c r="D270" s="95"/>
      <c r="E270" s="149"/>
      <c r="F270" s="149"/>
      <c r="G270" s="95"/>
      <c r="H270" s="149"/>
      <c r="I270" s="95"/>
      <c r="J270" s="95"/>
      <c r="K270" s="154"/>
      <c r="L270" s="154"/>
      <c r="M270" s="100"/>
      <c r="N270" s="127"/>
      <c r="O270" s="128"/>
      <c r="P270" s="95"/>
      <c r="Q270" s="137"/>
      <c r="R270" s="129"/>
      <c r="S270" s="95"/>
      <c r="T270" s="95"/>
      <c r="V270" s="107"/>
    </row>
    <row r="271" ht="15.75" customHeight="1">
      <c r="A271" s="89"/>
      <c r="B271" s="182"/>
      <c r="C271" s="107"/>
      <c r="D271" s="95"/>
      <c r="E271" s="149"/>
      <c r="F271" s="149"/>
      <c r="G271" s="95"/>
      <c r="H271" s="149"/>
      <c r="I271" s="95"/>
      <c r="J271" s="95"/>
      <c r="K271" s="156"/>
      <c r="L271" s="156"/>
      <c r="M271" s="100"/>
      <c r="N271" s="127"/>
      <c r="O271" s="128"/>
      <c r="P271" s="95"/>
      <c r="Q271" s="137"/>
      <c r="R271" s="129"/>
      <c r="S271" s="95"/>
      <c r="T271" s="95"/>
      <c r="V271" s="107"/>
    </row>
    <row r="272" ht="15.75" customHeight="1">
      <c r="A272" s="89"/>
      <c r="B272" s="182"/>
      <c r="C272" s="149"/>
      <c r="D272" s="95"/>
      <c r="E272" s="149"/>
      <c r="F272" s="149"/>
      <c r="G272" s="95"/>
      <c r="H272" s="149"/>
      <c r="I272" s="95"/>
      <c r="J272" s="95"/>
      <c r="K272" s="154"/>
      <c r="L272" s="154"/>
      <c r="M272" s="100"/>
      <c r="N272" s="127"/>
      <c r="O272" s="128"/>
      <c r="P272" s="95"/>
      <c r="Q272" s="137"/>
      <c r="R272" s="129"/>
      <c r="S272" s="95"/>
      <c r="T272" s="95"/>
      <c r="V272" s="107"/>
    </row>
    <row r="273" ht="15.75" customHeight="1">
      <c r="A273" s="89"/>
      <c r="B273" s="182"/>
      <c r="C273" s="149"/>
      <c r="D273" s="95"/>
      <c r="E273" s="149"/>
      <c r="F273" s="149"/>
      <c r="G273" s="95"/>
      <c r="H273" s="149"/>
      <c r="I273" s="95"/>
      <c r="J273" s="95"/>
      <c r="K273" s="156"/>
      <c r="L273" s="156"/>
      <c r="M273" s="100"/>
      <c r="N273" s="127"/>
      <c r="O273" s="128"/>
      <c r="P273" s="95"/>
      <c r="Q273" s="137"/>
      <c r="R273" s="129"/>
      <c r="S273" s="95"/>
      <c r="T273" s="95"/>
      <c r="V273" s="107"/>
    </row>
    <row r="274" ht="15.75" customHeight="1">
      <c r="A274" s="89"/>
      <c r="B274" s="182"/>
      <c r="C274" s="149"/>
      <c r="D274" s="95"/>
      <c r="E274" s="149"/>
      <c r="F274" s="149"/>
      <c r="G274" s="95"/>
      <c r="H274" s="149"/>
      <c r="I274" s="95"/>
      <c r="J274" s="95"/>
      <c r="K274" s="154"/>
      <c r="L274" s="154"/>
      <c r="M274" s="100"/>
      <c r="N274" s="127"/>
      <c r="O274" s="128"/>
      <c r="P274" s="95"/>
      <c r="Q274" s="137"/>
      <c r="R274" s="129"/>
      <c r="S274" s="95"/>
      <c r="T274" s="95"/>
      <c r="V274" s="107"/>
    </row>
    <row r="275" ht="15.75" customHeight="1">
      <c r="A275" s="89"/>
      <c r="B275" s="182"/>
      <c r="C275" s="149"/>
      <c r="D275" s="95"/>
      <c r="E275" s="149"/>
      <c r="F275" s="149"/>
      <c r="G275" s="95"/>
      <c r="H275" s="149"/>
      <c r="I275" s="95"/>
      <c r="J275" s="95"/>
      <c r="K275" s="156"/>
      <c r="L275" s="156"/>
      <c r="M275" s="100"/>
      <c r="N275" s="127"/>
      <c r="O275" s="128"/>
      <c r="P275" s="95"/>
      <c r="Q275" s="137"/>
      <c r="R275" s="129"/>
      <c r="S275" s="95"/>
      <c r="T275" s="95"/>
      <c r="V275" s="107"/>
    </row>
    <row r="276" ht="15.75" customHeight="1">
      <c r="A276" s="89"/>
      <c r="B276" s="182"/>
      <c r="C276" s="149"/>
      <c r="D276" s="95"/>
      <c r="E276" s="149"/>
      <c r="F276" s="149"/>
      <c r="G276" s="95"/>
      <c r="H276" s="149"/>
      <c r="I276" s="95"/>
      <c r="J276" s="95"/>
      <c r="K276" s="154"/>
      <c r="L276" s="154"/>
      <c r="M276" s="100"/>
      <c r="N276" s="127"/>
      <c r="O276" s="128"/>
      <c r="P276" s="95"/>
      <c r="Q276" s="137"/>
      <c r="R276" s="129"/>
      <c r="S276" s="95"/>
      <c r="T276" s="95"/>
      <c r="V276" s="107"/>
    </row>
    <row r="277" ht="15.75" customHeight="1">
      <c r="A277" s="89"/>
      <c r="B277" s="182"/>
      <c r="C277" s="107"/>
      <c r="D277" s="95"/>
      <c r="E277" s="149"/>
      <c r="F277" s="149"/>
      <c r="G277" s="95"/>
      <c r="H277" s="149"/>
      <c r="I277" s="95"/>
      <c r="J277" s="95"/>
      <c r="K277" s="156"/>
      <c r="L277" s="156"/>
      <c r="M277" s="100"/>
      <c r="N277" s="127"/>
      <c r="O277" s="128"/>
      <c r="P277" s="95"/>
      <c r="Q277" s="137"/>
      <c r="R277" s="129"/>
      <c r="S277" s="95"/>
      <c r="T277" s="95"/>
      <c r="V277" s="107"/>
    </row>
    <row r="278" ht="15.75" customHeight="1">
      <c r="A278" s="89"/>
      <c r="B278" s="182"/>
      <c r="C278" s="149"/>
      <c r="D278" s="95"/>
      <c r="E278" s="149"/>
      <c r="F278" s="149"/>
      <c r="G278" s="95"/>
      <c r="H278" s="149"/>
      <c r="I278" s="95"/>
      <c r="J278" s="95"/>
      <c r="K278" s="154"/>
      <c r="L278" s="154"/>
      <c r="M278" s="100"/>
      <c r="N278" s="127"/>
      <c r="O278" s="128"/>
      <c r="P278" s="95"/>
      <c r="Q278" s="137"/>
      <c r="R278" s="129"/>
      <c r="S278" s="95"/>
      <c r="T278" s="95"/>
      <c r="V278" s="107"/>
    </row>
    <row r="279" ht="15.75" customHeight="1">
      <c r="A279" s="89"/>
      <c r="B279" s="182"/>
      <c r="C279" s="149"/>
      <c r="D279" s="95"/>
      <c r="E279" s="149"/>
      <c r="F279" s="149"/>
      <c r="G279" s="95"/>
      <c r="H279" s="149"/>
      <c r="I279" s="95"/>
      <c r="J279" s="95"/>
      <c r="K279" s="156"/>
      <c r="L279" s="156"/>
      <c r="M279" s="100"/>
      <c r="N279" s="127"/>
      <c r="O279" s="128"/>
      <c r="P279" s="95"/>
      <c r="Q279" s="137"/>
      <c r="R279" s="129"/>
      <c r="S279" s="95"/>
      <c r="T279" s="95"/>
      <c r="V279" s="107"/>
    </row>
    <row r="280" ht="15.75" customHeight="1">
      <c r="A280" s="89"/>
      <c r="B280" s="182"/>
      <c r="C280" s="149"/>
      <c r="D280" s="95"/>
      <c r="E280" s="149"/>
      <c r="F280" s="149"/>
      <c r="G280" s="95"/>
      <c r="H280" s="149"/>
      <c r="I280" s="95"/>
      <c r="J280" s="95"/>
      <c r="K280" s="154"/>
      <c r="L280" s="154"/>
      <c r="M280" s="100"/>
      <c r="N280" s="127"/>
      <c r="O280" s="128"/>
      <c r="P280" s="95"/>
      <c r="Q280" s="137"/>
      <c r="R280" s="129"/>
      <c r="S280" s="95"/>
      <c r="T280" s="95"/>
      <c r="V280" s="107"/>
    </row>
    <row r="281" ht="15.75" customHeight="1">
      <c r="A281" s="89"/>
      <c r="B281" s="182"/>
      <c r="C281" s="149"/>
      <c r="D281" s="95"/>
      <c r="E281" s="149"/>
      <c r="F281" s="149"/>
      <c r="G281" s="95"/>
      <c r="H281" s="149"/>
      <c r="I281" s="95"/>
      <c r="J281" s="95"/>
      <c r="K281" s="156"/>
      <c r="L281" s="156"/>
      <c r="M281" s="100"/>
      <c r="N281" s="127"/>
      <c r="O281" s="128"/>
      <c r="P281" s="95"/>
      <c r="Q281" s="137"/>
      <c r="R281" s="129"/>
      <c r="S281" s="95"/>
      <c r="T281" s="95"/>
      <c r="V281" s="107"/>
    </row>
    <row r="282" ht="15.75" customHeight="1">
      <c r="A282" s="89"/>
      <c r="B282" s="182"/>
      <c r="C282" s="149"/>
      <c r="D282" s="95"/>
      <c r="E282" s="149"/>
      <c r="F282" s="149"/>
      <c r="G282" s="95"/>
      <c r="H282" s="149"/>
      <c r="I282" s="95"/>
      <c r="J282" s="95"/>
      <c r="K282" s="154"/>
      <c r="L282" s="154"/>
      <c r="M282" s="100"/>
      <c r="N282" s="127"/>
      <c r="O282" s="128"/>
      <c r="P282" s="95"/>
      <c r="Q282" s="137"/>
      <c r="R282" s="129"/>
      <c r="S282" s="95"/>
      <c r="T282" s="95"/>
      <c r="V282" s="107"/>
    </row>
    <row r="283" ht="15.75" customHeight="1">
      <c r="A283" s="89"/>
      <c r="B283" s="182"/>
      <c r="C283" s="107"/>
      <c r="D283" s="95"/>
      <c r="E283" s="149"/>
      <c r="F283" s="149"/>
      <c r="G283" s="95"/>
      <c r="H283" s="149"/>
      <c r="I283" s="95"/>
      <c r="J283" s="95"/>
      <c r="K283" s="156"/>
      <c r="L283" s="156"/>
      <c r="M283" s="100"/>
      <c r="N283" s="127"/>
      <c r="O283" s="128"/>
      <c r="P283" s="95"/>
      <c r="Q283" s="137"/>
      <c r="R283" s="129"/>
      <c r="S283" s="95"/>
      <c r="T283" s="95"/>
      <c r="V283" s="107"/>
    </row>
    <row r="284" ht="15.75" customHeight="1">
      <c r="A284" s="89"/>
      <c r="B284" s="182"/>
      <c r="C284" s="149"/>
      <c r="D284" s="95"/>
      <c r="E284" s="149"/>
      <c r="F284" s="149"/>
      <c r="G284" s="95"/>
      <c r="H284" s="149"/>
      <c r="I284" s="95"/>
      <c r="J284" s="95"/>
      <c r="K284" s="154"/>
      <c r="L284" s="154"/>
      <c r="M284" s="100"/>
      <c r="N284" s="127"/>
      <c r="O284" s="128"/>
      <c r="P284" s="95"/>
      <c r="Q284" s="137"/>
      <c r="R284" s="129"/>
      <c r="S284" s="95"/>
      <c r="T284" s="95"/>
      <c r="V284" s="107"/>
    </row>
    <row r="285" ht="15.75" customHeight="1">
      <c r="A285" s="89"/>
      <c r="B285" s="182"/>
      <c r="C285" s="149"/>
      <c r="D285" s="95"/>
      <c r="E285" s="149"/>
      <c r="F285" s="149"/>
      <c r="G285" s="95"/>
      <c r="H285" s="149"/>
      <c r="I285" s="95"/>
      <c r="J285" s="95"/>
      <c r="K285" s="156"/>
      <c r="L285" s="156"/>
      <c r="M285" s="100"/>
      <c r="N285" s="127"/>
      <c r="O285" s="128"/>
      <c r="P285" s="95"/>
      <c r="Q285" s="137"/>
      <c r="R285" s="129"/>
      <c r="S285" s="95"/>
      <c r="T285" s="95"/>
      <c r="V285" s="107"/>
    </row>
    <row r="286" ht="15.75" customHeight="1">
      <c r="A286" s="89"/>
      <c r="B286" s="182"/>
      <c r="C286" s="149"/>
      <c r="D286" s="95"/>
      <c r="E286" s="149"/>
      <c r="F286" s="149"/>
      <c r="G286" s="95"/>
      <c r="H286" s="149"/>
      <c r="I286" s="95"/>
      <c r="J286" s="95"/>
      <c r="K286" s="154"/>
      <c r="L286" s="154"/>
      <c r="M286" s="100"/>
      <c r="N286" s="127"/>
      <c r="O286" s="128"/>
      <c r="P286" s="95"/>
      <c r="Q286" s="137"/>
      <c r="R286" s="129"/>
      <c r="S286" s="95"/>
      <c r="T286" s="95"/>
      <c r="V286" s="107"/>
    </row>
    <row r="287" ht="15.75" customHeight="1">
      <c r="A287" s="89"/>
      <c r="B287" s="182"/>
      <c r="C287" s="149"/>
      <c r="D287" s="95"/>
      <c r="E287" s="149"/>
      <c r="F287" s="149"/>
      <c r="G287" s="95"/>
      <c r="H287" s="149"/>
      <c r="I287" s="95"/>
      <c r="J287" s="95"/>
      <c r="K287" s="156"/>
      <c r="L287" s="156"/>
      <c r="M287" s="100"/>
      <c r="N287" s="127"/>
      <c r="O287" s="128"/>
      <c r="P287" s="95"/>
      <c r="Q287" s="137"/>
      <c r="R287" s="129"/>
      <c r="S287" s="95"/>
      <c r="T287" s="95"/>
      <c r="V287" s="107"/>
    </row>
    <row r="288" ht="15.75" customHeight="1">
      <c r="A288" s="89"/>
      <c r="B288" s="182"/>
      <c r="C288" s="149"/>
      <c r="D288" s="95"/>
      <c r="E288" s="149"/>
      <c r="F288" s="149"/>
      <c r="G288" s="95"/>
      <c r="H288" s="149"/>
      <c r="I288" s="95"/>
      <c r="J288" s="95"/>
      <c r="K288" s="154"/>
      <c r="L288" s="154"/>
      <c r="M288" s="100"/>
      <c r="N288" s="127"/>
      <c r="O288" s="128"/>
      <c r="P288" s="95"/>
      <c r="Q288" s="137"/>
      <c r="R288" s="129"/>
      <c r="S288" s="95"/>
      <c r="T288" s="95"/>
      <c r="V288" s="107"/>
    </row>
    <row r="289" ht="15.75" customHeight="1">
      <c r="A289" s="89"/>
      <c r="B289" s="182"/>
      <c r="C289" s="107"/>
      <c r="D289" s="95"/>
      <c r="E289" s="149"/>
      <c r="F289" s="149"/>
      <c r="G289" s="95"/>
      <c r="H289" s="149"/>
      <c r="I289" s="95"/>
      <c r="J289" s="95"/>
      <c r="K289" s="156"/>
      <c r="L289" s="156"/>
      <c r="M289" s="100"/>
      <c r="N289" s="127"/>
      <c r="O289" s="128"/>
      <c r="P289" s="95"/>
      <c r="Q289" s="137"/>
      <c r="R289" s="129"/>
      <c r="S289" s="95"/>
      <c r="T289" s="95"/>
      <c r="V289" s="107"/>
    </row>
    <row r="290" ht="15.75" customHeight="1">
      <c r="A290" s="89"/>
      <c r="B290" s="182"/>
      <c r="C290" s="149"/>
      <c r="D290" s="95"/>
      <c r="E290" s="149"/>
      <c r="F290" s="149"/>
      <c r="G290" s="95"/>
      <c r="H290" s="149"/>
      <c r="I290" s="95"/>
      <c r="J290" s="95"/>
      <c r="K290" s="154"/>
      <c r="L290" s="154"/>
      <c r="M290" s="100"/>
      <c r="N290" s="127"/>
      <c r="O290" s="128"/>
      <c r="P290" s="95"/>
      <c r="Q290" s="137"/>
      <c r="R290" s="129"/>
      <c r="S290" s="95"/>
      <c r="T290" s="95"/>
      <c r="V290" s="107"/>
    </row>
    <row r="291" ht="15.75" customHeight="1">
      <c r="A291" s="89"/>
      <c r="B291" s="182"/>
      <c r="C291" s="149"/>
      <c r="D291" s="95"/>
      <c r="E291" s="149"/>
      <c r="F291" s="149"/>
      <c r="G291" s="95"/>
      <c r="H291" s="149"/>
      <c r="I291" s="95"/>
      <c r="J291" s="95"/>
      <c r="K291" s="156"/>
      <c r="L291" s="156"/>
      <c r="M291" s="100"/>
      <c r="N291" s="127"/>
      <c r="O291" s="128"/>
      <c r="P291" s="95"/>
      <c r="Q291" s="137"/>
      <c r="R291" s="129"/>
      <c r="S291" s="95"/>
      <c r="T291" s="95"/>
      <c r="V291" s="107"/>
    </row>
    <row r="292" ht="15.75" customHeight="1">
      <c r="A292" s="89"/>
      <c r="B292" s="182"/>
      <c r="C292" s="149"/>
      <c r="D292" s="95"/>
      <c r="E292" s="149"/>
      <c r="F292" s="149"/>
      <c r="G292" s="95"/>
      <c r="H292" s="149"/>
      <c r="I292" s="95"/>
      <c r="J292" s="95"/>
      <c r="K292" s="154"/>
      <c r="L292" s="154"/>
      <c r="M292" s="100"/>
      <c r="N292" s="127"/>
      <c r="O292" s="128"/>
      <c r="P292" s="95"/>
      <c r="Q292" s="137"/>
      <c r="R292" s="129"/>
      <c r="S292" s="95"/>
      <c r="T292" s="95"/>
      <c r="V292" s="107"/>
    </row>
    <row r="293" ht="15.75" customHeight="1">
      <c r="A293" s="89"/>
      <c r="B293" s="182"/>
      <c r="C293" s="149"/>
      <c r="D293" s="95"/>
      <c r="E293" s="149"/>
      <c r="F293" s="149"/>
      <c r="G293" s="95"/>
      <c r="H293" s="149"/>
      <c r="I293" s="95"/>
      <c r="J293" s="95"/>
      <c r="K293" s="156"/>
      <c r="L293" s="156"/>
      <c r="M293" s="100"/>
      <c r="N293" s="127"/>
      <c r="O293" s="128"/>
      <c r="P293" s="95"/>
      <c r="Q293" s="137"/>
      <c r="R293" s="129"/>
      <c r="S293" s="95"/>
      <c r="T293" s="95"/>
      <c r="V293" s="107"/>
    </row>
    <row r="294" ht="15.75" customHeight="1">
      <c r="A294" s="89"/>
      <c r="B294" s="182"/>
      <c r="C294" s="149"/>
      <c r="D294" s="95"/>
      <c r="E294" s="149"/>
      <c r="F294" s="149"/>
      <c r="G294" s="95"/>
      <c r="H294" s="149"/>
      <c r="I294" s="95"/>
      <c r="J294" s="95"/>
      <c r="K294" s="154"/>
      <c r="L294" s="154"/>
      <c r="M294" s="100"/>
      <c r="N294" s="127"/>
      <c r="O294" s="128"/>
      <c r="P294" s="95"/>
      <c r="Q294" s="137"/>
      <c r="R294" s="129"/>
      <c r="S294" s="95"/>
      <c r="T294" s="95"/>
      <c r="V294" s="107"/>
    </row>
    <row r="295" ht="15.75" customHeight="1">
      <c r="A295" s="89"/>
      <c r="B295" s="182"/>
      <c r="C295" s="107"/>
      <c r="D295" s="95"/>
      <c r="E295" s="149"/>
      <c r="F295" s="149"/>
      <c r="G295" s="95"/>
      <c r="H295" s="149"/>
      <c r="I295" s="95"/>
      <c r="J295" s="95"/>
      <c r="K295" s="156"/>
      <c r="L295" s="156"/>
      <c r="M295" s="100"/>
      <c r="N295" s="127"/>
      <c r="O295" s="128"/>
      <c r="P295" s="95"/>
      <c r="Q295" s="137"/>
      <c r="R295" s="129"/>
      <c r="S295" s="95"/>
      <c r="T295" s="95"/>
      <c r="V295" s="107"/>
    </row>
    <row r="296" ht="15.75" customHeight="1">
      <c r="A296" s="89"/>
      <c r="B296" s="182"/>
      <c r="C296" s="149"/>
      <c r="D296" s="95"/>
      <c r="E296" s="149"/>
      <c r="F296" s="149"/>
      <c r="G296" s="95"/>
      <c r="H296" s="149"/>
      <c r="I296" s="95"/>
      <c r="J296" s="95"/>
      <c r="K296" s="154"/>
      <c r="L296" s="154"/>
      <c r="M296" s="100"/>
      <c r="N296" s="127"/>
      <c r="O296" s="128"/>
      <c r="P296" s="95"/>
      <c r="Q296" s="137"/>
      <c r="R296" s="129"/>
      <c r="S296" s="95"/>
      <c r="T296" s="95"/>
      <c r="V296" s="107"/>
    </row>
    <row r="297" ht="15.75" customHeight="1">
      <c r="A297" s="89"/>
      <c r="B297" s="182"/>
      <c r="C297" s="149"/>
      <c r="D297" s="95"/>
      <c r="E297" s="149"/>
      <c r="F297" s="149"/>
      <c r="G297" s="95"/>
      <c r="H297" s="149"/>
      <c r="I297" s="95"/>
      <c r="J297" s="95"/>
      <c r="K297" s="156"/>
      <c r="L297" s="156"/>
      <c r="M297" s="100"/>
      <c r="N297" s="127"/>
      <c r="O297" s="128"/>
      <c r="P297" s="95"/>
      <c r="Q297" s="137"/>
      <c r="R297" s="129"/>
      <c r="S297" s="95"/>
      <c r="T297" s="95"/>
      <c r="V297" s="107"/>
    </row>
    <row r="298" ht="15.75" customHeight="1">
      <c r="A298" s="89"/>
      <c r="B298" s="182"/>
      <c r="C298" s="149"/>
      <c r="D298" s="95"/>
      <c r="E298" s="149"/>
      <c r="F298" s="149"/>
      <c r="G298" s="95"/>
      <c r="H298" s="149"/>
      <c r="I298" s="95"/>
      <c r="J298" s="95"/>
      <c r="K298" s="154"/>
      <c r="L298" s="154"/>
      <c r="M298" s="100"/>
      <c r="N298" s="127"/>
      <c r="O298" s="128"/>
      <c r="P298" s="95"/>
      <c r="Q298" s="137"/>
      <c r="R298" s="129"/>
      <c r="S298" s="95"/>
      <c r="T298" s="95"/>
      <c r="V298" s="107"/>
    </row>
    <row r="299" ht="15.75" customHeight="1">
      <c r="A299" s="89"/>
      <c r="B299" s="182"/>
      <c r="C299" s="149"/>
      <c r="D299" s="95"/>
      <c r="E299" s="149"/>
      <c r="F299" s="149"/>
      <c r="G299" s="95"/>
      <c r="H299" s="149"/>
      <c r="I299" s="95"/>
      <c r="J299" s="95"/>
      <c r="K299" s="156"/>
      <c r="L299" s="156"/>
      <c r="M299" s="100"/>
      <c r="N299" s="127"/>
      <c r="O299" s="128"/>
      <c r="P299" s="95"/>
      <c r="Q299" s="137"/>
      <c r="R299" s="129"/>
      <c r="S299" s="95"/>
      <c r="T299" s="95"/>
      <c r="V299" s="107"/>
    </row>
    <row r="300" ht="15.75" customHeight="1">
      <c r="A300" s="89"/>
      <c r="B300" s="182"/>
      <c r="C300" s="149"/>
      <c r="D300" s="95"/>
      <c r="E300" s="149"/>
      <c r="F300" s="149"/>
      <c r="G300" s="95"/>
      <c r="H300" s="149"/>
      <c r="I300" s="95"/>
      <c r="J300" s="95"/>
      <c r="K300" s="154"/>
      <c r="L300" s="154"/>
      <c r="M300" s="100"/>
      <c r="N300" s="127"/>
      <c r="O300" s="128"/>
      <c r="P300" s="95"/>
      <c r="Q300" s="137"/>
      <c r="R300" s="129"/>
      <c r="S300" s="95"/>
      <c r="T300" s="95"/>
      <c r="V300" s="107"/>
    </row>
    <row r="301" ht="15.75" customHeight="1">
      <c r="A301" s="89"/>
      <c r="B301" s="182"/>
      <c r="C301" s="107"/>
      <c r="D301" s="95"/>
      <c r="E301" s="149"/>
      <c r="F301" s="149"/>
      <c r="G301" s="95"/>
      <c r="H301" s="149"/>
      <c r="I301" s="95"/>
      <c r="J301" s="95"/>
      <c r="K301" s="156"/>
      <c r="L301" s="156"/>
      <c r="M301" s="100"/>
      <c r="N301" s="127"/>
      <c r="O301" s="128"/>
      <c r="P301" s="95"/>
      <c r="Q301" s="137"/>
      <c r="R301" s="129"/>
      <c r="S301" s="95"/>
      <c r="T301" s="95"/>
      <c r="V301" s="107"/>
    </row>
    <row r="302" ht="15.75" customHeight="1">
      <c r="A302" s="89"/>
      <c r="B302" s="182"/>
      <c r="C302" s="149"/>
      <c r="D302" s="95"/>
      <c r="E302" s="149"/>
      <c r="F302" s="149"/>
      <c r="G302" s="95"/>
      <c r="H302" s="149"/>
      <c r="I302" s="95"/>
      <c r="J302" s="95"/>
      <c r="K302" s="154"/>
      <c r="L302" s="154"/>
      <c r="M302" s="100"/>
      <c r="N302" s="127"/>
      <c r="O302" s="128"/>
      <c r="P302" s="95"/>
      <c r="Q302" s="137"/>
      <c r="R302" s="129"/>
      <c r="S302" s="95"/>
      <c r="T302" s="95"/>
      <c r="V302" s="107"/>
    </row>
    <row r="303" ht="15.75" customHeight="1">
      <c r="A303" s="89"/>
      <c r="B303" s="182"/>
      <c r="C303" s="149"/>
      <c r="D303" s="95"/>
      <c r="E303" s="149"/>
      <c r="F303" s="149"/>
      <c r="G303" s="95"/>
      <c r="H303" s="149"/>
      <c r="I303" s="95"/>
      <c r="J303" s="95"/>
      <c r="K303" s="156"/>
      <c r="L303" s="156"/>
      <c r="M303" s="100"/>
      <c r="N303" s="127"/>
      <c r="O303" s="128"/>
      <c r="P303" s="95"/>
      <c r="Q303" s="137"/>
      <c r="R303" s="129"/>
      <c r="S303" s="95"/>
      <c r="T303" s="95"/>
      <c r="V303" s="107"/>
    </row>
    <row r="304" ht="15.75" customHeight="1">
      <c r="A304" s="89"/>
      <c r="B304" s="182"/>
      <c r="C304" s="149"/>
      <c r="D304" s="95"/>
      <c r="E304" s="149"/>
      <c r="F304" s="149"/>
      <c r="G304" s="95"/>
      <c r="H304" s="149"/>
      <c r="I304" s="95"/>
      <c r="J304" s="95"/>
      <c r="K304" s="154"/>
      <c r="L304" s="154"/>
      <c r="M304" s="100"/>
      <c r="N304" s="127"/>
      <c r="O304" s="128"/>
      <c r="P304" s="95"/>
      <c r="Q304" s="137"/>
      <c r="R304" s="129"/>
      <c r="S304" s="95"/>
      <c r="T304" s="95"/>
      <c r="V304" s="107"/>
    </row>
    <row r="305" ht="15.75" customHeight="1">
      <c r="A305" s="89"/>
      <c r="B305" s="182"/>
      <c r="C305" s="149"/>
      <c r="D305" s="95"/>
      <c r="E305" s="149"/>
      <c r="F305" s="149"/>
      <c r="G305" s="95"/>
      <c r="H305" s="149"/>
      <c r="I305" s="95"/>
      <c r="J305" s="95"/>
      <c r="K305" s="156"/>
      <c r="L305" s="156"/>
      <c r="M305" s="100"/>
      <c r="N305" s="127"/>
      <c r="O305" s="128"/>
      <c r="P305" s="95"/>
      <c r="Q305" s="137"/>
      <c r="R305" s="129"/>
      <c r="S305" s="95"/>
      <c r="T305" s="95"/>
      <c r="V305" s="107"/>
    </row>
    <row r="306" ht="15.75" customHeight="1">
      <c r="A306" s="89"/>
      <c r="B306" s="182"/>
      <c r="C306" s="149"/>
      <c r="D306" s="95"/>
      <c r="E306" s="149"/>
      <c r="F306" s="149"/>
      <c r="G306" s="95"/>
      <c r="H306" s="149"/>
      <c r="I306" s="95"/>
      <c r="J306" s="95"/>
      <c r="K306" s="154"/>
      <c r="L306" s="154"/>
      <c r="M306" s="100"/>
      <c r="N306" s="127"/>
      <c r="O306" s="128"/>
      <c r="P306" s="95"/>
      <c r="Q306" s="137"/>
      <c r="R306" s="129"/>
      <c r="S306" s="95"/>
      <c r="T306" s="95"/>
      <c r="V306" s="107"/>
    </row>
    <row r="307" ht="15.75" customHeight="1">
      <c r="A307" s="89"/>
      <c r="B307" s="182"/>
      <c r="C307" s="107"/>
      <c r="D307" s="95"/>
      <c r="E307" s="149"/>
      <c r="F307" s="149"/>
      <c r="G307" s="95"/>
      <c r="H307" s="149"/>
      <c r="I307" s="95"/>
      <c r="J307" s="95"/>
      <c r="K307" s="156"/>
      <c r="L307" s="156"/>
      <c r="M307" s="100"/>
      <c r="N307" s="127"/>
      <c r="O307" s="128"/>
      <c r="P307" s="95"/>
      <c r="Q307" s="137"/>
      <c r="R307" s="129"/>
      <c r="S307" s="95"/>
      <c r="T307" s="95"/>
      <c r="V307" s="107"/>
    </row>
    <row r="308" ht="15.75" customHeight="1">
      <c r="A308" s="89"/>
      <c r="B308" s="182"/>
      <c r="C308" s="149"/>
      <c r="D308" s="95"/>
      <c r="E308" s="149"/>
      <c r="F308" s="149"/>
      <c r="G308" s="95"/>
      <c r="H308" s="149"/>
      <c r="I308" s="95"/>
      <c r="J308" s="95"/>
      <c r="K308" s="154"/>
      <c r="L308" s="154"/>
      <c r="M308" s="100"/>
      <c r="N308" s="127"/>
      <c r="O308" s="128"/>
      <c r="P308" s="95"/>
      <c r="Q308" s="137"/>
      <c r="R308" s="129"/>
      <c r="S308" s="95"/>
      <c r="T308" s="95"/>
      <c r="V308" s="107"/>
    </row>
    <row r="309" ht="15.75" customHeight="1">
      <c r="A309" s="89"/>
      <c r="B309" s="182"/>
      <c r="C309" s="149"/>
      <c r="D309" s="95"/>
      <c r="E309" s="149"/>
      <c r="F309" s="149"/>
      <c r="G309" s="95"/>
      <c r="H309" s="149"/>
      <c r="I309" s="95"/>
      <c r="J309" s="95"/>
      <c r="K309" s="156"/>
      <c r="L309" s="156"/>
      <c r="M309" s="100"/>
      <c r="N309" s="127"/>
      <c r="O309" s="128"/>
      <c r="P309" s="95"/>
      <c r="Q309" s="137"/>
      <c r="R309" s="129"/>
      <c r="S309" s="95"/>
      <c r="T309" s="95"/>
      <c r="V309" s="107"/>
    </row>
    <row r="310" ht="15.75" customHeight="1">
      <c r="A310" s="89"/>
      <c r="B310" s="182"/>
      <c r="C310" s="149"/>
      <c r="D310" s="95"/>
      <c r="E310" s="149"/>
      <c r="F310" s="149"/>
      <c r="G310" s="95"/>
      <c r="H310" s="149"/>
      <c r="I310" s="95"/>
      <c r="J310" s="95"/>
      <c r="K310" s="154"/>
      <c r="L310" s="154"/>
      <c r="M310" s="100"/>
      <c r="N310" s="127"/>
      <c r="O310" s="128"/>
      <c r="P310" s="95"/>
      <c r="Q310" s="137"/>
      <c r="R310" s="129"/>
      <c r="S310" s="95"/>
      <c r="T310" s="95"/>
      <c r="V310" s="107"/>
    </row>
    <row r="311" ht="15.75" customHeight="1">
      <c r="A311" s="89"/>
      <c r="B311" s="182"/>
      <c r="C311" s="149"/>
      <c r="D311" s="95"/>
      <c r="E311" s="149"/>
      <c r="F311" s="149"/>
      <c r="G311" s="95"/>
      <c r="H311" s="149"/>
      <c r="I311" s="95"/>
      <c r="J311" s="95"/>
      <c r="K311" s="156"/>
      <c r="L311" s="156"/>
      <c r="M311" s="100"/>
      <c r="N311" s="127"/>
      <c r="O311" s="128"/>
      <c r="P311" s="95"/>
      <c r="Q311" s="137"/>
      <c r="R311" s="129"/>
      <c r="S311" s="95"/>
      <c r="T311" s="95"/>
      <c r="V311" s="107"/>
    </row>
    <row r="312" ht="15.75" customHeight="1">
      <c r="A312" s="89"/>
      <c r="B312" s="182"/>
      <c r="C312" s="149"/>
      <c r="D312" s="95"/>
      <c r="E312" s="149"/>
      <c r="F312" s="149"/>
      <c r="G312" s="95"/>
      <c r="H312" s="149"/>
      <c r="I312" s="95"/>
      <c r="J312" s="95"/>
      <c r="K312" s="154"/>
      <c r="L312" s="154"/>
      <c r="M312" s="100"/>
      <c r="N312" s="127"/>
      <c r="O312" s="128"/>
      <c r="P312" s="95"/>
      <c r="Q312" s="137"/>
      <c r="R312" s="129"/>
      <c r="S312" s="95"/>
      <c r="T312" s="95"/>
      <c r="V312" s="107"/>
    </row>
    <row r="313" ht="15.75" customHeight="1">
      <c r="A313" s="89"/>
      <c r="B313" s="182"/>
      <c r="C313" s="107"/>
      <c r="D313" s="95"/>
      <c r="E313" s="149"/>
      <c r="F313" s="149"/>
      <c r="G313" s="95"/>
      <c r="H313" s="149"/>
      <c r="I313" s="95"/>
      <c r="J313" s="95"/>
      <c r="K313" s="156"/>
      <c r="L313" s="156"/>
      <c r="M313" s="100"/>
      <c r="N313" s="127"/>
      <c r="O313" s="128"/>
      <c r="P313" s="95"/>
      <c r="Q313" s="137"/>
      <c r="R313" s="129"/>
      <c r="S313" s="95"/>
      <c r="T313" s="95"/>
      <c r="V313" s="107"/>
    </row>
    <row r="314" ht="15.75" customHeight="1">
      <c r="A314" s="89"/>
      <c r="B314" s="182"/>
      <c r="C314" s="149"/>
      <c r="D314" s="95"/>
      <c r="E314" s="149"/>
      <c r="F314" s="149"/>
      <c r="G314" s="95"/>
      <c r="H314" s="149"/>
      <c r="I314" s="95"/>
      <c r="J314" s="95"/>
      <c r="K314" s="154"/>
      <c r="L314" s="154"/>
      <c r="M314" s="100"/>
      <c r="N314" s="127"/>
      <c r="O314" s="128"/>
      <c r="P314" s="95"/>
      <c r="Q314" s="137"/>
      <c r="R314" s="129"/>
      <c r="S314" s="95"/>
      <c r="T314" s="95"/>
      <c r="V314" s="107"/>
    </row>
    <row r="315" ht="15.75" customHeight="1">
      <c r="A315" s="89"/>
      <c r="B315" s="182"/>
      <c r="C315" s="149"/>
      <c r="D315" s="95"/>
      <c r="E315" s="149"/>
      <c r="F315" s="149"/>
      <c r="G315" s="95"/>
      <c r="H315" s="149"/>
      <c r="I315" s="95"/>
      <c r="J315" s="95"/>
      <c r="K315" s="156"/>
      <c r="L315" s="156"/>
      <c r="M315" s="100"/>
      <c r="N315" s="127"/>
      <c r="O315" s="128"/>
      <c r="P315" s="95"/>
      <c r="Q315" s="137"/>
      <c r="R315" s="129"/>
      <c r="S315" s="95"/>
      <c r="T315" s="95"/>
      <c r="V315" s="107"/>
    </row>
    <row r="316" ht="15.75" customHeight="1">
      <c r="A316" s="89"/>
      <c r="B316" s="182"/>
      <c r="C316" s="149"/>
      <c r="D316" s="95"/>
      <c r="E316" s="149"/>
      <c r="F316" s="149"/>
      <c r="G316" s="95"/>
      <c r="H316" s="149"/>
      <c r="I316" s="95"/>
      <c r="J316" s="95"/>
      <c r="K316" s="154"/>
      <c r="L316" s="154"/>
      <c r="M316" s="100"/>
      <c r="N316" s="127"/>
      <c r="O316" s="128"/>
      <c r="P316" s="95"/>
      <c r="Q316" s="137"/>
      <c r="R316" s="129"/>
      <c r="S316" s="95"/>
      <c r="T316" s="95"/>
      <c r="V316" s="107"/>
    </row>
    <row r="317" ht="15.75" customHeight="1">
      <c r="A317" s="89"/>
      <c r="B317" s="182"/>
      <c r="C317" s="149"/>
      <c r="D317" s="95"/>
      <c r="E317" s="149"/>
      <c r="F317" s="149"/>
      <c r="G317" s="95"/>
      <c r="H317" s="149"/>
      <c r="I317" s="95"/>
      <c r="J317" s="95"/>
      <c r="K317" s="156"/>
      <c r="L317" s="156"/>
      <c r="M317" s="100"/>
      <c r="N317" s="127"/>
      <c r="O317" s="128"/>
      <c r="P317" s="95"/>
      <c r="Q317" s="137"/>
      <c r="R317" s="129"/>
      <c r="S317" s="95"/>
      <c r="T317" s="95"/>
      <c r="V317" s="107"/>
    </row>
    <row r="318" ht="15.75" customHeight="1">
      <c r="A318" s="89"/>
      <c r="B318" s="182"/>
      <c r="C318" s="149"/>
      <c r="D318" s="95"/>
      <c r="E318" s="149"/>
      <c r="F318" s="149"/>
      <c r="G318" s="95"/>
      <c r="H318" s="149"/>
      <c r="I318" s="95"/>
      <c r="J318" s="95"/>
      <c r="K318" s="154"/>
      <c r="L318" s="154"/>
      <c r="M318" s="100"/>
      <c r="N318" s="127"/>
      <c r="O318" s="128"/>
      <c r="P318" s="95"/>
      <c r="Q318" s="137"/>
      <c r="R318" s="129"/>
      <c r="S318" s="95"/>
      <c r="T318" s="95"/>
      <c r="V318" s="107"/>
    </row>
    <row r="319" ht="15.75" customHeight="1">
      <c r="A319" s="89"/>
      <c r="B319" s="182"/>
      <c r="C319" s="107"/>
      <c r="D319" s="95"/>
      <c r="E319" s="149"/>
      <c r="F319" s="149"/>
      <c r="G319" s="95"/>
      <c r="H319" s="149"/>
      <c r="I319" s="95"/>
      <c r="J319" s="95"/>
      <c r="K319" s="156"/>
      <c r="L319" s="156"/>
      <c r="M319" s="100"/>
      <c r="N319" s="127"/>
      <c r="O319" s="128"/>
      <c r="P319" s="95"/>
      <c r="Q319" s="137"/>
      <c r="R319" s="129"/>
      <c r="S319" s="95"/>
      <c r="T319" s="95"/>
      <c r="V319" s="107"/>
    </row>
    <row r="320" ht="15.75" customHeight="1">
      <c r="A320" s="89"/>
      <c r="B320" s="182"/>
      <c r="C320" s="149"/>
      <c r="D320" s="95"/>
      <c r="E320" s="149"/>
      <c r="F320" s="149"/>
      <c r="G320" s="95"/>
      <c r="H320" s="149"/>
      <c r="I320" s="95"/>
      <c r="J320" s="95"/>
      <c r="K320" s="154"/>
      <c r="L320" s="154"/>
      <c r="M320" s="100"/>
      <c r="N320" s="127"/>
      <c r="O320" s="128"/>
      <c r="P320" s="95"/>
      <c r="Q320" s="137"/>
      <c r="R320" s="129"/>
      <c r="S320" s="95"/>
      <c r="T320" s="95"/>
      <c r="V320" s="107"/>
    </row>
    <row r="321" ht="15.75" customHeight="1">
      <c r="A321" s="89"/>
      <c r="B321" s="182"/>
      <c r="C321" s="149"/>
      <c r="D321" s="95"/>
      <c r="E321" s="149"/>
      <c r="F321" s="149"/>
      <c r="G321" s="95"/>
      <c r="H321" s="149"/>
      <c r="I321" s="95"/>
      <c r="J321" s="95"/>
      <c r="K321" s="156"/>
      <c r="L321" s="156"/>
      <c r="M321" s="100"/>
      <c r="N321" s="127"/>
      <c r="O321" s="128"/>
      <c r="P321" s="95"/>
      <c r="Q321" s="137"/>
      <c r="R321" s="129"/>
      <c r="S321" s="95"/>
      <c r="T321" s="95"/>
      <c r="V321" s="107"/>
    </row>
    <row r="322" ht="15.75" customHeight="1">
      <c r="A322" s="89"/>
      <c r="B322" s="182"/>
      <c r="C322" s="149"/>
      <c r="D322" s="95"/>
      <c r="E322" s="149"/>
      <c r="F322" s="149"/>
      <c r="G322" s="95"/>
      <c r="H322" s="149"/>
      <c r="I322" s="95"/>
      <c r="J322" s="95"/>
      <c r="K322" s="154"/>
      <c r="L322" s="154"/>
      <c r="M322" s="100"/>
      <c r="N322" s="127"/>
      <c r="O322" s="128"/>
      <c r="P322" s="95"/>
      <c r="Q322" s="137"/>
      <c r="R322" s="129"/>
      <c r="S322" s="95"/>
      <c r="T322" s="95"/>
      <c r="V322" s="107"/>
    </row>
    <row r="323" ht="15.75" customHeight="1">
      <c r="A323" s="89"/>
      <c r="B323" s="182"/>
      <c r="C323" s="149"/>
      <c r="D323" s="95"/>
      <c r="E323" s="149"/>
      <c r="F323" s="149"/>
      <c r="G323" s="95"/>
      <c r="H323" s="149"/>
      <c r="I323" s="95"/>
      <c r="J323" s="95"/>
      <c r="K323" s="156"/>
      <c r="L323" s="156"/>
      <c r="M323" s="100"/>
      <c r="N323" s="127"/>
      <c r="O323" s="128"/>
      <c r="P323" s="95"/>
      <c r="Q323" s="137"/>
      <c r="R323" s="129"/>
      <c r="S323" s="95"/>
      <c r="T323" s="95"/>
      <c r="V323" s="107"/>
    </row>
    <row r="324" ht="15.75" customHeight="1">
      <c r="A324" s="89"/>
      <c r="B324" s="182"/>
      <c r="C324" s="149"/>
      <c r="D324" s="95"/>
      <c r="E324" s="149"/>
      <c r="F324" s="149"/>
      <c r="G324" s="95"/>
      <c r="H324" s="149"/>
      <c r="I324" s="95"/>
      <c r="J324" s="95"/>
      <c r="K324" s="154"/>
      <c r="L324" s="154"/>
      <c r="M324" s="100"/>
      <c r="N324" s="127"/>
      <c r="O324" s="128"/>
      <c r="P324" s="95"/>
      <c r="Q324" s="137"/>
      <c r="R324" s="129"/>
      <c r="S324" s="95"/>
      <c r="T324" s="95"/>
      <c r="V324" s="107"/>
    </row>
    <row r="325" ht="15.75" customHeight="1">
      <c r="A325" s="89"/>
      <c r="B325" s="182"/>
      <c r="C325" s="107"/>
      <c r="D325" s="95"/>
      <c r="E325" s="149"/>
      <c r="F325" s="149"/>
      <c r="G325" s="95"/>
      <c r="H325" s="149"/>
      <c r="I325" s="95"/>
      <c r="J325" s="95"/>
      <c r="K325" s="156"/>
      <c r="L325" s="156"/>
      <c r="M325" s="100"/>
      <c r="N325" s="127"/>
      <c r="O325" s="128"/>
      <c r="P325" s="95"/>
      <c r="Q325" s="137"/>
      <c r="R325" s="129"/>
      <c r="S325" s="95"/>
      <c r="T325" s="95"/>
      <c r="V325" s="107"/>
    </row>
    <row r="326" ht="15.75" customHeight="1">
      <c r="A326" s="89"/>
      <c r="B326" s="182"/>
      <c r="C326" s="149"/>
      <c r="D326" s="95"/>
      <c r="E326" s="149"/>
      <c r="F326" s="149"/>
      <c r="G326" s="95"/>
      <c r="H326" s="149"/>
      <c r="I326" s="95"/>
      <c r="J326" s="95"/>
      <c r="K326" s="154"/>
      <c r="L326" s="154"/>
      <c r="M326" s="100"/>
      <c r="N326" s="127"/>
      <c r="O326" s="128"/>
      <c r="P326" s="95"/>
      <c r="Q326" s="137"/>
      <c r="R326" s="129"/>
      <c r="S326" s="95"/>
      <c r="T326" s="95"/>
      <c r="V326" s="107"/>
    </row>
    <row r="327" ht="15.75" customHeight="1">
      <c r="A327" s="89"/>
      <c r="B327" s="182"/>
      <c r="C327" s="149"/>
      <c r="D327" s="95"/>
      <c r="E327" s="149"/>
      <c r="F327" s="149"/>
      <c r="G327" s="95"/>
      <c r="H327" s="149"/>
      <c r="I327" s="95"/>
      <c r="J327" s="95"/>
      <c r="K327" s="156"/>
      <c r="L327" s="156"/>
      <c r="M327" s="100"/>
      <c r="N327" s="127"/>
      <c r="O327" s="128"/>
      <c r="P327" s="95"/>
      <c r="Q327" s="137"/>
      <c r="R327" s="129"/>
      <c r="S327" s="95"/>
      <c r="T327" s="95"/>
      <c r="V327" s="107"/>
    </row>
    <row r="328" ht="15.75" customHeight="1">
      <c r="A328" s="89"/>
      <c r="B328" s="182"/>
      <c r="C328" s="149"/>
      <c r="D328" s="95"/>
      <c r="E328" s="149"/>
      <c r="F328" s="149"/>
      <c r="G328" s="95"/>
      <c r="H328" s="149"/>
      <c r="I328" s="95"/>
      <c r="J328" s="95"/>
      <c r="K328" s="158"/>
      <c r="L328" s="158"/>
      <c r="M328" s="100"/>
      <c r="N328" s="127"/>
      <c r="O328" s="128"/>
      <c r="P328" s="95"/>
      <c r="Q328" s="137"/>
      <c r="R328" s="129"/>
      <c r="S328" s="95"/>
      <c r="T328" s="95"/>
      <c r="V328" s="107"/>
    </row>
    <row r="329" ht="15.75" customHeight="1">
      <c r="A329" s="89"/>
      <c r="B329" s="182"/>
      <c r="C329" s="149"/>
      <c r="D329" s="95"/>
      <c r="E329" s="149"/>
      <c r="F329" s="149"/>
      <c r="G329" s="95"/>
      <c r="H329" s="149"/>
      <c r="I329" s="95"/>
      <c r="J329" s="95"/>
      <c r="K329" s="158"/>
      <c r="L329" s="158"/>
      <c r="M329" s="100"/>
      <c r="N329" s="127"/>
      <c r="O329" s="128"/>
      <c r="P329" s="95"/>
      <c r="Q329" s="137"/>
      <c r="R329" s="129"/>
      <c r="S329" s="95"/>
      <c r="T329" s="95"/>
      <c r="V329" s="107"/>
    </row>
    <row r="330" ht="15.75" customHeight="1">
      <c r="A330" s="89"/>
      <c r="B330" s="182"/>
      <c r="C330" s="149"/>
      <c r="D330" s="95"/>
      <c r="E330" s="149"/>
      <c r="F330" s="149"/>
      <c r="G330" s="95"/>
      <c r="H330" s="149"/>
      <c r="I330" s="95"/>
      <c r="J330" s="95"/>
      <c r="K330" s="158"/>
      <c r="L330" s="158"/>
      <c r="M330" s="100"/>
      <c r="N330" s="127"/>
      <c r="O330" s="128"/>
      <c r="P330" s="95"/>
      <c r="Q330" s="137"/>
      <c r="R330" s="129"/>
      <c r="S330" s="95"/>
      <c r="T330" s="95"/>
      <c r="V330" s="107"/>
    </row>
    <row r="331" ht="15.75" customHeight="1">
      <c r="A331" s="89"/>
      <c r="B331" s="182"/>
      <c r="C331" s="107"/>
      <c r="D331" s="95"/>
      <c r="E331" s="149"/>
      <c r="F331" s="149"/>
      <c r="G331" s="95"/>
      <c r="H331" s="149"/>
      <c r="I331" s="95"/>
      <c r="J331" s="95"/>
      <c r="K331" s="158"/>
      <c r="L331" s="158"/>
      <c r="M331" s="100"/>
      <c r="N331" s="127"/>
      <c r="O331" s="128"/>
      <c r="P331" s="95"/>
      <c r="Q331" s="137"/>
      <c r="R331" s="129"/>
      <c r="S331" s="95"/>
      <c r="T331" s="95"/>
      <c r="V331" s="107"/>
    </row>
    <row r="332" ht="15.75" customHeight="1">
      <c r="A332" s="89"/>
      <c r="B332" s="182"/>
      <c r="C332" s="149"/>
      <c r="D332" s="95"/>
      <c r="E332" s="149"/>
      <c r="F332" s="149"/>
      <c r="G332" s="95"/>
      <c r="H332" s="149"/>
      <c r="I332" s="95"/>
      <c r="J332" s="95"/>
      <c r="K332" s="158"/>
      <c r="L332" s="158"/>
      <c r="M332" s="100"/>
      <c r="N332" s="127"/>
      <c r="O332" s="128"/>
      <c r="P332" s="95"/>
      <c r="Q332" s="137"/>
      <c r="R332" s="129"/>
      <c r="S332" s="95"/>
      <c r="T332" s="95"/>
      <c r="V332" s="107"/>
    </row>
    <row r="333" ht="15.75" customHeight="1">
      <c r="A333" s="89"/>
      <c r="B333" s="182"/>
      <c r="C333" s="149"/>
      <c r="D333" s="95"/>
      <c r="E333" s="149"/>
      <c r="F333" s="149"/>
      <c r="G333" s="95"/>
      <c r="H333" s="149"/>
      <c r="I333" s="95"/>
      <c r="J333" s="95"/>
      <c r="K333" s="158"/>
      <c r="L333" s="158"/>
      <c r="M333" s="100"/>
      <c r="N333" s="127"/>
      <c r="O333" s="128"/>
      <c r="P333" s="95"/>
      <c r="Q333" s="137"/>
      <c r="R333" s="129"/>
      <c r="S333" s="95"/>
      <c r="T333" s="95"/>
      <c r="V333" s="107"/>
    </row>
    <row r="334" ht="15.75" customHeight="1">
      <c r="A334" s="89"/>
      <c r="B334" s="182"/>
      <c r="C334" s="149"/>
      <c r="D334" s="95"/>
      <c r="E334" s="149"/>
      <c r="F334" s="149"/>
      <c r="G334" s="95"/>
      <c r="H334" s="149"/>
      <c r="I334" s="95"/>
      <c r="J334" s="95"/>
      <c r="K334" s="158"/>
      <c r="L334" s="158"/>
      <c r="M334" s="100"/>
      <c r="N334" s="127"/>
      <c r="O334" s="128"/>
      <c r="P334" s="95"/>
      <c r="Q334" s="137"/>
      <c r="R334" s="129"/>
      <c r="S334" s="95"/>
      <c r="T334" s="95"/>
      <c r="V334" s="107"/>
    </row>
    <row r="335" ht="15.75" customHeight="1">
      <c r="A335" s="89"/>
      <c r="B335" s="182"/>
      <c r="C335" s="149"/>
      <c r="D335" s="95"/>
      <c r="E335" s="149"/>
      <c r="F335" s="149"/>
      <c r="G335" s="95"/>
      <c r="H335" s="149"/>
      <c r="I335" s="95"/>
      <c r="J335" s="95"/>
      <c r="K335" s="158"/>
      <c r="L335" s="158"/>
      <c r="M335" s="100"/>
      <c r="N335" s="127"/>
      <c r="O335" s="128"/>
      <c r="P335" s="95"/>
      <c r="Q335" s="137"/>
      <c r="R335" s="129"/>
      <c r="S335" s="95"/>
      <c r="T335" s="95"/>
      <c r="V335" s="107"/>
    </row>
    <row r="336" ht="15.75" customHeight="1">
      <c r="A336" s="89"/>
      <c r="B336" s="182"/>
      <c r="C336" s="149"/>
      <c r="D336" s="95"/>
      <c r="E336" s="149"/>
      <c r="F336" s="149"/>
      <c r="G336" s="95"/>
      <c r="H336" s="149"/>
      <c r="I336" s="95"/>
      <c r="J336" s="95"/>
      <c r="K336" s="158"/>
      <c r="L336" s="158"/>
      <c r="M336" s="100"/>
      <c r="N336" s="127"/>
      <c r="O336" s="128"/>
      <c r="P336" s="95"/>
      <c r="Q336" s="137"/>
      <c r="R336" s="129"/>
      <c r="S336" s="95"/>
      <c r="T336" s="95"/>
      <c r="V336" s="107"/>
    </row>
    <row r="337" ht="15.75" customHeight="1">
      <c r="A337" s="89"/>
      <c r="B337" s="182"/>
      <c r="C337" s="107"/>
      <c r="D337" s="95"/>
      <c r="E337" s="149"/>
      <c r="F337" s="149"/>
      <c r="G337" s="95"/>
      <c r="H337" s="149"/>
      <c r="I337" s="95"/>
      <c r="J337" s="95"/>
      <c r="K337" s="158"/>
      <c r="L337" s="158"/>
      <c r="M337" s="100"/>
      <c r="N337" s="127"/>
      <c r="O337" s="128"/>
      <c r="P337" s="95"/>
      <c r="Q337" s="137"/>
      <c r="R337" s="129"/>
      <c r="S337" s="95"/>
      <c r="T337" s="95"/>
      <c r="V337" s="107"/>
    </row>
    <row r="338" ht="15.75" customHeight="1">
      <c r="A338" s="89"/>
      <c r="B338" s="182"/>
      <c r="C338" s="149"/>
      <c r="D338" s="95"/>
      <c r="E338" s="149"/>
      <c r="F338" s="149"/>
      <c r="G338" s="95"/>
      <c r="H338" s="149"/>
      <c r="I338" s="95"/>
      <c r="J338" s="95"/>
      <c r="K338" s="158"/>
      <c r="L338" s="158"/>
      <c r="M338" s="100"/>
      <c r="N338" s="127"/>
      <c r="O338" s="128"/>
      <c r="P338" s="95"/>
      <c r="Q338" s="137"/>
      <c r="R338" s="129"/>
      <c r="S338" s="95"/>
      <c r="T338" s="95"/>
      <c r="V338" s="107"/>
    </row>
    <row r="339" ht="15.75" customHeight="1">
      <c r="A339" s="89"/>
      <c r="B339" s="182"/>
      <c r="C339" s="149"/>
      <c r="D339" s="95"/>
      <c r="E339" s="149"/>
      <c r="F339" s="149"/>
      <c r="G339" s="95"/>
      <c r="H339" s="149"/>
      <c r="I339" s="95"/>
      <c r="J339" s="95"/>
      <c r="K339" s="158"/>
      <c r="L339" s="158"/>
      <c r="M339" s="100"/>
      <c r="N339" s="127"/>
      <c r="O339" s="128"/>
      <c r="P339" s="95"/>
      <c r="Q339" s="137"/>
      <c r="R339" s="129"/>
      <c r="S339" s="95"/>
      <c r="T339" s="95"/>
      <c r="V339" s="107"/>
    </row>
    <row r="340" ht="15.75" customHeight="1">
      <c r="A340" s="89"/>
      <c r="B340" s="182"/>
      <c r="C340" s="149"/>
      <c r="D340" s="95"/>
      <c r="E340" s="149"/>
      <c r="F340" s="149"/>
      <c r="G340" s="95"/>
      <c r="H340" s="149"/>
      <c r="I340" s="95"/>
      <c r="J340" s="95"/>
      <c r="K340" s="158"/>
      <c r="L340" s="158"/>
      <c r="M340" s="100"/>
      <c r="N340" s="127"/>
      <c r="O340" s="128"/>
      <c r="P340" s="95"/>
      <c r="Q340" s="137"/>
      <c r="R340" s="129"/>
      <c r="S340" s="95"/>
      <c r="T340" s="95"/>
      <c r="V340" s="107"/>
    </row>
    <row r="341" ht="15.75" customHeight="1">
      <c r="A341" s="89"/>
      <c r="B341" s="182"/>
      <c r="C341" s="149"/>
      <c r="D341" s="95"/>
      <c r="E341" s="149"/>
      <c r="F341" s="149"/>
      <c r="G341" s="95"/>
      <c r="H341" s="149"/>
      <c r="I341" s="95"/>
      <c r="J341" s="95"/>
      <c r="K341" s="158"/>
      <c r="L341" s="158"/>
      <c r="M341" s="100"/>
      <c r="N341" s="127"/>
      <c r="O341" s="128"/>
      <c r="P341" s="95"/>
      <c r="Q341" s="137"/>
      <c r="R341" s="129"/>
      <c r="S341" s="95"/>
      <c r="T341" s="95"/>
      <c r="V341" s="107"/>
    </row>
    <row r="342" ht="15.75" customHeight="1">
      <c r="A342" s="89"/>
      <c r="B342" s="182"/>
      <c r="C342" s="149"/>
      <c r="D342" s="95"/>
      <c r="E342" s="149"/>
      <c r="F342" s="149"/>
      <c r="G342" s="95"/>
      <c r="H342" s="149"/>
      <c r="I342" s="95"/>
      <c r="J342" s="95"/>
      <c r="K342" s="158"/>
      <c r="L342" s="158"/>
      <c r="M342" s="100"/>
      <c r="N342" s="127"/>
      <c r="O342" s="128"/>
      <c r="P342" s="95"/>
      <c r="Q342" s="137"/>
      <c r="R342" s="129"/>
      <c r="S342" s="95"/>
      <c r="T342" s="95"/>
      <c r="V342" s="107"/>
    </row>
    <row r="343" ht="15.75" customHeight="1">
      <c r="A343" s="89"/>
      <c r="B343" s="182"/>
      <c r="C343" s="107"/>
      <c r="D343" s="95"/>
      <c r="E343" s="149"/>
      <c r="F343" s="149"/>
      <c r="G343" s="95"/>
      <c r="H343" s="149"/>
      <c r="I343" s="95"/>
      <c r="J343" s="95"/>
      <c r="K343" s="158"/>
      <c r="L343" s="158"/>
      <c r="M343" s="100"/>
      <c r="N343" s="127"/>
      <c r="O343" s="128"/>
      <c r="P343" s="95"/>
      <c r="Q343" s="137"/>
      <c r="R343" s="129"/>
      <c r="S343" s="95"/>
      <c r="T343" s="95"/>
      <c r="V343" s="107"/>
    </row>
    <row r="344" ht="15.75" customHeight="1">
      <c r="A344" s="89"/>
      <c r="B344" s="182"/>
      <c r="C344" s="149"/>
      <c r="D344" s="95"/>
      <c r="E344" s="149"/>
      <c r="F344" s="149"/>
      <c r="G344" s="95"/>
      <c r="H344" s="149"/>
      <c r="I344" s="95"/>
      <c r="J344" s="95"/>
      <c r="K344" s="158"/>
      <c r="L344" s="158"/>
      <c r="M344" s="100"/>
      <c r="N344" s="127"/>
      <c r="O344" s="128"/>
      <c r="P344" s="95"/>
      <c r="Q344" s="137"/>
      <c r="R344" s="129"/>
      <c r="S344" s="95"/>
      <c r="T344" s="95"/>
      <c r="V344" s="107"/>
    </row>
    <row r="345" ht="15.75" customHeight="1">
      <c r="A345" s="89"/>
      <c r="B345" s="182"/>
      <c r="C345" s="149"/>
      <c r="D345" s="95"/>
      <c r="E345" s="149"/>
      <c r="F345" s="149"/>
      <c r="G345" s="95"/>
      <c r="H345" s="149"/>
      <c r="I345" s="95"/>
      <c r="J345" s="95"/>
      <c r="K345" s="158"/>
      <c r="L345" s="158"/>
      <c r="M345" s="100"/>
      <c r="N345" s="127"/>
      <c r="O345" s="128"/>
      <c r="P345" s="95"/>
      <c r="Q345" s="137"/>
      <c r="R345" s="129"/>
      <c r="S345" s="95"/>
      <c r="T345" s="95"/>
      <c r="V345" s="107"/>
    </row>
    <row r="346" ht="15.75" customHeight="1">
      <c r="A346" s="89"/>
      <c r="B346" s="182"/>
      <c r="C346" s="149"/>
      <c r="D346" s="95"/>
      <c r="E346" s="149"/>
      <c r="F346" s="149"/>
      <c r="G346" s="95"/>
      <c r="H346" s="149"/>
      <c r="I346" s="95"/>
      <c r="J346" s="95"/>
      <c r="K346" s="158"/>
      <c r="L346" s="158"/>
      <c r="M346" s="100"/>
      <c r="N346" s="127"/>
      <c r="O346" s="128"/>
      <c r="P346" s="95"/>
      <c r="Q346" s="137"/>
      <c r="R346" s="129"/>
      <c r="S346" s="95"/>
      <c r="T346" s="95"/>
      <c r="V346" s="107"/>
    </row>
    <row r="347" ht="15.75" customHeight="1">
      <c r="A347" s="89"/>
      <c r="B347" s="182"/>
      <c r="C347" s="149"/>
      <c r="D347" s="95"/>
      <c r="E347" s="149"/>
      <c r="F347" s="149"/>
      <c r="G347" s="95"/>
      <c r="H347" s="149"/>
      <c r="I347" s="95"/>
      <c r="J347" s="95"/>
      <c r="K347" s="158"/>
      <c r="L347" s="158"/>
      <c r="M347" s="100"/>
      <c r="N347" s="127"/>
      <c r="O347" s="128"/>
      <c r="P347" s="95"/>
      <c r="Q347" s="137"/>
      <c r="R347" s="129"/>
      <c r="S347" s="95"/>
      <c r="T347" s="95"/>
      <c r="V347" s="107"/>
    </row>
    <row r="348" ht="15.75" customHeight="1">
      <c r="A348" s="89"/>
      <c r="B348" s="182"/>
      <c r="C348" s="149"/>
      <c r="D348" s="95"/>
      <c r="E348" s="149"/>
      <c r="F348" s="149"/>
      <c r="G348" s="95"/>
      <c r="H348" s="149"/>
      <c r="I348" s="95"/>
      <c r="J348" s="95"/>
      <c r="K348" s="158"/>
      <c r="L348" s="158"/>
      <c r="M348" s="100"/>
      <c r="N348" s="127"/>
      <c r="O348" s="128"/>
      <c r="P348" s="95"/>
      <c r="Q348" s="137"/>
      <c r="R348" s="129"/>
      <c r="S348" s="95"/>
      <c r="T348" s="95"/>
      <c r="V348" s="107"/>
    </row>
    <row r="349" ht="15.75" customHeight="1">
      <c r="A349" s="89"/>
      <c r="B349" s="182"/>
      <c r="C349" s="107"/>
      <c r="D349" s="95"/>
      <c r="E349" s="149"/>
      <c r="F349" s="149"/>
      <c r="G349" s="95"/>
      <c r="H349" s="149"/>
      <c r="I349" s="95"/>
      <c r="J349" s="95"/>
      <c r="K349" s="158"/>
      <c r="L349" s="158"/>
      <c r="M349" s="100"/>
      <c r="N349" s="127"/>
      <c r="O349" s="128"/>
      <c r="P349" s="95"/>
      <c r="Q349" s="137"/>
      <c r="R349" s="129"/>
      <c r="S349" s="95"/>
      <c r="T349" s="95"/>
      <c r="V349" s="107"/>
    </row>
    <row r="350" ht="15.75" customHeight="1">
      <c r="A350" s="89"/>
      <c r="B350" s="182"/>
      <c r="C350" s="149"/>
      <c r="D350" s="95"/>
      <c r="E350" s="149"/>
      <c r="F350" s="149"/>
      <c r="G350" s="95"/>
      <c r="H350" s="149"/>
      <c r="I350" s="95"/>
      <c r="J350" s="95"/>
      <c r="K350" s="158"/>
      <c r="L350" s="158"/>
      <c r="M350" s="100"/>
      <c r="N350" s="127"/>
      <c r="O350" s="128"/>
      <c r="P350" s="95"/>
      <c r="Q350" s="137"/>
      <c r="R350" s="129"/>
      <c r="S350" s="95"/>
      <c r="T350" s="95"/>
      <c r="V350" s="107"/>
    </row>
    <row r="351" ht="15.75" customHeight="1">
      <c r="A351" s="89"/>
      <c r="B351" s="182"/>
      <c r="C351" s="149"/>
      <c r="D351" s="95"/>
      <c r="E351" s="149"/>
      <c r="F351" s="149"/>
      <c r="G351" s="95"/>
      <c r="H351" s="149"/>
      <c r="I351" s="95"/>
      <c r="J351" s="95"/>
      <c r="K351" s="158"/>
      <c r="L351" s="158"/>
      <c r="M351" s="100"/>
      <c r="N351" s="127"/>
      <c r="O351" s="128"/>
      <c r="P351" s="95"/>
      <c r="Q351" s="137"/>
      <c r="R351" s="129"/>
      <c r="S351" s="95"/>
      <c r="T351" s="95"/>
      <c r="V351" s="107"/>
    </row>
    <row r="352" ht="15.75" customHeight="1">
      <c r="A352" s="89"/>
      <c r="B352" s="182"/>
      <c r="C352" s="149"/>
      <c r="D352" s="95"/>
      <c r="E352" s="149"/>
      <c r="F352" s="149"/>
      <c r="G352" s="95"/>
      <c r="H352" s="149"/>
      <c r="I352" s="95"/>
      <c r="J352" s="95"/>
      <c r="K352" s="158"/>
      <c r="L352" s="158"/>
      <c r="M352" s="100"/>
      <c r="N352" s="127"/>
      <c r="O352" s="128"/>
      <c r="P352" s="95"/>
      <c r="Q352" s="137"/>
      <c r="R352" s="129"/>
      <c r="S352" s="95"/>
      <c r="T352" s="95"/>
      <c r="V352" s="107"/>
    </row>
    <row r="353" ht="15.75" customHeight="1">
      <c r="A353" s="89"/>
      <c r="B353" s="182"/>
      <c r="C353" s="149"/>
      <c r="D353" s="95"/>
      <c r="E353" s="149"/>
      <c r="F353" s="149"/>
      <c r="G353" s="95"/>
      <c r="H353" s="149"/>
      <c r="I353" s="95"/>
      <c r="J353" s="95"/>
      <c r="K353" s="158"/>
      <c r="L353" s="158"/>
      <c r="M353" s="100"/>
      <c r="N353" s="127"/>
      <c r="O353" s="128"/>
      <c r="P353" s="95"/>
      <c r="Q353" s="137"/>
      <c r="R353" s="129"/>
      <c r="S353" s="95"/>
      <c r="T353" s="95"/>
      <c r="V353" s="107"/>
    </row>
    <row r="354" ht="15.75" customHeight="1">
      <c r="A354" s="89"/>
      <c r="B354" s="182"/>
      <c r="C354" s="149"/>
      <c r="D354" s="95"/>
      <c r="E354" s="149"/>
      <c r="F354" s="149"/>
      <c r="G354" s="95"/>
      <c r="H354" s="149"/>
      <c r="I354" s="95"/>
      <c r="J354" s="95"/>
      <c r="K354" s="158"/>
      <c r="L354" s="158"/>
      <c r="M354" s="100"/>
      <c r="N354" s="127"/>
      <c r="O354" s="128"/>
      <c r="P354" s="95"/>
      <c r="Q354" s="137"/>
      <c r="R354" s="129"/>
      <c r="S354" s="95"/>
      <c r="T354" s="95"/>
      <c r="V354" s="107"/>
    </row>
    <row r="355" ht="15.75" customHeight="1">
      <c r="A355" s="89"/>
      <c r="B355" s="182"/>
      <c r="C355" s="107"/>
      <c r="D355" s="95"/>
      <c r="E355" s="149"/>
      <c r="F355" s="149"/>
      <c r="G355" s="95"/>
      <c r="H355" s="149"/>
      <c r="I355" s="95"/>
      <c r="J355" s="95"/>
      <c r="K355" s="158"/>
      <c r="L355" s="158"/>
      <c r="M355" s="100"/>
      <c r="N355" s="127"/>
      <c r="O355" s="128"/>
      <c r="P355" s="95"/>
      <c r="Q355" s="137"/>
      <c r="R355" s="129"/>
      <c r="S355" s="95"/>
      <c r="T355" s="95"/>
      <c r="V355" s="107"/>
    </row>
    <row r="356" ht="15.75" customHeight="1">
      <c r="A356" s="89"/>
      <c r="B356" s="182"/>
      <c r="C356" s="149"/>
      <c r="D356" s="95"/>
      <c r="E356" s="149"/>
      <c r="F356" s="149"/>
      <c r="G356" s="95"/>
      <c r="H356" s="149"/>
      <c r="I356" s="95"/>
      <c r="J356" s="95"/>
      <c r="K356" s="158"/>
      <c r="L356" s="158"/>
      <c r="M356" s="100"/>
      <c r="N356" s="127"/>
      <c r="O356" s="128"/>
      <c r="P356" s="95"/>
      <c r="Q356" s="137"/>
      <c r="R356" s="129"/>
      <c r="S356" s="95"/>
      <c r="T356" s="95"/>
      <c r="V356" s="107"/>
    </row>
    <row r="357" ht="15.75" customHeight="1">
      <c r="A357" s="89"/>
      <c r="B357" s="182"/>
      <c r="C357" s="149"/>
      <c r="D357" s="95"/>
      <c r="E357" s="149"/>
      <c r="F357" s="149"/>
      <c r="G357" s="95"/>
      <c r="H357" s="149"/>
      <c r="I357" s="95"/>
      <c r="J357" s="95"/>
      <c r="K357" s="158"/>
      <c r="L357" s="158"/>
      <c r="M357" s="100"/>
      <c r="N357" s="127"/>
      <c r="O357" s="128"/>
      <c r="P357" s="95"/>
      <c r="Q357" s="137"/>
      <c r="R357" s="129"/>
      <c r="S357" s="95"/>
      <c r="T357" s="95"/>
      <c r="V357" s="107"/>
    </row>
    <row r="358" ht="15.75" customHeight="1">
      <c r="A358" s="89"/>
      <c r="B358" s="182"/>
      <c r="C358" s="149"/>
      <c r="D358" s="95"/>
      <c r="E358" s="149"/>
      <c r="F358" s="149"/>
      <c r="G358" s="95"/>
      <c r="H358" s="149"/>
      <c r="I358" s="95"/>
      <c r="J358" s="95"/>
      <c r="K358" s="158"/>
      <c r="L358" s="158"/>
      <c r="M358" s="100"/>
      <c r="N358" s="127"/>
      <c r="O358" s="128"/>
      <c r="P358" s="95"/>
      <c r="Q358" s="137"/>
      <c r="R358" s="129"/>
      <c r="S358" s="95"/>
      <c r="T358" s="95"/>
      <c r="V358" s="107"/>
    </row>
    <row r="359" ht="15.75" customHeight="1">
      <c r="A359" s="89"/>
      <c r="B359" s="182"/>
      <c r="C359" s="149"/>
      <c r="D359" s="95"/>
      <c r="E359" s="149"/>
      <c r="F359" s="149"/>
      <c r="G359" s="95"/>
      <c r="H359" s="149"/>
      <c r="I359" s="95"/>
      <c r="J359" s="95"/>
      <c r="K359" s="158"/>
      <c r="L359" s="158"/>
      <c r="M359" s="100"/>
      <c r="N359" s="127"/>
      <c r="O359" s="128"/>
      <c r="P359" s="95"/>
      <c r="Q359" s="137"/>
      <c r="R359" s="129"/>
      <c r="S359" s="95"/>
      <c r="T359" s="95"/>
      <c r="V359" s="107"/>
    </row>
    <row r="360" ht="15.75" customHeight="1">
      <c r="A360" s="89"/>
      <c r="B360" s="182"/>
      <c r="C360" s="149"/>
      <c r="D360" s="95"/>
      <c r="E360" s="149"/>
      <c r="F360" s="149"/>
      <c r="G360" s="95"/>
      <c r="H360" s="149"/>
      <c r="I360" s="95"/>
      <c r="J360" s="95"/>
      <c r="K360" s="158"/>
      <c r="L360" s="158"/>
      <c r="M360" s="100"/>
      <c r="N360" s="127"/>
      <c r="O360" s="128"/>
      <c r="P360" s="95"/>
      <c r="Q360" s="137"/>
      <c r="R360" s="129"/>
      <c r="S360" s="95"/>
      <c r="T360" s="95"/>
      <c r="V360" s="107"/>
    </row>
  </sheetData>
  <autoFilter ref="$A$12:$V$109"/>
  <customSheetViews>
    <customSheetView guid="{3D5205AB-724F-426F-9D73-83BFCBF63977}" filter="1" showAutoFilter="1">
      <autoFilter ref="$R$18:$R$32"/>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R14"/>
    <hyperlink r:id="rId3" ref="R15"/>
    <hyperlink r:id="rId4" ref="R16"/>
    <hyperlink r:id="rId5" ref="R17"/>
    <hyperlink r:id="rId6" ref="R18"/>
    <hyperlink r:id="rId7" ref="R19"/>
    <hyperlink r:id="rId8" ref="R20"/>
    <hyperlink r:id="rId9" ref="R22"/>
    <hyperlink r:id="rId10" ref="R23"/>
    <hyperlink r:id="rId11" ref="R24"/>
    <hyperlink r:id="rId12" ref="R25"/>
    <hyperlink r:id="rId13" ref="R26"/>
    <hyperlink r:id="rId14" ref="R27"/>
    <hyperlink r:id="rId15" ref="R28"/>
    <hyperlink r:id="rId16" ref="R29"/>
    <hyperlink r:id="rId17" ref="R30"/>
    <hyperlink r:id="rId18" ref="R32"/>
    <hyperlink r:id="rId19" ref="R33"/>
    <hyperlink r:id="rId20" ref="R34"/>
    <hyperlink r:id="rId21" ref="R35"/>
    <hyperlink r:id="rId22" ref="R36"/>
    <hyperlink r:id="rId23" ref="R37"/>
    <hyperlink r:id="rId24" ref="R38"/>
    <hyperlink r:id="rId25" ref="R47"/>
    <hyperlink r:id="rId26" ref="R48"/>
    <hyperlink r:id="rId27" ref="R50"/>
    <hyperlink r:id="rId28" ref="R51"/>
    <hyperlink r:id="rId29" ref="R52"/>
    <hyperlink r:id="rId30" ref="R53"/>
    <hyperlink r:id="rId31" ref="R54"/>
    <hyperlink r:id="rId32" ref="R55"/>
    <hyperlink r:id="rId33" ref="R57"/>
  </hyperlinks>
  <drawing r:id="rId34"/>
  <legacyDrawing r:id="rId3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4.0"/>
    <col customWidth="1" min="4" max="4" width="0.38"/>
    <col customWidth="1" min="5" max="5" width="15.13"/>
    <col customWidth="1" min="6" max="6" width="22.38"/>
    <col customWidth="1" min="7" max="7" width="0.38"/>
    <col customWidth="1" min="8" max="8" width="15.63"/>
    <col customWidth="1" min="9" max="9" width="13.88"/>
    <col customWidth="1" min="10" max="10" width="0.38"/>
    <col customWidth="1" min="13" max="13" width="0.38"/>
    <col customWidth="1" min="15" max="15" width="31.0"/>
    <col customWidth="1" min="16" max="16" width="0.5"/>
    <col customWidth="1" min="17" max="17" width="13.13"/>
    <col customWidth="1" min="19" max="19" width="16.5"/>
    <col customWidth="1" min="21" max="21" width="23.75"/>
    <col customWidth="1" min="22" max="22" width="0.38"/>
  </cols>
  <sheetData>
    <row r="1">
      <c r="A1" s="35"/>
      <c r="B1" s="87" t="s">
        <v>31</v>
      </c>
      <c r="C1" s="87" t="s">
        <v>77</v>
      </c>
      <c r="D1" s="35"/>
      <c r="E1" s="38" t="s">
        <v>33</v>
      </c>
      <c r="F1" s="39"/>
      <c r="G1" s="35"/>
      <c r="H1" s="38" t="s">
        <v>34</v>
      </c>
      <c r="I1" s="39"/>
      <c r="J1" s="13"/>
      <c r="K1" s="159" t="s">
        <v>35</v>
      </c>
      <c r="L1" s="41"/>
      <c r="M1" s="13"/>
      <c r="N1" s="38" t="s">
        <v>36</v>
      </c>
      <c r="O1" s="42"/>
      <c r="P1" s="35"/>
      <c r="Q1" s="38" t="s">
        <v>37</v>
      </c>
      <c r="R1" s="43"/>
      <c r="S1" s="39"/>
      <c r="T1" s="39"/>
      <c r="U1" s="35" t="s">
        <v>38</v>
      </c>
      <c r="V1" s="35"/>
    </row>
    <row r="2">
      <c r="A2" s="35"/>
      <c r="B2" s="39"/>
      <c r="C2" s="39"/>
      <c r="D2" s="13"/>
      <c r="E2" s="160" t="s">
        <v>26</v>
      </c>
      <c r="F2" s="161">
        <f>IFERROR(COUNTIFS(I13:I287, "Full-Pay"),"")</f>
        <v>2</v>
      </c>
      <c r="G2" s="13"/>
      <c r="H2" s="46" t="s">
        <v>16</v>
      </c>
      <c r="I2" s="47">
        <f>iferror(I10/I8,"")</f>
        <v>0.5454545455</v>
      </c>
      <c r="J2" s="12"/>
      <c r="K2" s="162" t="s">
        <v>39</v>
      </c>
      <c r="L2" s="49">
        <f>iferror(F8/I6,"")</f>
        <v>0</v>
      </c>
      <c r="M2" s="12"/>
      <c r="N2" s="50" t="s">
        <v>40</v>
      </c>
      <c r="O2" s="51">
        <f>IFERROR(COUNTIFS(N13:N286, "think about it"),"")</f>
        <v>0</v>
      </c>
      <c r="P2" s="13"/>
      <c r="Q2" s="52" t="s">
        <v>41</v>
      </c>
      <c r="R2" s="53">
        <f>IFERROR(COUNTIF(H13:H286,Q2),"")</f>
        <v>0</v>
      </c>
      <c r="S2" s="52" t="s">
        <v>42</v>
      </c>
      <c r="T2" s="54">
        <f>IFERROR(COUNTIF(H13:H286,S2),"")</f>
        <v>0</v>
      </c>
      <c r="U2" s="35"/>
      <c r="V2" s="55"/>
    </row>
    <row r="3">
      <c r="A3" s="13"/>
      <c r="B3" s="163" t="s">
        <v>43</v>
      </c>
      <c r="C3" s="57">
        <f>IFERROR(SUM(K13:K283),"")</f>
        <v>60000</v>
      </c>
      <c r="D3" s="58"/>
      <c r="E3" s="160" t="s">
        <v>27</v>
      </c>
      <c r="F3" s="161">
        <f>IFERROR(COUNTIFS(I13:I287, "Split-Pay"),"")</f>
        <v>4</v>
      </c>
      <c r="G3" s="13"/>
      <c r="H3" s="46" t="s">
        <v>17</v>
      </c>
      <c r="I3" s="47">
        <f>IFERROR(I10/I9,"")</f>
        <v>0.5454545455</v>
      </c>
      <c r="J3" s="12"/>
      <c r="K3" s="162" t="s">
        <v>44</v>
      </c>
      <c r="L3" s="49">
        <f>iferror(F9/I6,"")</f>
        <v>0.3529411765</v>
      </c>
      <c r="M3" s="12"/>
      <c r="N3" s="50" t="s">
        <v>45</v>
      </c>
      <c r="O3" s="59">
        <f>IFERROR(COUNTIFS(N13:N286, "money"),"")</f>
        <v>5</v>
      </c>
      <c r="P3" s="13"/>
      <c r="Q3" s="52" t="s">
        <v>46</v>
      </c>
      <c r="R3" s="53">
        <f>IFERROR(COUNTIF(H13:H286,Q3),"")</f>
        <v>0</v>
      </c>
      <c r="S3" s="52" t="s">
        <v>47</v>
      </c>
      <c r="T3" s="54">
        <f>IFERROR(COUNTIF(H13:H286,S3),"")</f>
        <v>0</v>
      </c>
      <c r="U3" s="35"/>
      <c r="V3" s="55"/>
    </row>
    <row r="4">
      <c r="A4" s="13"/>
      <c r="B4" s="164" t="s">
        <v>48</v>
      </c>
      <c r="C4" s="61">
        <f>IFERROR(SUM(L13:L284),"")</f>
        <v>25500</v>
      </c>
      <c r="D4" s="58"/>
      <c r="E4" s="160" t="s">
        <v>28</v>
      </c>
      <c r="F4" s="161">
        <f>IFERROR(COUNTIFS(I13:I287, "Deposit"),"")</f>
        <v>0</v>
      </c>
      <c r="G4" s="13"/>
      <c r="H4" s="46" t="s">
        <v>18</v>
      </c>
      <c r="I4" s="47">
        <f>IFERROR(I9/I8,"")</f>
        <v>1</v>
      </c>
      <c r="J4" s="12"/>
      <c r="K4" s="162" t="s">
        <v>49</v>
      </c>
      <c r="L4" s="49">
        <f>iferror(F10/I6,"")</f>
        <v>0</v>
      </c>
      <c r="M4" s="12"/>
      <c r="N4" s="50" t="s">
        <v>50</v>
      </c>
      <c r="O4" s="51">
        <f>IFERROR(COUNTIFS(N13:N286, "time"),"")</f>
        <v>0</v>
      </c>
      <c r="P4" s="13"/>
      <c r="Q4" s="52" t="s">
        <v>51</v>
      </c>
      <c r="R4" s="53">
        <f>IFERROR(COUNTIF(H13:H286,Q4),"")</f>
        <v>0</v>
      </c>
      <c r="S4" s="52" t="s">
        <v>52</v>
      </c>
      <c r="T4" s="54">
        <f>IFERROR(COUNTIF(H13:H286,S4),"")</f>
        <v>0</v>
      </c>
      <c r="U4" s="35"/>
      <c r="V4" s="35"/>
    </row>
    <row r="5">
      <c r="A5" s="35"/>
      <c r="B5" s="39"/>
      <c r="C5" s="39"/>
      <c r="D5" s="13"/>
      <c r="E5" s="160" t="s">
        <v>53</v>
      </c>
      <c r="F5" s="161">
        <f>IFERROR(COUNTIFS(I13:I287, "Offer &amp; Didn't Buy"),"")</f>
        <v>5</v>
      </c>
      <c r="G5" s="13"/>
      <c r="H5" s="46" t="s">
        <v>54</v>
      </c>
      <c r="I5" s="47">
        <f>IFERROR(F7/(C6+F7+F8),"")</f>
        <v>0</v>
      </c>
      <c r="J5" s="13"/>
      <c r="K5" s="162" t="s">
        <v>54</v>
      </c>
      <c r="L5" s="49">
        <f>iferror(F7/I6,"")</f>
        <v>0</v>
      </c>
      <c r="M5" s="12"/>
      <c r="N5" s="50" t="s">
        <v>55</v>
      </c>
      <c r="O5" s="51">
        <f>IFERROR(COUNTIFS(N13:N286, "partner"),"")</f>
        <v>0</v>
      </c>
      <c r="P5" s="13"/>
      <c r="Q5" s="52" t="s">
        <v>56</v>
      </c>
      <c r="R5" s="53">
        <f>IFERROR(COUNTIF(H13:H286,Q5),"")</f>
        <v>0</v>
      </c>
      <c r="S5" s="52" t="s">
        <v>57</v>
      </c>
      <c r="T5" s="54">
        <f>IFERROR(COUNTIF(H13:H286,S5),"")</f>
        <v>0</v>
      </c>
      <c r="U5" s="35"/>
      <c r="V5" s="55"/>
    </row>
    <row r="6">
      <c r="A6" s="13"/>
      <c r="B6" s="165" t="s">
        <v>58</v>
      </c>
      <c r="C6" s="63">
        <f>IFERROR(SUM(F2:F6),"")</f>
        <v>11</v>
      </c>
      <c r="D6" s="13"/>
      <c r="E6" s="160" t="s">
        <v>59</v>
      </c>
      <c r="F6" s="161">
        <f>IFERROR(COUNTIFS(I13:I287, "Bad Fit &amp; No Offer"),"")</f>
        <v>0</v>
      </c>
      <c r="G6" s="13"/>
      <c r="H6" s="46" t="s">
        <v>21</v>
      </c>
      <c r="I6" s="64">
        <f>IFERROR(SUM(F2:F10),"")</f>
        <v>17</v>
      </c>
      <c r="J6" s="13"/>
      <c r="K6" s="166" t="s">
        <v>29</v>
      </c>
      <c r="L6" s="49">
        <f>iferror(I7/I6,"")</f>
        <v>0.6470588235</v>
      </c>
      <c r="M6" s="12"/>
      <c r="N6" s="50" t="s">
        <v>60</v>
      </c>
      <c r="O6" s="51">
        <f>IFERROR(COUNTIFS(N13:N286, "fear"),"")</f>
        <v>3</v>
      </c>
      <c r="P6" s="13"/>
      <c r="Q6" s="52" t="s">
        <v>61</v>
      </c>
      <c r="R6" s="53">
        <f>IFERROR(COUNTIF(H13:H286,Q6),"")</f>
        <v>0</v>
      </c>
      <c r="S6" s="52" t="s">
        <v>62</v>
      </c>
      <c r="T6" s="54">
        <f>IFERROR(COUNTIF(H13:H286,S6),"")</f>
        <v>0</v>
      </c>
      <c r="U6" s="35"/>
      <c r="V6" s="55"/>
    </row>
    <row r="7">
      <c r="A7" s="13"/>
      <c r="B7" s="165" t="s">
        <v>63</v>
      </c>
      <c r="C7" s="66">
        <f>IFERROR(F2+F3,"")</f>
        <v>6</v>
      </c>
      <c r="D7" s="13"/>
      <c r="E7" s="160" t="s">
        <v>64</v>
      </c>
      <c r="F7" s="161">
        <f>IFERROR(COUNTIFS(I13:I287, "Drag Over &amp; Show"),"")</f>
        <v>0</v>
      </c>
      <c r="G7" s="13"/>
      <c r="H7" s="46" t="s">
        <v>22</v>
      </c>
      <c r="I7" s="64">
        <f>IFERROR(SUM(F2:F7),"")</f>
        <v>11</v>
      </c>
      <c r="J7" s="13"/>
      <c r="K7" s="167" t="s">
        <v>30</v>
      </c>
      <c r="L7" s="68">
        <f>IFERROR(I8/I6,"")</f>
        <v>0.6470588235</v>
      </c>
      <c r="M7" s="12"/>
      <c r="N7" s="69" t="s">
        <v>65</v>
      </c>
      <c r="O7" s="70">
        <f>IFERROR(COUNTIFS(N14:N287, "value"),"")</f>
        <v>0</v>
      </c>
      <c r="P7" s="13"/>
      <c r="Q7" s="52" t="s">
        <v>66</v>
      </c>
      <c r="R7" s="53">
        <f>IFERROR(COUNTIF(H13:H286,Q7),"")</f>
        <v>0</v>
      </c>
      <c r="S7" s="52" t="s">
        <v>67</v>
      </c>
      <c r="T7" s="54">
        <f>IFERROR(COUNTIF(H13:H286,S7),"")</f>
        <v>0</v>
      </c>
      <c r="U7" s="35"/>
      <c r="V7" s="35"/>
    </row>
    <row r="8">
      <c r="A8" s="13"/>
      <c r="B8" s="165" t="s">
        <v>68</v>
      </c>
      <c r="C8" s="71">
        <f>COUNTIF(I13:I286,"offer &amp; didn't buy")+countif(I13:I286,"deposit")+countif(I13:I286,"bad fit &amp; no offer")</f>
        <v>5</v>
      </c>
      <c r="D8" s="72"/>
      <c r="E8" s="160" t="s">
        <v>69</v>
      </c>
      <c r="F8" s="161">
        <f>IFERROR(COUNTIFS(I13:I287, "Rescheduled"),"")</f>
        <v>0</v>
      </c>
      <c r="G8" s="13"/>
      <c r="H8" s="46" t="s">
        <v>23</v>
      </c>
      <c r="I8" s="64">
        <f>IFERROR(SUM(F2:F6),"")</f>
        <v>11</v>
      </c>
      <c r="J8" s="35"/>
      <c r="K8" s="35"/>
      <c r="L8" s="35"/>
      <c r="M8" s="35"/>
      <c r="N8" s="35"/>
      <c r="O8" s="74"/>
      <c r="P8" s="13"/>
      <c r="Q8" s="75" t="s">
        <v>70</v>
      </c>
      <c r="R8" s="76">
        <f>IFERROR(COUNTIF(H13:H286,Q8),"")</f>
        <v>0</v>
      </c>
      <c r="S8" s="75" t="s">
        <v>71</v>
      </c>
      <c r="T8" s="77">
        <f>IFERROR(COUNTIF(H13:H286,S8),"")</f>
        <v>0</v>
      </c>
      <c r="U8" s="35"/>
      <c r="V8" s="35"/>
    </row>
    <row r="9">
      <c r="A9" s="13"/>
      <c r="B9" s="165" t="s">
        <v>72</v>
      </c>
      <c r="C9" s="78">
        <f>iferror(SUM(C7/C6),"")</f>
        <v>0.5454545455</v>
      </c>
      <c r="D9" s="12"/>
      <c r="E9" s="160" t="s">
        <v>73</v>
      </c>
      <c r="F9" s="161">
        <f>IFERROR(COUNTIFS(I13:I287, "Cancelled"),"")</f>
        <v>6</v>
      </c>
      <c r="G9" s="13"/>
      <c r="H9" s="46" t="s">
        <v>24</v>
      </c>
      <c r="I9" s="64">
        <f>IFERROR(sum(F2:F5),"")</f>
        <v>11</v>
      </c>
      <c r="J9" s="35"/>
      <c r="K9" s="35"/>
      <c r="L9" s="35"/>
      <c r="M9" s="35"/>
      <c r="N9" s="35"/>
      <c r="O9" s="74"/>
      <c r="P9" s="35"/>
      <c r="Q9" s="35"/>
      <c r="R9" s="35"/>
      <c r="S9" s="35"/>
      <c r="T9" s="35"/>
      <c r="V9" s="35"/>
    </row>
    <row r="10">
      <c r="A10" s="35"/>
      <c r="B10" s="35"/>
      <c r="C10" s="35"/>
      <c r="D10" s="13"/>
      <c r="E10" s="168" t="s">
        <v>74</v>
      </c>
      <c r="F10" s="169">
        <f>IFERROR(COUNTIFS(I13:I287, "No-Show"),"")</f>
        <v>0</v>
      </c>
      <c r="G10" s="13"/>
      <c r="H10" s="81" t="s">
        <v>75</v>
      </c>
      <c r="I10" s="82">
        <f>F2+F3</f>
        <v>6</v>
      </c>
      <c r="J10" s="35"/>
      <c r="K10" s="35"/>
      <c r="L10" s="35"/>
      <c r="M10" s="35"/>
      <c r="N10" s="35"/>
      <c r="O10" s="74"/>
      <c r="P10" s="35"/>
      <c r="Q10" s="35"/>
      <c r="R10" s="35"/>
      <c r="S10" s="35"/>
      <c r="T10" s="35"/>
      <c r="V10" s="35"/>
    </row>
    <row r="11" ht="6.0" customHeight="1">
      <c r="A11" s="35"/>
      <c r="B11" s="35"/>
      <c r="C11" s="35"/>
      <c r="D11" s="35"/>
      <c r="E11" s="35"/>
      <c r="F11" s="35"/>
      <c r="G11" s="35"/>
      <c r="H11" s="35"/>
      <c r="I11" s="35"/>
      <c r="J11" s="35"/>
      <c r="K11" s="35"/>
      <c r="L11" s="35"/>
      <c r="M11" s="35"/>
      <c r="N11" s="35"/>
      <c r="O11" s="74"/>
      <c r="P11" s="35"/>
      <c r="Q11" s="35"/>
      <c r="R11" s="35"/>
      <c r="S11" s="35"/>
      <c r="T11" s="35"/>
      <c r="V11" s="35"/>
    </row>
    <row r="12">
      <c r="A12" s="35"/>
      <c r="B12" s="85" t="s">
        <v>76</v>
      </c>
      <c r="C12" s="85" t="s">
        <v>77</v>
      </c>
      <c r="D12" s="35"/>
      <c r="E12" s="87" t="s">
        <v>78</v>
      </c>
      <c r="F12" s="87" t="s">
        <v>56</v>
      </c>
      <c r="G12" s="35"/>
      <c r="H12" s="87" t="s">
        <v>37</v>
      </c>
      <c r="I12" s="87" t="s">
        <v>33</v>
      </c>
      <c r="J12" s="35"/>
      <c r="K12" s="87" t="s">
        <v>79</v>
      </c>
      <c r="L12" s="87" t="s">
        <v>48</v>
      </c>
      <c r="M12" s="35"/>
      <c r="N12" s="87" t="s">
        <v>80</v>
      </c>
      <c r="O12" s="88" t="s">
        <v>81</v>
      </c>
      <c r="P12" s="35"/>
      <c r="Q12" s="87" t="s">
        <v>82</v>
      </c>
      <c r="R12" s="87" t="s">
        <v>83</v>
      </c>
      <c r="S12" s="87" t="s">
        <v>84</v>
      </c>
      <c r="T12" s="87" t="s">
        <v>85</v>
      </c>
      <c r="V12" s="55"/>
    </row>
    <row r="13" ht="15.75" customHeight="1">
      <c r="A13" s="89"/>
      <c r="B13" s="96" t="s">
        <v>1565</v>
      </c>
      <c r="C13" s="184" t="s">
        <v>1531</v>
      </c>
      <c r="D13" s="92"/>
      <c r="E13" s="184" t="s">
        <v>1532</v>
      </c>
      <c r="F13" s="194" t="s">
        <v>1533</v>
      </c>
      <c r="G13" s="95"/>
      <c r="H13" s="96" t="s">
        <v>89</v>
      </c>
      <c r="I13" s="97" t="s">
        <v>1566</v>
      </c>
      <c r="J13" s="95"/>
      <c r="K13" s="99">
        <v>10500.0</v>
      </c>
      <c r="L13" s="99">
        <v>1500.0</v>
      </c>
      <c r="M13" s="100"/>
      <c r="N13" s="101" t="s">
        <v>45</v>
      </c>
      <c r="O13" s="102" t="s">
        <v>1567</v>
      </c>
      <c r="P13" s="95"/>
      <c r="Q13" s="103">
        <v>6.0</v>
      </c>
      <c r="R13" s="106"/>
      <c r="S13" s="103" t="s">
        <v>113</v>
      </c>
      <c r="T13" s="105" t="s">
        <v>1568</v>
      </c>
      <c r="U13" s="106"/>
      <c r="V13" s="107"/>
    </row>
    <row r="14" ht="15.75" customHeight="1">
      <c r="A14" s="89"/>
      <c r="B14" s="96" t="s">
        <v>1565</v>
      </c>
      <c r="C14" s="91" t="s">
        <v>1569</v>
      </c>
      <c r="D14" s="92"/>
      <c r="E14" s="130" t="s">
        <v>1570</v>
      </c>
      <c r="F14" s="194" t="s">
        <v>1571</v>
      </c>
      <c r="G14" s="95"/>
      <c r="H14" s="96" t="s">
        <v>89</v>
      </c>
      <c r="I14" s="97" t="s">
        <v>90</v>
      </c>
      <c r="J14" s="95"/>
      <c r="K14" s="99"/>
      <c r="L14" s="99"/>
      <c r="M14" s="100"/>
      <c r="N14" s="101" t="s">
        <v>45</v>
      </c>
      <c r="O14" s="102" t="s">
        <v>1572</v>
      </c>
      <c r="P14" s="95"/>
      <c r="Q14" s="103">
        <v>6.0</v>
      </c>
      <c r="R14" s="170" t="s">
        <v>1573</v>
      </c>
      <c r="S14" s="103" t="s">
        <v>157</v>
      </c>
      <c r="T14" s="105" t="s">
        <v>1574</v>
      </c>
      <c r="U14" s="106"/>
      <c r="V14" s="107"/>
    </row>
    <row r="15" ht="15.75" customHeight="1">
      <c r="A15" s="95"/>
      <c r="B15" s="96" t="s">
        <v>1565</v>
      </c>
      <c r="C15" s="108" t="s">
        <v>1575</v>
      </c>
      <c r="D15" s="95"/>
      <c r="E15" s="222" t="s">
        <v>1576</v>
      </c>
      <c r="F15" s="94" t="s">
        <v>1577</v>
      </c>
      <c r="G15" s="95"/>
      <c r="H15" s="96" t="s">
        <v>89</v>
      </c>
      <c r="I15" s="97" t="s">
        <v>849</v>
      </c>
      <c r="J15" s="95"/>
      <c r="K15" s="99"/>
      <c r="L15" s="99"/>
      <c r="M15" s="100"/>
      <c r="N15" s="101"/>
      <c r="O15" s="102"/>
      <c r="P15" s="95"/>
      <c r="Q15" s="103"/>
      <c r="R15" s="115"/>
      <c r="S15" s="103"/>
      <c r="T15" s="110"/>
      <c r="U15" s="103"/>
      <c r="V15" s="107"/>
    </row>
    <row r="16" ht="15.75" customHeight="1">
      <c r="A16" s="95"/>
      <c r="B16" s="96" t="s">
        <v>1578</v>
      </c>
      <c r="C16" s="210" t="s">
        <v>1550</v>
      </c>
      <c r="D16" s="103"/>
      <c r="E16" s="130" t="s">
        <v>1551</v>
      </c>
      <c r="F16" s="194" t="s">
        <v>1552</v>
      </c>
      <c r="G16" s="95"/>
      <c r="H16" s="96" t="s">
        <v>89</v>
      </c>
      <c r="I16" s="97" t="s">
        <v>1566</v>
      </c>
      <c r="J16" s="95"/>
      <c r="K16" s="99">
        <v>10500.0</v>
      </c>
      <c r="L16" s="99">
        <v>1500.0</v>
      </c>
      <c r="M16" s="100"/>
      <c r="N16" s="101" t="s">
        <v>45</v>
      </c>
      <c r="O16" s="102"/>
      <c r="P16" s="95"/>
      <c r="Q16" s="103">
        <v>6.0</v>
      </c>
      <c r="R16" s="115"/>
      <c r="S16" s="103" t="s">
        <v>113</v>
      </c>
      <c r="T16" s="116" t="s">
        <v>1579</v>
      </c>
      <c r="U16" s="103"/>
      <c r="V16" s="107"/>
    </row>
    <row r="17" ht="15.75" customHeight="1">
      <c r="A17" s="95"/>
      <c r="B17" s="96" t="s">
        <v>1578</v>
      </c>
      <c r="C17" s="211" t="s">
        <v>1580</v>
      </c>
      <c r="D17" s="95"/>
      <c r="E17" s="130" t="s">
        <v>1581</v>
      </c>
      <c r="F17" s="194" t="s">
        <v>1582</v>
      </c>
      <c r="G17" s="95"/>
      <c r="H17" s="96" t="s">
        <v>89</v>
      </c>
      <c r="I17" s="97" t="s">
        <v>110</v>
      </c>
      <c r="J17" s="95"/>
      <c r="K17" s="99">
        <v>9000.0</v>
      </c>
      <c r="L17" s="99">
        <v>9000.0</v>
      </c>
      <c r="M17" s="100"/>
      <c r="N17" s="101" t="s">
        <v>60</v>
      </c>
      <c r="O17" s="102" t="s">
        <v>1583</v>
      </c>
      <c r="P17" s="95"/>
      <c r="Q17" s="103">
        <v>6.0</v>
      </c>
      <c r="R17" s="170" t="s">
        <v>1584</v>
      </c>
      <c r="S17" s="103" t="s">
        <v>113</v>
      </c>
      <c r="T17" s="103" t="s">
        <v>1585</v>
      </c>
      <c r="V17" s="107"/>
    </row>
    <row r="18" ht="15.75" customHeight="1">
      <c r="A18" s="95"/>
      <c r="B18" s="96" t="s">
        <v>1586</v>
      </c>
      <c r="C18" s="117" t="s">
        <v>1587</v>
      </c>
      <c r="D18" s="95"/>
      <c r="E18" s="213" t="s">
        <v>1588</v>
      </c>
      <c r="F18" s="146" t="s">
        <v>1589</v>
      </c>
      <c r="G18" s="95"/>
      <c r="H18" s="96" t="s">
        <v>89</v>
      </c>
      <c r="I18" s="97" t="s">
        <v>849</v>
      </c>
      <c r="J18" s="95"/>
      <c r="K18" s="113"/>
      <c r="L18" s="113"/>
      <c r="M18" s="100"/>
      <c r="N18" s="127"/>
      <c r="O18" s="102"/>
      <c r="P18" s="95"/>
      <c r="Q18" s="103">
        <v>6.0</v>
      </c>
      <c r="R18" s="106"/>
      <c r="S18" s="103"/>
      <c r="T18" s="119"/>
      <c r="U18" s="95"/>
      <c r="V18" s="107"/>
    </row>
    <row r="19" ht="15.75" customHeight="1">
      <c r="A19" s="95"/>
      <c r="B19" s="96" t="s">
        <v>1590</v>
      </c>
      <c r="C19" s="119" t="s">
        <v>1591</v>
      </c>
      <c r="D19" s="95"/>
      <c r="E19" s="130" t="s">
        <v>1592</v>
      </c>
      <c r="F19" s="194" t="s">
        <v>1593</v>
      </c>
      <c r="G19" s="95"/>
      <c r="H19" s="96" t="s">
        <v>89</v>
      </c>
      <c r="I19" s="97" t="s">
        <v>1566</v>
      </c>
      <c r="J19" s="95"/>
      <c r="K19" s="99">
        <v>10500.0</v>
      </c>
      <c r="L19" s="99">
        <v>3000.0</v>
      </c>
      <c r="M19" s="100"/>
      <c r="N19" s="101"/>
      <c r="O19" s="128"/>
      <c r="P19" s="95"/>
      <c r="Q19" s="103">
        <v>6.0</v>
      </c>
      <c r="R19" s="171" t="s">
        <v>1594</v>
      </c>
      <c r="S19" s="103" t="s">
        <v>113</v>
      </c>
      <c r="T19" s="119" t="s">
        <v>1595</v>
      </c>
      <c r="U19" s="95"/>
      <c r="V19" s="107"/>
    </row>
    <row r="20" ht="15.75" customHeight="1">
      <c r="A20" s="95"/>
      <c r="B20" s="119" t="s">
        <v>1596</v>
      </c>
      <c r="C20" s="119" t="s">
        <v>879</v>
      </c>
      <c r="D20" s="95"/>
      <c r="E20" s="130" t="s">
        <v>880</v>
      </c>
      <c r="F20" s="194" t="s">
        <v>881</v>
      </c>
      <c r="G20" s="95"/>
      <c r="H20" s="96" t="s">
        <v>89</v>
      </c>
      <c r="I20" s="97" t="s">
        <v>90</v>
      </c>
      <c r="J20" s="95"/>
      <c r="K20" s="113"/>
      <c r="L20" s="113"/>
      <c r="M20" s="100"/>
      <c r="N20" s="101" t="s">
        <v>45</v>
      </c>
      <c r="O20" s="102" t="s">
        <v>1597</v>
      </c>
      <c r="P20" s="95"/>
      <c r="Q20" s="103">
        <v>6.0</v>
      </c>
      <c r="R20" s="171" t="s">
        <v>1598</v>
      </c>
      <c r="S20" s="103" t="s">
        <v>94</v>
      </c>
      <c r="T20" s="119" t="s">
        <v>1599</v>
      </c>
      <c r="U20" s="95"/>
      <c r="V20" s="107"/>
    </row>
    <row r="21" ht="15.75" customHeight="1">
      <c r="A21" s="89"/>
      <c r="B21" s="96" t="s">
        <v>1600</v>
      </c>
      <c r="C21" s="108" t="s">
        <v>1601</v>
      </c>
      <c r="D21" s="95"/>
      <c r="E21" s="130" t="s">
        <v>1602</v>
      </c>
      <c r="F21" s="194" t="s">
        <v>1603</v>
      </c>
      <c r="G21" s="95"/>
      <c r="H21" s="96" t="s">
        <v>89</v>
      </c>
      <c r="I21" s="97" t="s">
        <v>90</v>
      </c>
      <c r="J21" s="95"/>
      <c r="K21" s="99"/>
      <c r="L21" s="99"/>
      <c r="M21" s="100"/>
      <c r="N21" s="101" t="s">
        <v>60</v>
      </c>
      <c r="O21" s="102" t="s">
        <v>1604</v>
      </c>
      <c r="P21" s="95"/>
      <c r="Q21" s="103">
        <v>6.0</v>
      </c>
      <c r="R21" s="175" t="s">
        <v>1605</v>
      </c>
      <c r="S21" s="103" t="s">
        <v>157</v>
      </c>
      <c r="T21" s="103" t="s">
        <v>1606</v>
      </c>
      <c r="V21" s="107"/>
    </row>
    <row r="22" ht="15.75" customHeight="1">
      <c r="A22" s="89"/>
      <c r="B22" s="96" t="s">
        <v>1600</v>
      </c>
      <c r="C22" s="122" t="s">
        <v>1607</v>
      </c>
      <c r="D22" s="95"/>
      <c r="E22" s="130" t="s">
        <v>1608</v>
      </c>
      <c r="F22" s="194" t="s">
        <v>1609</v>
      </c>
      <c r="G22" s="95"/>
      <c r="H22" s="96" t="s">
        <v>89</v>
      </c>
      <c r="I22" s="97" t="s">
        <v>849</v>
      </c>
      <c r="J22" s="95"/>
      <c r="K22" s="113"/>
      <c r="L22" s="113"/>
      <c r="M22" s="100"/>
      <c r="N22" s="127"/>
      <c r="O22" s="102"/>
      <c r="P22" s="95"/>
      <c r="Q22" s="103"/>
      <c r="R22" s="129"/>
      <c r="S22" s="103"/>
      <c r="T22" s="103"/>
      <c r="V22" s="107"/>
    </row>
    <row r="23" ht="15.75" customHeight="1">
      <c r="A23" s="89"/>
      <c r="B23" s="96" t="s">
        <v>1610</v>
      </c>
      <c r="C23" s="122" t="s">
        <v>1611</v>
      </c>
      <c r="D23" s="95"/>
      <c r="E23" s="130" t="s">
        <v>1612</v>
      </c>
      <c r="F23" s="194" t="s">
        <v>1613</v>
      </c>
      <c r="G23" s="95"/>
      <c r="H23" s="96" t="s">
        <v>89</v>
      </c>
      <c r="I23" s="103" t="s">
        <v>90</v>
      </c>
      <c r="J23" s="95"/>
      <c r="K23" s="99"/>
      <c r="L23" s="99"/>
      <c r="M23" s="100"/>
      <c r="N23" s="101" t="s">
        <v>45</v>
      </c>
      <c r="O23" s="102" t="s">
        <v>1614</v>
      </c>
      <c r="P23" s="95"/>
      <c r="Q23" s="103">
        <v>6.0</v>
      </c>
      <c r="R23" s="171" t="s">
        <v>1615</v>
      </c>
      <c r="S23" s="103" t="s">
        <v>94</v>
      </c>
      <c r="T23" s="103" t="s">
        <v>1616</v>
      </c>
      <c r="V23" s="107"/>
    </row>
    <row r="24" ht="15.75" customHeight="1">
      <c r="A24" s="89"/>
      <c r="B24" s="96" t="s">
        <v>1617</v>
      </c>
      <c r="C24" s="97" t="s">
        <v>1618</v>
      </c>
      <c r="D24" s="95"/>
      <c r="E24" s="130" t="s">
        <v>1619</v>
      </c>
      <c r="F24" s="194" t="s">
        <v>1620</v>
      </c>
      <c r="G24" s="95"/>
      <c r="H24" s="96" t="s">
        <v>89</v>
      </c>
      <c r="I24" s="103" t="s">
        <v>110</v>
      </c>
      <c r="J24" s="95"/>
      <c r="K24" s="99">
        <v>9000.0</v>
      </c>
      <c r="L24" s="99">
        <v>9000.0</v>
      </c>
      <c r="M24" s="100"/>
      <c r="N24" s="101" t="s">
        <v>60</v>
      </c>
      <c r="O24" s="102" t="s">
        <v>1621</v>
      </c>
      <c r="P24" s="95"/>
      <c r="Q24" s="103">
        <v>6.0</v>
      </c>
      <c r="R24" s="171" t="s">
        <v>1622</v>
      </c>
      <c r="S24" s="103" t="s">
        <v>113</v>
      </c>
      <c r="T24" s="103" t="s">
        <v>1623</v>
      </c>
      <c r="V24" s="107"/>
    </row>
    <row r="25" ht="15.75" customHeight="1">
      <c r="A25" s="89"/>
      <c r="B25" s="96" t="s">
        <v>1624</v>
      </c>
      <c r="C25" s="122" t="s">
        <v>1625</v>
      </c>
      <c r="D25" s="95"/>
      <c r="E25" s="213" t="s">
        <v>1626</v>
      </c>
      <c r="F25" s="216" t="s">
        <v>1627</v>
      </c>
      <c r="G25" s="95"/>
      <c r="H25" s="96" t="s">
        <v>89</v>
      </c>
      <c r="I25" s="103" t="s">
        <v>849</v>
      </c>
      <c r="J25" s="95"/>
      <c r="K25" s="99"/>
      <c r="L25" s="99"/>
      <c r="M25" s="100"/>
      <c r="N25" s="101"/>
      <c r="O25" s="102"/>
      <c r="P25" s="95"/>
      <c r="Q25" s="114"/>
      <c r="R25" s="106"/>
      <c r="S25" s="103"/>
      <c r="T25" s="103"/>
      <c r="V25" s="107"/>
    </row>
    <row r="26" ht="15.75" customHeight="1">
      <c r="A26" s="89"/>
      <c r="B26" s="96" t="s">
        <v>1624</v>
      </c>
      <c r="C26" s="122" t="s">
        <v>1628</v>
      </c>
      <c r="D26" s="95"/>
      <c r="E26" s="213" t="s">
        <v>1629</v>
      </c>
      <c r="F26" s="216" t="s">
        <v>1630</v>
      </c>
      <c r="G26" s="95"/>
      <c r="H26" s="96" t="s">
        <v>89</v>
      </c>
      <c r="I26" s="103" t="s">
        <v>849</v>
      </c>
      <c r="J26" s="95"/>
      <c r="K26" s="113"/>
      <c r="L26" s="113"/>
      <c r="M26" s="100"/>
      <c r="N26" s="101"/>
      <c r="O26" s="102" t="s">
        <v>1631</v>
      </c>
      <c r="P26" s="95"/>
      <c r="Q26" s="114"/>
      <c r="R26" s="106"/>
      <c r="S26" s="103"/>
      <c r="T26" s="103"/>
      <c r="V26" s="107"/>
    </row>
    <row r="27" ht="15.75" customHeight="1">
      <c r="A27" s="89"/>
      <c r="B27" s="96" t="s">
        <v>1632</v>
      </c>
      <c r="C27" s="122" t="s">
        <v>1633</v>
      </c>
      <c r="D27" s="95"/>
      <c r="E27" s="213" t="s">
        <v>1634</v>
      </c>
      <c r="F27" s="123" t="s">
        <v>1635</v>
      </c>
      <c r="G27" s="95"/>
      <c r="H27" s="96" t="s">
        <v>89</v>
      </c>
      <c r="I27" s="103" t="s">
        <v>849</v>
      </c>
      <c r="J27" s="95"/>
      <c r="K27" s="99"/>
      <c r="L27" s="99"/>
      <c r="M27" s="100"/>
      <c r="N27" s="127"/>
      <c r="O27" s="102" t="s">
        <v>1636</v>
      </c>
      <c r="P27" s="95"/>
      <c r="Q27" s="95"/>
      <c r="R27" s="129"/>
      <c r="S27" s="95"/>
      <c r="T27" s="95"/>
      <c r="V27" s="107"/>
    </row>
    <row r="28" ht="15.75" customHeight="1">
      <c r="A28" s="89"/>
      <c r="B28" s="96" t="s">
        <v>1637</v>
      </c>
      <c r="C28" s="122" t="s">
        <v>1638</v>
      </c>
      <c r="D28" s="95"/>
      <c r="E28" s="130" t="s">
        <v>1639</v>
      </c>
      <c r="F28" s="194" t="s">
        <v>1640</v>
      </c>
      <c r="G28" s="95"/>
      <c r="H28" s="96" t="s">
        <v>89</v>
      </c>
      <c r="I28" s="103" t="s">
        <v>1566</v>
      </c>
      <c r="J28" s="95"/>
      <c r="K28" s="99">
        <v>10500.0</v>
      </c>
      <c r="L28" s="99">
        <v>1500.0</v>
      </c>
      <c r="M28" s="100"/>
      <c r="N28" s="101"/>
      <c r="O28" s="102"/>
      <c r="P28" s="95"/>
      <c r="Q28" s="103">
        <v>6.0</v>
      </c>
      <c r="R28" s="170" t="s">
        <v>1641</v>
      </c>
      <c r="S28" s="103" t="s">
        <v>113</v>
      </c>
      <c r="T28" s="103" t="s">
        <v>1642</v>
      </c>
      <c r="V28" s="107"/>
    </row>
    <row r="29" ht="15.75" customHeight="1">
      <c r="A29" s="89"/>
      <c r="B29" s="96" t="s">
        <v>1643</v>
      </c>
      <c r="C29" s="103" t="s">
        <v>1644</v>
      </c>
      <c r="D29" s="95"/>
      <c r="E29" s="130" t="s">
        <v>1645</v>
      </c>
      <c r="F29" s="194" t="s">
        <v>1646</v>
      </c>
      <c r="G29" s="95"/>
      <c r="H29" s="96" t="s">
        <v>89</v>
      </c>
      <c r="I29" s="103" t="s">
        <v>90</v>
      </c>
      <c r="J29" s="95"/>
      <c r="K29" s="99"/>
      <c r="L29" s="99"/>
      <c r="M29" s="100"/>
      <c r="N29" s="127"/>
      <c r="O29" s="102" t="s">
        <v>1647</v>
      </c>
      <c r="P29" s="95"/>
      <c r="Q29" s="103">
        <v>6.0</v>
      </c>
      <c r="R29" s="171" t="s">
        <v>1648</v>
      </c>
      <c r="S29" s="103" t="s">
        <v>94</v>
      </c>
      <c r="T29" s="103" t="s">
        <v>1649</v>
      </c>
      <c r="V29" s="107"/>
    </row>
    <row r="30" ht="15.75" customHeight="1">
      <c r="A30" s="89"/>
      <c r="B30" s="177"/>
      <c r="C30" s="97"/>
      <c r="D30" s="95"/>
      <c r="E30" s="176"/>
      <c r="F30" s="144"/>
      <c r="G30" s="95"/>
      <c r="H30" s="96"/>
      <c r="I30" s="103"/>
      <c r="J30" s="95"/>
      <c r="K30" s="113"/>
      <c r="L30" s="113"/>
      <c r="M30" s="100"/>
      <c r="N30" s="127"/>
      <c r="O30" s="128"/>
      <c r="P30" s="95"/>
      <c r="Q30" s="95"/>
      <c r="R30" s="129"/>
      <c r="S30" s="95"/>
      <c r="T30" s="95"/>
      <c r="V30" s="107"/>
    </row>
    <row r="31" ht="15.75" customHeight="1">
      <c r="A31" s="89"/>
      <c r="B31" s="177"/>
      <c r="C31" s="97"/>
      <c r="D31" s="95"/>
      <c r="E31" s="176"/>
      <c r="F31" s="144"/>
      <c r="G31" s="95"/>
      <c r="H31" s="96"/>
      <c r="I31" s="103"/>
      <c r="J31" s="95"/>
      <c r="K31" s="99"/>
      <c r="L31" s="99"/>
      <c r="M31" s="100"/>
      <c r="N31" s="101"/>
      <c r="O31" s="102"/>
      <c r="P31" s="95"/>
      <c r="Q31" s="114"/>
      <c r="R31" s="106"/>
      <c r="S31" s="103"/>
      <c r="T31" s="103"/>
      <c r="V31" s="107"/>
    </row>
    <row r="32" ht="15.75" customHeight="1">
      <c r="A32" s="89"/>
      <c r="B32" s="177"/>
      <c r="C32" s="97"/>
      <c r="D32" s="95"/>
      <c r="E32" s="176"/>
      <c r="F32" s="144"/>
      <c r="G32" s="95"/>
      <c r="H32" s="96"/>
      <c r="I32" s="103"/>
      <c r="J32" s="95"/>
      <c r="K32" s="113"/>
      <c r="L32" s="113"/>
      <c r="M32" s="100"/>
      <c r="N32" s="127"/>
      <c r="O32" s="128"/>
      <c r="P32" s="95"/>
      <c r="Q32" s="95"/>
      <c r="R32" s="129"/>
      <c r="S32" s="95"/>
      <c r="T32" s="95"/>
      <c r="V32" s="107"/>
    </row>
    <row r="33" ht="15.75" customHeight="1">
      <c r="A33" s="89"/>
      <c r="B33" s="177"/>
      <c r="C33" s="97"/>
      <c r="D33" s="95"/>
      <c r="E33" s="176"/>
      <c r="F33" s="146"/>
      <c r="G33" s="95"/>
      <c r="H33" s="96"/>
      <c r="I33" s="103"/>
      <c r="J33" s="95"/>
      <c r="K33" s="99"/>
      <c r="L33" s="99"/>
      <c r="M33" s="100"/>
      <c r="N33" s="101"/>
      <c r="O33" s="102"/>
      <c r="P33" s="95"/>
      <c r="Q33" s="114"/>
      <c r="R33" s="106"/>
      <c r="S33" s="103"/>
      <c r="T33" s="103"/>
      <c r="V33" s="107"/>
    </row>
    <row r="34" ht="15.75" customHeight="1">
      <c r="A34" s="89"/>
      <c r="B34" s="177"/>
      <c r="C34" s="97"/>
      <c r="D34" s="95"/>
      <c r="E34" s="176"/>
      <c r="F34" s="144"/>
      <c r="G34" s="95"/>
      <c r="H34" s="96"/>
      <c r="I34" s="103"/>
      <c r="J34" s="95"/>
      <c r="K34" s="113"/>
      <c r="L34" s="113"/>
      <c r="M34" s="100"/>
      <c r="N34" s="127"/>
      <c r="O34" s="128"/>
      <c r="P34" s="95"/>
      <c r="Q34" s="95"/>
      <c r="R34" s="129"/>
      <c r="S34" s="95"/>
      <c r="T34" s="95"/>
      <c r="V34" s="107"/>
    </row>
    <row r="35" ht="15.75" customHeight="1">
      <c r="A35" s="89"/>
      <c r="B35" s="177"/>
      <c r="C35" s="103"/>
      <c r="D35" s="95"/>
      <c r="E35" s="176"/>
      <c r="F35" s="144"/>
      <c r="G35" s="95"/>
      <c r="H35" s="96"/>
      <c r="I35" s="103"/>
      <c r="J35" s="95"/>
      <c r="K35" s="99"/>
      <c r="L35" s="99"/>
      <c r="M35" s="100"/>
      <c r="N35" s="127"/>
      <c r="O35" s="128"/>
      <c r="P35" s="95"/>
      <c r="Q35" s="95"/>
      <c r="R35" s="129"/>
      <c r="S35" s="95"/>
      <c r="T35" s="95"/>
      <c r="V35" s="107"/>
    </row>
    <row r="36" ht="15.75" customHeight="1">
      <c r="A36" s="89"/>
      <c r="B36" s="177"/>
      <c r="C36" s="103"/>
      <c r="D36" s="95"/>
      <c r="E36" s="176"/>
      <c r="F36" s="146"/>
      <c r="G36" s="95"/>
      <c r="H36" s="96"/>
      <c r="I36" s="103"/>
      <c r="J36" s="95"/>
      <c r="K36" s="113"/>
      <c r="L36" s="113"/>
      <c r="M36" s="100"/>
      <c r="N36" s="127"/>
      <c r="O36" s="128"/>
      <c r="P36" s="95"/>
      <c r="Q36" s="95"/>
      <c r="R36" s="129"/>
      <c r="S36" s="95"/>
      <c r="T36" s="103"/>
      <c r="V36" s="107"/>
    </row>
    <row r="37" ht="15.75" customHeight="1">
      <c r="A37" s="89"/>
      <c r="B37" s="177"/>
      <c r="C37" s="97"/>
      <c r="D37" s="95"/>
      <c r="E37" s="176"/>
      <c r="F37" s="144"/>
      <c r="G37" s="95"/>
      <c r="H37" s="96"/>
      <c r="I37" s="103"/>
      <c r="J37" s="95"/>
      <c r="K37" s="99"/>
      <c r="L37" s="99"/>
      <c r="M37" s="100"/>
      <c r="N37" s="101"/>
      <c r="O37" s="102"/>
      <c r="P37" s="95"/>
      <c r="Q37" s="114"/>
      <c r="R37" s="106"/>
      <c r="S37" s="103"/>
      <c r="T37" s="103"/>
      <c r="V37" s="107"/>
    </row>
    <row r="38" ht="15.75" customHeight="1">
      <c r="A38" s="89"/>
      <c r="B38" s="177"/>
      <c r="C38" s="97"/>
      <c r="D38" s="95"/>
      <c r="E38" s="176"/>
      <c r="F38" s="144"/>
      <c r="G38" s="95"/>
      <c r="H38" s="96"/>
      <c r="I38" s="103"/>
      <c r="J38" s="95"/>
      <c r="K38" s="113"/>
      <c r="L38" s="113"/>
      <c r="M38" s="100"/>
      <c r="N38" s="127"/>
      <c r="O38" s="128"/>
      <c r="P38" s="95"/>
      <c r="Q38" s="135"/>
      <c r="R38" s="106"/>
      <c r="S38" s="95"/>
      <c r="V38" s="107"/>
    </row>
    <row r="39" ht="15.75" customHeight="1">
      <c r="A39" s="89"/>
      <c r="B39" s="177"/>
      <c r="C39" s="97"/>
      <c r="D39" s="95"/>
      <c r="E39" s="176"/>
      <c r="F39" s="178"/>
      <c r="G39" s="95"/>
      <c r="H39" s="96"/>
      <c r="I39" s="103"/>
      <c r="J39" s="95"/>
      <c r="K39" s="99"/>
      <c r="L39" s="99"/>
      <c r="M39" s="100"/>
      <c r="N39" s="127"/>
      <c r="O39" s="128"/>
      <c r="P39" s="95"/>
      <c r="Q39" s="114"/>
      <c r="R39" s="106"/>
      <c r="S39" s="95"/>
      <c r="T39" s="103"/>
      <c r="V39" s="107"/>
    </row>
    <row r="40" ht="15.75" customHeight="1">
      <c r="A40" s="89"/>
      <c r="B40" s="177"/>
      <c r="C40" s="97"/>
      <c r="D40" s="95"/>
      <c r="E40" s="176"/>
      <c r="F40" s="144"/>
      <c r="G40" s="95"/>
      <c r="H40" s="96"/>
      <c r="I40" s="103"/>
      <c r="J40" s="95"/>
      <c r="K40" s="113"/>
      <c r="L40" s="113"/>
      <c r="M40" s="100"/>
      <c r="N40" s="101"/>
      <c r="O40" s="102"/>
      <c r="P40" s="95"/>
      <c r="Q40" s="114"/>
      <c r="R40" s="106"/>
      <c r="S40" s="103"/>
      <c r="T40" s="103"/>
      <c r="V40" s="107"/>
    </row>
    <row r="41" ht="15.75" customHeight="1">
      <c r="A41" s="89"/>
      <c r="B41" s="177"/>
      <c r="C41" s="97"/>
      <c r="D41" s="95"/>
      <c r="E41" s="96"/>
      <c r="F41" s="146"/>
      <c r="G41" s="95"/>
      <c r="H41" s="96"/>
      <c r="I41" s="103"/>
      <c r="J41" s="95"/>
      <c r="K41" s="99"/>
      <c r="L41" s="99"/>
      <c r="M41" s="100"/>
      <c r="N41" s="127"/>
      <c r="O41" s="128"/>
      <c r="P41" s="95"/>
      <c r="Q41" s="95"/>
      <c r="R41" s="129"/>
      <c r="S41" s="95"/>
      <c r="T41" s="95"/>
      <c r="V41" s="107"/>
    </row>
    <row r="42" ht="15.75" customHeight="1">
      <c r="A42" s="89"/>
      <c r="B42" s="177"/>
      <c r="C42" s="103"/>
      <c r="D42" s="95"/>
      <c r="E42" s="176"/>
      <c r="F42" s="96"/>
      <c r="G42" s="95"/>
      <c r="H42" s="96"/>
      <c r="I42" s="103"/>
      <c r="J42" s="95"/>
      <c r="K42" s="113"/>
      <c r="L42" s="113"/>
      <c r="M42" s="100"/>
      <c r="N42" s="101"/>
      <c r="O42" s="102"/>
      <c r="P42" s="95"/>
      <c r="Q42" s="114"/>
      <c r="R42" s="106"/>
      <c r="S42" s="103"/>
      <c r="T42" s="103"/>
      <c r="V42" s="107"/>
    </row>
    <row r="43" ht="15.75" customHeight="1">
      <c r="A43" s="89"/>
      <c r="B43" s="177"/>
      <c r="C43" s="103"/>
      <c r="D43" s="95"/>
      <c r="E43" s="176"/>
      <c r="F43" s="144"/>
      <c r="G43" s="95"/>
      <c r="H43" s="96"/>
      <c r="I43" s="103"/>
      <c r="J43" s="95"/>
      <c r="K43" s="99"/>
      <c r="L43" s="99"/>
      <c r="M43" s="100"/>
      <c r="N43" s="127"/>
      <c r="O43" s="128"/>
      <c r="P43" s="95"/>
      <c r="Q43" s="137"/>
      <c r="R43" s="129"/>
      <c r="S43" s="95"/>
      <c r="T43" s="95"/>
      <c r="V43" s="107"/>
    </row>
    <row r="44" ht="15.75" customHeight="1">
      <c r="A44" s="89"/>
      <c r="B44" s="177"/>
      <c r="C44" s="103"/>
      <c r="D44" s="95"/>
      <c r="E44" s="176"/>
      <c r="F44" s="144"/>
      <c r="G44" s="95"/>
      <c r="H44" s="96"/>
      <c r="I44" s="103"/>
      <c r="J44" s="95"/>
      <c r="K44" s="113"/>
      <c r="L44" s="113"/>
      <c r="M44" s="100"/>
      <c r="N44" s="127"/>
      <c r="O44" s="128"/>
      <c r="P44" s="95"/>
      <c r="Q44" s="95"/>
      <c r="R44" s="129"/>
      <c r="S44" s="95"/>
      <c r="T44" s="95"/>
      <c r="V44" s="107"/>
    </row>
    <row r="45" ht="15.75" customHeight="1">
      <c r="A45" s="89"/>
      <c r="B45" s="177"/>
      <c r="C45" s="97"/>
      <c r="D45" s="95"/>
      <c r="E45" s="176"/>
      <c r="F45" s="144"/>
      <c r="G45" s="95"/>
      <c r="H45" s="96"/>
      <c r="I45" s="103"/>
      <c r="J45" s="95"/>
      <c r="K45" s="99"/>
      <c r="L45" s="99"/>
      <c r="M45" s="100"/>
      <c r="N45" s="127"/>
      <c r="O45" s="128"/>
      <c r="P45" s="95"/>
      <c r="Q45" s="95"/>
      <c r="R45" s="129"/>
      <c r="S45" s="95"/>
      <c r="T45" s="95"/>
      <c r="V45" s="107"/>
    </row>
    <row r="46" ht="15.75" customHeight="1">
      <c r="A46" s="89"/>
      <c r="B46" s="177"/>
      <c r="C46" s="97"/>
      <c r="D46" s="95"/>
      <c r="E46" s="176"/>
      <c r="F46" s="144"/>
      <c r="G46" s="95"/>
      <c r="H46" s="96"/>
      <c r="I46" s="103"/>
      <c r="J46" s="95"/>
      <c r="K46" s="113"/>
      <c r="L46" s="113"/>
      <c r="M46" s="100"/>
      <c r="N46" s="127"/>
      <c r="O46" s="128"/>
      <c r="P46" s="95"/>
      <c r="Q46" s="95"/>
      <c r="R46" s="129"/>
      <c r="S46" s="95"/>
      <c r="T46" s="95"/>
      <c r="V46" s="107"/>
    </row>
    <row r="47" ht="15.75" customHeight="1">
      <c r="A47" s="89"/>
      <c r="B47" s="177"/>
      <c r="C47" s="97"/>
      <c r="D47" s="95"/>
      <c r="E47" s="176"/>
      <c r="F47" s="144"/>
      <c r="G47" s="95"/>
      <c r="H47" s="96"/>
      <c r="I47" s="103"/>
      <c r="J47" s="95"/>
      <c r="K47" s="99"/>
      <c r="L47" s="99"/>
      <c r="M47" s="100"/>
      <c r="N47" s="101"/>
      <c r="O47" s="102"/>
      <c r="P47" s="95"/>
      <c r="Q47" s="114"/>
      <c r="R47" s="115"/>
      <c r="S47" s="103"/>
      <c r="T47" s="103"/>
      <c r="V47" s="107"/>
    </row>
    <row r="48" ht="15.75" customHeight="1">
      <c r="A48" s="89"/>
      <c r="B48" s="177"/>
      <c r="C48" s="97"/>
      <c r="D48" s="95"/>
      <c r="E48" s="176"/>
      <c r="F48" s="144"/>
      <c r="G48" s="95"/>
      <c r="H48" s="96"/>
      <c r="I48" s="103"/>
      <c r="J48" s="95"/>
      <c r="K48" s="113"/>
      <c r="L48" s="113"/>
      <c r="M48" s="100"/>
      <c r="N48" s="101"/>
      <c r="O48" s="102"/>
      <c r="P48" s="95"/>
      <c r="Q48" s="135"/>
      <c r="R48" s="106"/>
      <c r="S48" s="103"/>
      <c r="T48" s="103"/>
      <c r="V48" s="107"/>
    </row>
    <row r="49" ht="15.75" customHeight="1">
      <c r="A49" s="89"/>
      <c r="B49" s="177"/>
      <c r="C49" s="97"/>
      <c r="D49" s="95"/>
      <c r="E49" s="176"/>
      <c r="F49" s="144"/>
      <c r="G49" s="95"/>
      <c r="H49" s="96"/>
      <c r="I49" s="103"/>
      <c r="J49" s="95"/>
      <c r="K49" s="99"/>
      <c r="L49" s="99"/>
      <c r="M49" s="100"/>
      <c r="N49" s="101"/>
      <c r="O49" s="102"/>
      <c r="P49" s="95"/>
      <c r="Q49" s="135"/>
      <c r="R49" s="106"/>
      <c r="S49" s="103"/>
      <c r="T49" s="103"/>
      <c r="V49" s="107"/>
    </row>
    <row r="50" ht="15.75" customHeight="1">
      <c r="A50" s="89"/>
      <c r="B50" s="177"/>
      <c r="C50" s="103"/>
      <c r="D50" s="95"/>
      <c r="E50" s="176"/>
      <c r="F50" s="146"/>
      <c r="G50" s="95"/>
      <c r="H50" s="96"/>
      <c r="I50" s="103"/>
      <c r="J50" s="95"/>
      <c r="K50" s="113"/>
      <c r="L50" s="113"/>
      <c r="M50" s="100"/>
      <c r="N50" s="127"/>
      <c r="O50" s="128"/>
      <c r="P50" s="95"/>
      <c r="Q50" s="95"/>
      <c r="R50" s="129"/>
      <c r="S50" s="95"/>
      <c r="T50" s="103"/>
      <c r="V50" s="107"/>
    </row>
    <row r="51" ht="15.75" customHeight="1">
      <c r="A51" s="89"/>
      <c r="B51" s="177"/>
      <c r="C51" s="103"/>
      <c r="D51" s="95"/>
      <c r="E51" s="176"/>
      <c r="F51" s="179"/>
      <c r="G51" s="95"/>
      <c r="H51" s="96"/>
      <c r="I51" s="103"/>
      <c r="J51" s="95"/>
      <c r="K51" s="99"/>
      <c r="L51" s="99"/>
      <c r="M51" s="100"/>
      <c r="N51" s="101"/>
      <c r="O51" s="102"/>
      <c r="P51" s="95"/>
      <c r="Q51" s="137"/>
      <c r="R51" s="129"/>
      <c r="S51" s="103"/>
      <c r="T51" s="103"/>
      <c r="V51" s="107"/>
    </row>
    <row r="52" ht="15.75" customHeight="1">
      <c r="A52" s="89"/>
      <c r="B52" s="177"/>
      <c r="C52" s="103"/>
      <c r="D52" s="95"/>
      <c r="E52" s="176"/>
      <c r="F52" s="144"/>
      <c r="G52" s="95"/>
      <c r="H52" s="96"/>
      <c r="I52" s="103"/>
      <c r="J52" s="95"/>
      <c r="K52" s="113"/>
      <c r="L52" s="113"/>
      <c r="M52" s="100"/>
      <c r="N52" s="127"/>
      <c r="O52" s="128"/>
      <c r="P52" s="95"/>
      <c r="Q52" s="137"/>
      <c r="R52" s="129"/>
      <c r="S52" s="95"/>
      <c r="T52" s="95"/>
      <c r="V52" s="107"/>
    </row>
    <row r="53" ht="15.75" customHeight="1">
      <c r="A53" s="89"/>
      <c r="B53" s="177"/>
      <c r="C53" s="97"/>
      <c r="D53" s="95"/>
      <c r="E53" s="176"/>
      <c r="F53" s="144"/>
      <c r="G53" s="95"/>
      <c r="H53" s="96"/>
      <c r="I53" s="103"/>
      <c r="J53" s="95"/>
      <c r="K53" s="99"/>
      <c r="L53" s="99"/>
      <c r="M53" s="100"/>
      <c r="N53" s="127"/>
      <c r="O53" s="128"/>
      <c r="P53" s="95"/>
      <c r="Q53" s="135"/>
      <c r="R53" s="106"/>
      <c r="S53" s="95"/>
      <c r="T53" s="103"/>
      <c r="V53" s="107"/>
    </row>
    <row r="54" ht="15.75" customHeight="1">
      <c r="A54" s="89"/>
      <c r="B54" s="177"/>
      <c r="C54" s="96"/>
      <c r="D54" s="95"/>
      <c r="E54" s="176"/>
      <c r="F54" s="144"/>
      <c r="G54" s="95"/>
      <c r="H54" s="96"/>
      <c r="I54" s="103"/>
      <c r="J54" s="95"/>
      <c r="K54" s="113"/>
      <c r="L54" s="113"/>
      <c r="M54" s="100"/>
      <c r="N54" s="101"/>
      <c r="O54" s="102"/>
      <c r="P54" s="95"/>
      <c r="Q54" s="135"/>
      <c r="R54" s="139"/>
      <c r="S54" s="103"/>
      <c r="T54" s="103"/>
      <c r="V54" s="107"/>
    </row>
    <row r="55" ht="15.75" customHeight="1">
      <c r="A55" s="89"/>
      <c r="B55" s="177"/>
      <c r="C55" s="96"/>
      <c r="D55" s="95"/>
      <c r="E55" s="176"/>
      <c r="F55" s="146"/>
      <c r="G55" s="95"/>
      <c r="H55" s="96"/>
      <c r="I55" s="103"/>
      <c r="J55" s="95"/>
      <c r="K55" s="99"/>
      <c r="L55" s="99"/>
      <c r="M55" s="100"/>
      <c r="N55" s="101"/>
      <c r="O55" s="102"/>
      <c r="P55" s="95"/>
      <c r="Q55" s="135"/>
      <c r="R55" s="106"/>
      <c r="S55" s="103"/>
      <c r="T55" s="103"/>
      <c r="V55" s="107"/>
    </row>
    <row r="56" ht="15.75" customHeight="1">
      <c r="A56" s="89"/>
      <c r="B56" s="177"/>
      <c r="C56" s="96"/>
      <c r="D56" s="95"/>
      <c r="E56" s="176"/>
      <c r="F56" s="144"/>
      <c r="G56" s="95"/>
      <c r="H56" s="96"/>
      <c r="I56" s="103"/>
      <c r="J56" s="95"/>
      <c r="K56" s="113"/>
      <c r="L56" s="113"/>
      <c r="M56" s="100"/>
      <c r="N56" s="127"/>
      <c r="O56" s="128"/>
      <c r="P56" s="95"/>
      <c r="Q56" s="114"/>
      <c r="R56" s="106"/>
      <c r="S56" s="95"/>
      <c r="T56" s="103"/>
      <c r="V56" s="107"/>
    </row>
    <row r="57" ht="15.75" customHeight="1">
      <c r="A57" s="89"/>
      <c r="B57" s="177"/>
      <c r="C57" s="96"/>
      <c r="D57" s="95"/>
      <c r="E57" s="176"/>
      <c r="F57" s="144"/>
      <c r="G57" s="95"/>
      <c r="H57" s="96"/>
      <c r="I57" s="103"/>
      <c r="J57" s="95"/>
      <c r="K57" s="99"/>
      <c r="L57" s="99"/>
      <c r="M57" s="100"/>
      <c r="N57" s="127"/>
      <c r="O57" s="128"/>
      <c r="P57" s="95"/>
      <c r="Q57" s="137"/>
      <c r="R57" s="129"/>
      <c r="S57" s="95"/>
      <c r="T57" s="103"/>
      <c r="V57" s="107"/>
    </row>
    <row r="58" ht="15.75" customHeight="1">
      <c r="A58" s="89"/>
      <c r="B58" s="177"/>
      <c r="C58" s="106"/>
      <c r="D58" s="95"/>
      <c r="E58" s="176"/>
      <c r="F58" s="144"/>
      <c r="G58" s="95"/>
      <c r="H58" s="96"/>
      <c r="I58" s="103"/>
      <c r="J58" s="95"/>
      <c r="K58" s="113"/>
      <c r="L58" s="113"/>
      <c r="M58" s="100"/>
      <c r="N58" s="101"/>
      <c r="O58" s="102"/>
      <c r="P58" s="95"/>
      <c r="Q58" s="114"/>
      <c r="R58" s="106"/>
      <c r="S58" s="103"/>
      <c r="T58" s="103"/>
      <c r="V58" s="107"/>
    </row>
    <row r="59" ht="15.75" customHeight="1">
      <c r="A59" s="89"/>
      <c r="B59" s="177"/>
      <c r="C59" s="106"/>
      <c r="D59" s="95"/>
      <c r="E59" s="176"/>
      <c r="F59" s="144"/>
      <c r="G59" s="95"/>
      <c r="H59" s="96"/>
      <c r="I59" s="103"/>
      <c r="J59" s="95"/>
      <c r="K59" s="99"/>
      <c r="L59" s="99"/>
      <c r="M59" s="100"/>
      <c r="N59" s="127"/>
      <c r="O59" s="128"/>
      <c r="P59" s="95"/>
      <c r="Q59" s="95"/>
      <c r="R59" s="129"/>
      <c r="S59" s="95"/>
      <c r="T59" s="95"/>
      <c r="V59" s="107"/>
    </row>
    <row r="60" ht="15.75" customHeight="1">
      <c r="A60" s="89"/>
      <c r="B60" s="177"/>
      <c r="C60" s="106"/>
      <c r="D60" s="95"/>
      <c r="E60" s="96"/>
      <c r="F60" s="144"/>
      <c r="G60" s="95"/>
      <c r="H60" s="96"/>
      <c r="I60" s="103"/>
      <c r="J60" s="95"/>
      <c r="K60" s="113"/>
      <c r="L60" s="113"/>
      <c r="M60" s="100"/>
      <c r="N60" s="127"/>
      <c r="O60" s="128"/>
      <c r="P60" s="95"/>
      <c r="Q60" s="114"/>
      <c r="R60" s="106"/>
      <c r="S60" s="95"/>
      <c r="T60" s="103"/>
      <c r="V60" s="107"/>
    </row>
    <row r="61" ht="15.75" customHeight="1">
      <c r="A61" s="89"/>
      <c r="B61" s="177"/>
      <c r="C61" s="96"/>
      <c r="D61" s="95"/>
      <c r="E61" s="176"/>
      <c r="F61" s="146"/>
      <c r="G61" s="95"/>
      <c r="H61" s="96"/>
      <c r="I61" s="103"/>
      <c r="J61" s="95"/>
      <c r="K61" s="99"/>
      <c r="L61" s="99"/>
      <c r="M61" s="100"/>
      <c r="N61" s="127"/>
      <c r="O61" s="128"/>
      <c r="P61" s="95"/>
      <c r="Q61" s="95"/>
      <c r="R61" s="129"/>
      <c r="S61" s="95"/>
      <c r="T61" s="95"/>
      <c r="V61" s="107"/>
    </row>
    <row r="62" ht="15.75" customHeight="1">
      <c r="A62" s="89"/>
      <c r="B62" s="177"/>
      <c r="C62" s="96"/>
      <c r="D62" s="95"/>
      <c r="E62" s="176"/>
      <c r="F62" s="144"/>
      <c r="G62" s="95"/>
      <c r="H62" s="96"/>
      <c r="I62" s="103"/>
      <c r="J62" s="95"/>
      <c r="K62" s="113"/>
      <c r="L62" s="113"/>
      <c r="M62" s="100"/>
      <c r="N62" s="127"/>
      <c r="O62" s="128"/>
      <c r="P62" s="95"/>
      <c r="Q62" s="95"/>
      <c r="R62" s="129"/>
      <c r="S62" s="95"/>
      <c r="T62" s="95"/>
      <c r="V62" s="107"/>
    </row>
    <row r="63" ht="15.75" customHeight="1">
      <c r="A63" s="89"/>
      <c r="B63" s="177"/>
      <c r="C63" s="140"/>
      <c r="D63" s="95"/>
      <c r="E63" s="176"/>
      <c r="F63" s="146"/>
      <c r="G63" s="95"/>
      <c r="H63" s="96"/>
      <c r="I63" s="103"/>
      <c r="J63" s="95"/>
      <c r="K63" s="99"/>
      <c r="L63" s="99"/>
      <c r="M63" s="100"/>
      <c r="N63" s="127"/>
      <c r="O63" s="128"/>
      <c r="P63" s="95"/>
      <c r="Q63" s="95"/>
      <c r="R63" s="129"/>
      <c r="S63" s="95"/>
      <c r="T63" s="95"/>
      <c r="V63" s="107"/>
    </row>
    <row r="64" ht="15.75" customHeight="1">
      <c r="A64" s="89"/>
      <c r="B64" s="177"/>
      <c r="C64" s="141"/>
      <c r="D64" s="95"/>
      <c r="E64" s="176"/>
      <c r="F64" s="144"/>
      <c r="G64" s="95"/>
      <c r="H64" s="96"/>
      <c r="I64" s="103"/>
      <c r="J64" s="95"/>
      <c r="K64" s="113"/>
      <c r="L64" s="113"/>
      <c r="M64" s="100"/>
      <c r="N64" s="101"/>
      <c r="O64" s="102"/>
      <c r="P64" s="95"/>
      <c r="Q64" s="114"/>
      <c r="R64" s="115"/>
      <c r="S64" s="103"/>
      <c r="T64" s="103"/>
      <c r="V64" s="107"/>
    </row>
    <row r="65" ht="15.75" customHeight="1">
      <c r="A65" s="89"/>
      <c r="B65" s="177"/>
      <c r="C65" s="97"/>
      <c r="D65" s="95"/>
      <c r="E65" s="176"/>
      <c r="F65" s="144"/>
      <c r="G65" s="95"/>
      <c r="H65" s="96"/>
      <c r="I65" s="103"/>
      <c r="J65" s="95"/>
      <c r="K65" s="99"/>
      <c r="L65" s="99"/>
      <c r="M65" s="100"/>
      <c r="N65" s="101"/>
      <c r="O65" s="102"/>
      <c r="P65" s="95"/>
      <c r="Q65" s="135"/>
      <c r="R65" s="115"/>
      <c r="S65" s="103"/>
      <c r="T65" s="103"/>
      <c r="V65" s="107"/>
    </row>
    <row r="66" ht="15.75" customHeight="1">
      <c r="A66" s="89"/>
      <c r="B66" s="177"/>
      <c r="C66" s="106"/>
      <c r="D66" s="95"/>
      <c r="E66" s="176"/>
      <c r="F66" s="144"/>
      <c r="G66" s="95"/>
      <c r="H66" s="96"/>
      <c r="I66" s="103"/>
      <c r="J66" s="95"/>
      <c r="K66" s="113"/>
      <c r="L66" s="113"/>
      <c r="M66" s="100"/>
      <c r="N66" s="127"/>
      <c r="O66" s="128"/>
      <c r="P66" s="95"/>
      <c r="Q66" s="95"/>
      <c r="R66" s="129"/>
      <c r="S66" s="95"/>
      <c r="T66" s="95"/>
      <c r="V66" s="107"/>
    </row>
    <row r="67" ht="15.75" customHeight="1">
      <c r="A67" s="89"/>
      <c r="B67" s="177"/>
      <c r="C67" s="106"/>
      <c r="D67" s="95"/>
      <c r="E67" s="96"/>
      <c r="F67" s="144"/>
      <c r="G67" s="95"/>
      <c r="H67" s="96"/>
      <c r="I67" s="103"/>
      <c r="J67" s="95"/>
      <c r="K67" s="99"/>
      <c r="L67" s="99"/>
      <c r="M67" s="100"/>
      <c r="N67" s="127"/>
      <c r="O67" s="128"/>
      <c r="P67" s="95"/>
      <c r="Q67" s="135"/>
      <c r="R67" s="106"/>
      <c r="S67" s="103"/>
      <c r="T67" s="103"/>
      <c r="V67" s="107"/>
    </row>
    <row r="68" ht="15.75" customHeight="1">
      <c r="A68" s="89"/>
      <c r="B68" s="177"/>
      <c r="C68" s="106"/>
      <c r="D68" s="95"/>
      <c r="E68" s="96"/>
      <c r="F68" s="144"/>
      <c r="G68" s="95"/>
      <c r="H68" s="96"/>
      <c r="I68" s="103"/>
      <c r="J68" s="95"/>
      <c r="K68" s="113"/>
      <c r="L68" s="113"/>
      <c r="M68" s="100"/>
      <c r="N68" s="127"/>
      <c r="O68" s="128"/>
      <c r="P68" s="95"/>
      <c r="Q68" s="135"/>
      <c r="R68" s="129"/>
      <c r="S68" s="95"/>
      <c r="T68" s="103"/>
      <c r="V68" s="107"/>
    </row>
    <row r="69" ht="15.75" customHeight="1">
      <c r="A69" s="89"/>
      <c r="B69" s="177"/>
      <c r="C69" s="96"/>
      <c r="D69" s="95"/>
      <c r="E69" s="96"/>
      <c r="F69" s="146"/>
      <c r="G69" s="95"/>
      <c r="H69" s="96"/>
      <c r="I69" s="103"/>
      <c r="J69" s="95"/>
      <c r="K69" s="99"/>
      <c r="L69" s="99"/>
      <c r="M69" s="100"/>
      <c r="N69" s="127"/>
      <c r="O69" s="128"/>
      <c r="P69" s="95"/>
      <c r="Q69" s="114"/>
      <c r="R69" s="106"/>
      <c r="S69" s="103"/>
      <c r="T69" s="103"/>
      <c r="V69" s="107"/>
    </row>
    <row r="70" ht="15.75" customHeight="1">
      <c r="A70" s="89"/>
      <c r="B70" s="177"/>
      <c r="C70" s="96"/>
      <c r="D70" s="95"/>
      <c r="E70" s="96"/>
      <c r="F70" s="144"/>
      <c r="G70" s="95"/>
      <c r="H70" s="96"/>
      <c r="I70" s="103"/>
      <c r="J70" s="95"/>
      <c r="K70" s="113"/>
      <c r="L70" s="113"/>
      <c r="M70" s="100"/>
      <c r="N70" s="127"/>
      <c r="O70" s="128"/>
      <c r="P70" s="95"/>
      <c r="Q70" s="137"/>
      <c r="R70" s="129"/>
      <c r="S70" s="95"/>
      <c r="T70" s="95"/>
      <c r="V70" s="107"/>
    </row>
    <row r="71" ht="15.75" customHeight="1">
      <c r="A71" s="89"/>
      <c r="B71" s="177"/>
      <c r="C71" s="96"/>
      <c r="D71" s="95"/>
      <c r="E71" s="96"/>
      <c r="F71" s="144"/>
      <c r="G71" s="95"/>
      <c r="H71" s="96"/>
      <c r="I71" s="103"/>
      <c r="J71" s="95"/>
      <c r="K71" s="99"/>
      <c r="L71" s="99"/>
      <c r="M71" s="100"/>
      <c r="N71" s="127"/>
      <c r="O71" s="128"/>
      <c r="P71" s="95"/>
      <c r="Q71" s="135"/>
      <c r="R71" s="106"/>
      <c r="S71" s="103"/>
      <c r="T71" s="103"/>
      <c r="V71" s="107"/>
    </row>
    <row r="72" ht="15.75" customHeight="1">
      <c r="A72" s="89"/>
      <c r="B72" s="177"/>
      <c r="C72" s="96"/>
      <c r="D72" s="95"/>
      <c r="E72" s="176"/>
      <c r="F72" s="144"/>
      <c r="G72" s="95"/>
      <c r="H72" s="96"/>
      <c r="I72" s="103"/>
      <c r="J72" s="95"/>
      <c r="K72" s="113"/>
      <c r="L72" s="113"/>
      <c r="M72" s="100"/>
      <c r="N72" s="101"/>
      <c r="O72" s="128"/>
      <c r="P72" s="95"/>
      <c r="Q72" s="135"/>
      <c r="R72" s="106"/>
      <c r="S72" s="103"/>
      <c r="T72" s="103"/>
      <c r="V72" s="107"/>
    </row>
    <row r="73" ht="15.75" customHeight="1">
      <c r="A73" s="89"/>
      <c r="B73" s="177"/>
      <c r="C73" s="96"/>
      <c r="D73" s="95"/>
      <c r="E73" s="176"/>
      <c r="F73" s="146"/>
      <c r="G73" s="95"/>
      <c r="H73" s="96"/>
      <c r="I73" s="103"/>
      <c r="J73" s="95"/>
      <c r="K73" s="99"/>
      <c r="L73" s="99"/>
      <c r="M73" s="100"/>
      <c r="N73" s="101"/>
      <c r="O73" s="128"/>
      <c r="P73" s="95"/>
      <c r="Q73" s="114"/>
      <c r="R73" s="106"/>
      <c r="S73" s="103"/>
      <c r="T73" s="103"/>
      <c r="V73" s="107"/>
    </row>
    <row r="74" ht="15.75" customHeight="1">
      <c r="A74" s="89"/>
      <c r="B74" s="177"/>
      <c r="C74" s="106"/>
      <c r="D74" s="95"/>
      <c r="E74" s="176"/>
      <c r="F74" s="144"/>
      <c r="G74" s="95"/>
      <c r="H74" s="96"/>
      <c r="I74" s="103"/>
      <c r="J74" s="95"/>
      <c r="K74" s="113"/>
      <c r="L74" s="113"/>
      <c r="M74" s="100"/>
      <c r="N74" s="101"/>
      <c r="O74" s="128"/>
      <c r="P74" s="95"/>
      <c r="Q74" s="114"/>
      <c r="R74" s="106"/>
      <c r="S74" s="103"/>
      <c r="T74" s="103"/>
      <c r="V74" s="107"/>
    </row>
    <row r="75" ht="15.75" customHeight="1">
      <c r="A75" s="89"/>
      <c r="B75" s="177"/>
      <c r="C75" s="106"/>
      <c r="D75" s="95"/>
      <c r="E75" s="176"/>
      <c r="F75" s="144"/>
      <c r="G75" s="95"/>
      <c r="H75" s="96"/>
      <c r="I75" s="103"/>
      <c r="J75" s="95"/>
      <c r="K75" s="99"/>
      <c r="L75" s="99"/>
      <c r="M75" s="100"/>
      <c r="N75" s="127"/>
      <c r="O75" s="128"/>
      <c r="P75" s="95"/>
      <c r="Q75" s="137"/>
      <c r="R75" s="129"/>
      <c r="S75" s="95"/>
      <c r="T75" s="95"/>
      <c r="V75" s="107"/>
    </row>
    <row r="76" ht="15.75" customHeight="1">
      <c r="A76" s="89"/>
      <c r="B76" s="177"/>
      <c r="C76" s="96"/>
      <c r="D76" s="95"/>
      <c r="E76" s="176"/>
      <c r="F76" s="144"/>
      <c r="G76" s="95"/>
      <c r="H76" s="96"/>
      <c r="I76" s="103"/>
      <c r="J76" s="95"/>
      <c r="K76" s="113"/>
      <c r="L76" s="113"/>
      <c r="M76" s="100"/>
      <c r="N76" s="101"/>
      <c r="O76" s="128"/>
      <c r="P76" s="95"/>
      <c r="Q76" s="114"/>
      <c r="R76" s="106"/>
      <c r="S76" s="103"/>
      <c r="T76" s="103"/>
      <c r="V76" s="107"/>
    </row>
    <row r="77" ht="15.75" customHeight="1">
      <c r="A77" s="89"/>
      <c r="B77" s="177"/>
      <c r="C77" s="96"/>
      <c r="D77" s="95"/>
      <c r="E77" s="96"/>
      <c r="F77" s="144"/>
      <c r="G77" s="95"/>
      <c r="H77" s="96"/>
      <c r="I77" s="103"/>
      <c r="J77" s="95"/>
      <c r="K77" s="99"/>
      <c r="L77" s="99"/>
      <c r="M77" s="100"/>
      <c r="N77" s="127"/>
      <c r="O77" s="128"/>
      <c r="P77" s="95"/>
      <c r="Q77" s="137"/>
      <c r="R77" s="129"/>
      <c r="S77" s="95"/>
      <c r="T77" s="95"/>
      <c r="V77" s="107"/>
    </row>
    <row r="78" ht="15.75" customHeight="1">
      <c r="A78" s="89"/>
      <c r="B78" s="177"/>
      <c r="C78" s="96"/>
      <c r="D78" s="95"/>
      <c r="E78" s="176"/>
      <c r="F78" s="144"/>
      <c r="G78" s="95"/>
      <c r="H78" s="96"/>
      <c r="I78" s="103"/>
      <c r="J78" s="95"/>
      <c r="K78" s="113"/>
      <c r="L78" s="113"/>
      <c r="M78" s="100"/>
      <c r="N78" s="101"/>
      <c r="O78" s="128"/>
      <c r="P78" s="95"/>
      <c r="Q78" s="114"/>
      <c r="R78" s="106"/>
      <c r="S78" s="103"/>
      <c r="T78" s="103"/>
      <c r="V78" s="107"/>
    </row>
    <row r="79" ht="15.75" customHeight="1">
      <c r="A79" s="89"/>
      <c r="B79" s="177"/>
      <c r="C79" s="96"/>
      <c r="D79" s="95"/>
      <c r="E79" s="176"/>
      <c r="F79" s="144"/>
      <c r="G79" s="95"/>
      <c r="H79" s="96"/>
      <c r="I79" s="103"/>
      <c r="J79" s="95"/>
      <c r="K79" s="99"/>
      <c r="L79" s="99"/>
      <c r="M79" s="100"/>
      <c r="N79" s="127"/>
      <c r="O79" s="128"/>
      <c r="P79" s="95"/>
      <c r="Q79" s="137"/>
      <c r="R79" s="129"/>
      <c r="S79" s="95"/>
      <c r="T79" s="95"/>
      <c r="V79" s="107"/>
    </row>
    <row r="80" ht="15.75" customHeight="1">
      <c r="A80" s="89"/>
      <c r="B80" s="177"/>
      <c r="C80" s="96"/>
      <c r="D80" s="95"/>
      <c r="E80" s="176"/>
      <c r="F80" s="144"/>
      <c r="G80" s="95"/>
      <c r="H80" s="96"/>
      <c r="I80" s="103"/>
      <c r="J80" s="95"/>
      <c r="K80" s="113"/>
      <c r="L80" s="113"/>
      <c r="M80" s="100"/>
      <c r="N80" s="101"/>
      <c r="O80" s="102"/>
      <c r="P80" s="95"/>
      <c r="Q80" s="135"/>
      <c r="R80" s="106"/>
      <c r="S80" s="103"/>
      <c r="T80" s="103"/>
      <c r="V80" s="107"/>
    </row>
    <row r="81" ht="15.75" customHeight="1">
      <c r="A81" s="89"/>
      <c r="B81" s="177"/>
      <c r="C81" s="106"/>
      <c r="D81" s="95"/>
      <c r="E81" s="176"/>
      <c r="F81" s="144"/>
      <c r="G81" s="95"/>
      <c r="H81" s="96"/>
      <c r="I81" s="103"/>
      <c r="J81" s="95"/>
      <c r="K81" s="99"/>
      <c r="L81" s="99"/>
      <c r="M81" s="100"/>
      <c r="N81" s="101"/>
      <c r="O81" s="102"/>
      <c r="P81" s="95"/>
      <c r="Q81" s="114"/>
      <c r="R81" s="142"/>
      <c r="S81" s="103"/>
      <c r="T81" s="103"/>
      <c r="V81" s="107"/>
    </row>
    <row r="82" ht="15.75" customHeight="1">
      <c r="A82" s="89"/>
      <c r="B82" s="177"/>
      <c r="C82" s="106"/>
      <c r="D82" s="95"/>
      <c r="E82" s="176"/>
      <c r="F82" s="144"/>
      <c r="G82" s="95"/>
      <c r="H82" s="96"/>
      <c r="I82" s="103"/>
      <c r="J82" s="95"/>
      <c r="K82" s="113"/>
      <c r="L82" s="113"/>
      <c r="M82" s="100"/>
      <c r="N82" s="101"/>
      <c r="O82" s="102"/>
      <c r="P82" s="95"/>
      <c r="Q82" s="114"/>
      <c r="R82" s="106"/>
      <c r="S82" s="103"/>
      <c r="T82" s="103"/>
      <c r="V82" s="107"/>
    </row>
    <row r="83" ht="15.75" customHeight="1">
      <c r="A83" s="89"/>
      <c r="B83" s="177"/>
      <c r="C83" s="96"/>
      <c r="D83" s="95"/>
      <c r="E83" s="176"/>
      <c r="F83" s="144"/>
      <c r="G83" s="95"/>
      <c r="H83" s="96"/>
      <c r="I83" s="103"/>
      <c r="J83" s="95"/>
      <c r="K83" s="99"/>
      <c r="L83" s="99"/>
      <c r="M83" s="100"/>
      <c r="N83" s="127"/>
      <c r="O83" s="128"/>
      <c r="P83" s="95"/>
      <c r="Q83" s="137"/>
      <c r="R83" s="129"/>
      <c r="S83" s="95"/>
      <c r="T83" s="95"/>
      <c r="V83" s="107"/>
    </row>
    <row r="84" ht="15.75" customHeight="1">
      <c r="A84" s="89"/>
      <c r="B84" s="177"/>
      <c r="C84" s="96"/>
      <c r="D84" s="95"/>
      <c r="E84" s="176"/>
      <c r="F84" s="144"/>
      <c r="G84" s="95"/>
      <c r="H84" s="96"/>
      <c r="I84" s="103"/>
      <c r="J84" s="95"/>
      <c r="K84" s="113"/>
      <c r="L84" s="113"/>
      <c r="M84" s="100"/>
      <c r="N84" s="127"/>
      <c r="O84" s="128"/>
      <c r="P84" s="95"/>
      <c r="Q84" s="95"/>
      <c r="R84" s="129"/>
      <c r="S84" s="95"/>
      <c r="T84" s="95"/>
      <c r="V84" s="107"/>
    </row>
    <row r="85" ht="15.75" customHeight="1">
      <c r="A85" s="89"/>
      <c r="B85" s="177"/>
      <c r="C85" s="143"/>
      <c r="D85" s="95"/>
      <c r="E85" s="176"/>
      <c r="F85" s="144"/>
      <c r="G85" s="95"/>
      <c r="H85" s="96"/>
      <c r="I85" s="103"/>
      <c r="J85" s="95"/>
      <c r="K85" s="99"/>
      <c r="L85" s="99"/>
      <c r="M85" s="100"/>
      <c r="N85" s="127"/>
      <c r="O85" s="128"/>
      <c r="P85" s="95"/>
      <c r="Q85" s="137"/>
      <c r="R85" s="129"/>
      <c r="S85" s="95"/>
      <c r="T85" s="95"/>
      <c r="V85" s="107"/>
    </row>
    <row r="86" ht="15.75" customHeight="1">
      <c r="A86" s="89"/>
      <c r="B86" s="177"/>
      <c r="C86" s="97"/>
      <c r="D86" s="95"/>
      <c r="E86" s="176"/>
      <c r="F86" s="144"/>
      <c r="G86" s="95"/>
      <c r="H86" s="96"/>
      <c r="I86" s="103"/>
      <c r="J86" s="95"/>
      <c r="K86" s="113"/>
      <c r="L86" s="113"/>
      <c r="M86" s="100"/>
      <c r="N86" s="101"/>
      <c r="O86" s="102"/>
      <c r="P86" s="95"/>
      <c r="Q86" s="135"/>
      <c r="R86" s="115"/>
      <c r="S86" s="103"/>
      <c r="T86" s="103"/>
      <c r="V86" s="107"/>
    </row>
    <row r="87" ht="15.75" customHeight="1">
      <c r="A87" s="89"/>
      <c r="B87" s="177"/>
      <c r="C87" s="96"/>
      <c r="D87" s="95"/>
      <c r="E87" s="176"/>
      <c r="F87" s="144"/>
      <c r="G87" s="95"/>
      <c r="H87" s="96"/>
      <c r="I87" s="103"/>
      <c r="J87" s="95"/>
      <c r="K87" s="99"/>
      <c r="L87" s="99"/>
      <c r="M87" s="100"/>
      <c r="N87" s="127"/>
      <c r="O87" s="102"/>
      <c r="P87" s="95"/>
      <c r="Q87" s="137"/>
      <c r="R87" s="106"/>
      <c r="S87" s="103"/>
      <c r="T87" s="103"/>
      <c r="V87" s="107"/>
    </row>
    <row r="88" ht="15.75" customHeight="1">
      <c r="A88" s="89"/>
      <c r="B88" s="177"/>
      <c r="C88" s="96"/>
      <c r="D88" s="95"/>
      <c r="E88" s="176"/>
      <c r="F88" s="144"/>
      <c r="G88" s="95"/>
      <c r="H88" s="96"/>
      <c r="I88" s="103"/>
      <c r="J88" s="95"/>
      <c r="K88" s="113"/>
      <c r="L88" s="113"/>
      <c r="M88" s="100"/>
      <c r="N88" s="101"/>
      <c r="O88" s="102"/>
      <c r="P88" s="95"/>
      <c r="Q88" s="114"/>
      <c r="R88" s="106"/>
      <c r="S88" s="103"/>
      <c r="T88" s="103"/>
      <c r="V88" s="107"/>
    </row>
    <row r="89" ht="15.75" customHeight="1">
      <c r="A89" s="89"/>
      <c r="B89" s="177"/>
      <c r="C89" s="96"/>
      <c r="D89" s="95"/>
      <c r="E89" s="176"/>
      <c r="F89" s="144"/>
      <c r="G89" s="95"/>
      <c r="H89" s="96"/>
      <c r="I89" s="103"/>
      <c r="J89" s="95"/>
      <c r="K89" s="99"/>
      <c r="L89" s="99"/>
      <c r="M89" s="100"/>
      <c r="N89" s="127"/>
      <c r="O89" s="128"/>
      <c r="P89" s="95"/>
      <c r="Q89" s="95"/>
      <c r="R89" s="129"/>
      <c r="S89" s="95"/>
      <c r="T89" s="95"/>
      <c r="V89" s="107"/>
    </row>
    <row r="90" ht="15.75" customHeight="1">
      <c r="A90" s="89"/>
      <c r="B90" s="177"/>
      <c r="C90" s="144"/>
      <c r="D90" s="95"/>
      <c r="E90" s="176"/>
      <c r="F90" s="180"/>
      <c r="G90" s="95"/>
      <c r="H90" s="96"/>
      <c r="I90" s="103"/>
      <c r="J90" s="95"/>
      <c r="K90" s="113"/>
      <c r="L90" s="113"/>
      <c r="M90" s="100"/>
      <c r="N90" s="101"/>
      <c r="O90" s="102"/>
      <c r="P90" s="95"/>
      <c r="Q90" s="103"/>
      <c r="R90" s="106"/>
      <c r="S90" s="103"/>
      <c r="T90" s="103"/>
      <c r="V90" s="107"/>
    </row>
    <row r="91" ht="15.75" customHeight="1">
      <c r="A91" s="89"/>
      <c r="B91" s="177"/>
      <c r="C91" s="146"/>
      <c r="D91" s="95"/>
      <c r="E91" s="176"/>
      <c r="F91" s="144"/>
      <c r="G91" s="95"/>
      <c r="H91" s="96"/>
      <c r="I91" s="103"/>
      <c r="J91" s="95"/>
      <c r="K91" s="99"/>
      <c r="L91" s="99"/>
      <c r="M91" s="100"/>
      <c r="N91" s="127"/>
      <c r="O91" s="128"/>
      <c r="P91" s="95"/>
      <c r="Q91" s="95"/>
      <c r="R91" s="129"/>
      <c r="S91" s="95"/>
      <c r="T91" s="95"/>
      <c r="V91" s="107"/>
    </row>
    <row r="92" ht="15.75" customHeight="1">
      <c r="A92" s="89"/>
      <c r="B92" s="177"/>
      <c r="C92" s="144"/>
      <c r="D92" s="95"/>
      <c r="E92" s="176"/>
      <c r="F92" s="144"/>
      <c r="G92" s="95"/>
      <c r="H92" s="96"/>
      <c r="I92" s="103"/>
      <c r="J92" s="95"/>
      <c r="K92" s="113"/>
      <c r="L92" s="113"/>
      <c r="M92" s="100"/>
      <c r="N92" s="101"/>
      <c r="O92" s="102"/>
      <c r="P92" s="95"/>
      <c r="Q92" s="135"/>
      <c r="R92" s="106"/>
      <c r="S92" s="103"/>
      <c r="T92" s="103"/>
      <c r="V92" s="107"/>
    </row>
    <row r="93" ht="15.75" customHeight="1">
      <c r="A93" s="89"/>
      <c r="B93" s="177"/>
      <c r="C93" s="146"/>
      <c r="D93" s="95"/>
      <c r="E93" s="144"/>
      <c r="F93" s="144"/>
      <c r="G93" s="95"/>
      <c r="H93" s="96"/>
      <c r="I93" s="103"/>
      <c r="J93" s="95"/>
      <c r="K93" s="99"/>
      <c r="L93" s="99"/>
      <c r="M93" s="100"/>
      <c r="N93" s="127"/>
      <c r="O93" s="128"/>
      <c r="P93" s="95"/>
      <c r="Q93" s="137"/>
      <c r="R93" s="129"/>
      <c r="S93" s="95"/>
      <c r="T93" s="95"/>
      <c r="V93" s="107"/>
    </row>
    <row r="94" ht="15.75" customHeight="1">
      <c r="A94" s="89"/>
      <c r="B94" s="177"/>
      <c r="C94" s="96"/>
      <c r="D94" s="95"/>
      <c r="E94" s="176"/>
      <c r="F94" s="144"/>
      <c r="G94" s="95"/>
      <c r="H94" s="96"/>
      <c r="I94" s="103"/>
      <c r="J94" s="95"/>
      <c r="K94" s="113"/>
      <c r="L94" s="113"/>
      <c r="M94" s="100"/>
      <c r="N94" s="127"/>
      <c r="O94" s="128"/>
      <c r="P94" s="95"/>
      <c r="Q94" s="95"/>
      <c r="R94" s="129"/>
      <c r="S94" s="95"/>
      <c r="T94" s="95"/>
      <c r="V94" s="107"/>
    </row>
    <row r="95" ht="15.75" customHeight="1">
      <c r="A95" s="89"/>
      <c r="B95" s="177"/>
      <c r="C95" s="96"/>
      <c r="D95" s="95"/>
      <c r="E95" s="176"/>
      <c r="F95" s="144"/>
      <c r="G95" s="95"/>
      <c r="H95" s="96"/>
      <c r="I95" s="103"/>
      <c r="J95" s="95"/>
      <c r="K95" s="99"/>
      <c r="L95" s="99"/>
      <c r="M95" s="100"/>
      <c r="N95" s="101"/>
      <c r="O95" s="102"/>
      <c r="P95" s="95"/>
      <c r="Q95" s="114"/>
      <c r="R95" s="106"/>
      <c r="S95" s="103"/>
      <c r="T95" s="103"/>
      <c r="V95" s="107"/>
    </row>
    <row r="96" ht="15.75" customHeight="1">
      <c r="A96" s="89"/>
      <c r="B96" s="177"/>
      <c r="C96" s="96"/>
      <c r="D96" s="95"/>
      <c r="E96" s="176"/>
      <c r="F96" s="144"/>
      <c r="G96" s="95"/>
      <c r="H96" s="96"/>
      <c r="I96" s="103"/>
      <c r="J96" s="95"/>
      <c r="K96" s="113"/>
      <c r="L96" s="113"/>
      <c r="M96" s="100"/>
      <c r="N96" s="127"/>
      <c r="O96" s="128"/>
      <c r="P96" s="95"/>
      <c r="Q96" s="95"/>
      <c r="R96" s="129"/>
      <c r="S96" s="95"/>
      <c r="T96" s="95"/>
      <c r="V96" s="107"/>
    </row>
    <row r="97" ht="15.75" customHeight="1">
      <c r="A97" s="89"/>
      <c r="B97" s="177"/>
      <c r="C97" s="96"/>
      <c r="D97" s="95"/>
      <c r="E97" s="181"/>
      <c r="F97" s="144"/>
      <c r="G97" s="95"/>
      <c r="H97" s="96"/>
      <c r="I97" s="103"/>
      <c r="J97" s="95"/>
      <c r="K97" s="99"/>
      <c r="L97" s="99"/>
      <c r="M97" s="100"/>
      <c r="N97" s="127"/>
      <c r="O97" s="128"/>
      <c r="P97" s="95"/>
      <c r="Q97" s="137"/>
      <c r="R97" s="129"/>
      <c r="S97" s="95"/>
      <c r="T97" s="95"/>
      <c r="V97" s="107"/>
    </row>
    <row r="98" ht="15.75" customHeight="1">
      <c r="A98" s="89"/>
      <c r="B98" s="177"/>
      <c r="C98" s="106"/>
      <c r="D98" s="95"/>
      <c r="E98" s="176"/>
      <c r="F98" s="144"/>
      <c r="G98" s="95"/>
      <c r="H98" s="96"/>
      <c r="I98" s="103"/>
      <c r="J98" s="95"/>
      <c r="K98" s="113"/>
      <c r="L98" s="113"/>
      <c r="M98" s="100"/>
      <c r="N98" s="127"/>
      <c r="O98" s="128"/>
      <c r="P98" s="95"/>
      <c r="Q98" s="135"/>
      <c r="R98" s="106"/>
      <c r="S98" s="95"/>
      <c r="T98" s="103"/>
      <c r="V98" s="107"/>
    </row>
    <row r="99" ht="15.75" customHeight="1">
      <c r="A99" s="89"/>
      <c r="B99" s="177"/>
      <c r="C99" s="106"/>
      <c r="D99" s="95"/>
      <c r="E99" s="176"/>
      <c r="F99" s="144"/>
      <c r="G99" s="95"/>
      <c r="H99" s="96"/>
      <c r="I99" s="103"/>
      <c r="J99" s="95"/>
      <c r="K99" s="99"/>
      <c r="L99" s="99"/>
      <c r="M99" s="100"/>
      <c r="N99" s="127"/>
      <c r="O99" s="128"/>
      <c r="P99" s="95"/>
      <c r="Q99" s="135"/>
      <c r="R99" s="106"/>
      <c r="S99" s="95"/>
      <c r="T99" s="103"/>
      <c r="V99" s="107"/>
    </row>
    <row r="100" ht="15.75" customHeight="1">
      <c r="A100" s="89"/>
      <c r="B100" s="177"/>
      <c r="C100" s="96"/>
      <c r="D100" s="95"/>
      <c r="E100" s="96"/>
      <c r="F100" s="146"/>
      <c r="G100" s="95"/>
      <c r="H100" s="96"/>
      <c r="I100" s="103"/>
      <c r="J100" s="95"/>
      <c r="K100" s="113"/>
      <c r="L100" s="113"/>
      <c r="M100" s="100"/>
      <c r="N100" s="127"/>
      <c r="O100" s="128"/>
      <c r="P100" s="95"/>
      <c r="Q100" s="137"/>
      <c r="R100" s="129"/>
      <c r="S100" s="95"/>
      <c r="T100" s="95"/>
      <c r="V100" s="107"/>
    </row>
    <row r="101" ht="15.75" customHeight="1">
      <c r="A101" s="89"/>
      <c r="B101" s="177"/>
      <c r="C101" s="96"/>
      <c r="D101" s="95"/>
      <c r="E101" s="176"/>
      <c r="F101" s="144"/>
      <c r="G101" s="95"/>
      <c r="H101" s="96"/>
      <c r="I101" s="103"/>
      <c r="J101" s="95"/>
      <c r="K101" s="99"/>
      <c r="L101" s="99"/>
      <c r="M101" s="100"/>
      <c r="N101" s="127"/>
      <c r="O101" s="128"/>
      <c r="P101" s="95"/>
      <c r="Q101" s="95"/>
      <c r="R101" s="129"/>
      <c r="S101" s="95"/>
      <c r="T101" s="95"/>
      <c r="V101" s="107"/>
    </row>
    <row r="102" ht="15.75" customHeight="1">
      <c r="A102" s="89"/>
      <c r="B102" s="177"/>
      <c r="C102" s="96"/>
      <c r="D102" s="95"/>
      <c r="E102" s="176"/>
      <c r="F102" s="144"/>
      <c r="G102" s="95"/>
      <c r="H102" s="96"/>
      <c r="I102" s="103"/>
      <c r="J102" s="95"/>
      <c r="K102" s="113"/>
      <c r="L102" s="113"/>
      <c r="M102" s="100"/>
      <c r="N102" s="101"/>
      <c r="O102" s="102"/>
      <c r="P102" s="95"/>
      <c r="Q102" s="114"/>
      <c r="R102" s="115"/>
      <c r="S102" s="103"/>
      <c r="T102" s="103"/>
      <c r="V102" s="107"/>
    </row>
    <row r="103" ht="15.75" customHeight="1">
      <c r="A103" s="89"/>
      <c r="B103" s="182"/>
      <c r="C103" s="149"/>
      <c r="D103" s="95"/>
      <c r="E103" s="149"/>
      <c r="F103" s="180"/>
      <c r="G103" s="95"/>
      <c r="H103" s="96"/>
      <c r="I103" s="103"/>
      <c r="J103" s="95"/>
      <c r="K103" s="99"/>
      <c r="L103" s="99"/>
      <c r="M103" s="100"/>
      <c r="N103" s="101"/>
      <c r="O103" s="128"/>
      <c r="P103" s="95"/>
      <c r="Q103" s="137"/>
      <c r="R103" s="129"/>
      <c r="S103" s="103"/>
      <c r="T103" s="95"/>
      <c r="V103" s="107"/>
    </row>
    <row r="104" ht="15.75" customHeight="1">
      <c r="A104" s="89"/>
      <c r="B104" s="182"/>
      <c r="C104" s="149"/>
      <c r="D104" s="95"/>
      <c r="E104" s="149"/>
      <c r="F104" s="149"/>
      <c r="G104" s="95"/>
      <c r="H104" s="96"/>
      <c r="I104" s="103"/>
      <c r="J104" s="95"/>
      <c r="K104" s="113"/>
      <c r="L104" s="113"/>
      <c r="M104" s="100"/>
      <c r="N104" s="101"/>
      <c r="O104" s="128"/>
      <c r="P104" s="95"/>
      <c r="Q104" s="95"/>
      <c r="R104" s="129"/>
      <c r="S104" s="103"/>
      <c r="T104" s="95"/>
      <c r="V104" s="107"/>
    </row>
    <row r="105" ht="15.75" customHeight="1">
      <c r="A105" s="89"/>
      <c r="B105" s="182"/>
      <c r="C105" s="107"/>
      <c r="D105" s="95"/>
      <c r="E105" s="149"/>
      <c r="F105" s="149"/>
      <c r="G105" s="95"/>
      <c r="H105" s="96"/>
      <c r="I105" s="103"/>
      <c r="J105" s="95"/>
      <c r="K105" s="99"/>
      <c r="L105" s="99"/>
      <c r="M105" s="100"/>
      <c r="N105" s="101"/>
      <c r="O105" s="128"/>
      <c r="P105" s="95"/>
      <c r="Q105" s="137"/>
      <c r="R105" s="129"/>
      <c r="S105" s="103"/>
      <c r="T105" s="95"/>
      <c r="V105" s="107"/>
    </row>
    <row r="106" ht="15.75" customHeight="1">
      <c r="A106" s="89"/>
      <c r="B106" s="182"/>
      <c r="C106" s="107"/>
      <c r="D106" s="95"/>
      <c r="E106" s="149"/>
      <c r="F106" s="149"/>
      <c r="G106" s="95"/>
      <c r="H106" s="96"/>
      <c r="I106" s="103"/>
      <c r="J106" s="95"/>
      <c r="K106" s="113"/>
      <c r="L106" s="113"/>
      <c r="M106" s="100"/>
      <c r="N106" s="101"/>
      <c r="O106" s="128"/>
      <c r="P106" s="95"/>
      <c r="Q106" s="137"/>
      <c r="R106" s="129"/>
      <c r="S106" s="103"/>
      <c r="T106" s="95"/>
      <c r="V106" s="107"/>
    </row>
    <row r="107" ht="15.75" customHeight="1">
      <c r="A107" s="89"/>
      <c r="B107" s="182"/>
      <c r="C107" s="149"/>
      <c r="D107" s="95"/>
      <c r="E107" s="149"/>
      <c r="F107" s="149"/>
      <c r="G107" s="95"/>
      <c r="H107" s="96"/>
      <c r="I107" s="103"/>
      <c r="J107" s="95"/>
      <c r="K107" s="99"/>
      <c r="L107" s="99"/>
      <c r="M107" s="100"/>
      <c r="N107" s="101"/>
      <c r="O107" s="128"/>
      <c r="P107" s="95"/>
      <c r="Q107" s="137"/>
      <c r="R107" s="129"/>
      <c r="S107" s="103"/>
      <c r="T107" s="95"/>
      <c r="V107" s="107"/>
    </row>
    <row r="108" ht="15.75" customHeight="1">
      <c r="A108" s="89"/>
      <c r="B108" s="182"/>
      <c r="C108" s="149"/>
      <c r="D108" s="95"/>
      <c r="E108" s="149"/>
      <c r="F108" s="149"/>
      <c r="G108" s="95"/>
      <c r="H108" s="96"/>
      <c r="I108" s="103"/>
      <c r="J108" s="95"/>
      <c r="K108" s="113"/>
      <c r="L108" s="113"/>
      <c r="M108" s="100"/>
      <c r="N108" s="101"/>
      <c r="O108" s="128"/>
      <c r="P108" s="95"/>
      <c r="Q108" s="95"/>
      <c r="R108" s="129"/>
      <c r="S108" s="103"/>
      <c r="T108" s="95"/>
      <c r="V108" s="107"/>
    </row>
    <row r="109" ht="15.75" customHeight="1">
      <c r="A109" s="89"/>
      <c r="B109" s="182"/>
      <c r="C109" s="149"/>
      <c r="D109" s="95"/>
      <c r="E109" s="149"/>
      <c r="F109" s="149"/>
      <c r="G109" s="95"/>
      <c r="H109" s="96"/>
      <c r="I109" s="103"/>
      <c r="J109" s="95"/>
      <c r="K109" s="99"/>
      <c r="L109" s="99"/>
      <c r="M109" s="100"/>
      <c r="N109" s="101"/>
      <c r="O109" s="128"/>
      <c r="P109" s="95"/>
      <c r="Q109" s="137"/>
      <c r="R109" s="129"/>
      <c r="S109" s="103"/>
      <c r="T109" s="95"/>
      <c r="V109" s="107"/>
    </row>
    <row r="110" ht="15.75" customHeight="1">
      <c r="A110" s="89"/>
      <c r="B110" s="182"/>
      <c r="C110" s="149"/>
      <c r="D110" s="95"/>
      <c r="E110" s="149"/>
      <c r="F110" s="149"/>
      <c r="G110" s="95"/>
      <c r="H110" s="149"/>
      <c r="I110" s="151"/>
      <c r="J110" s="95"/>
      <c r="K110" s="113"/>
      <c r="L110" s="113"/>
      <c r="M110" s="100"/>
      <c r="N110" s="127"/>
      <c r="O110" s="128"/>
      <c r="P110" s="95"/>
      <c r="Q110" s="95"/>
      <c r="R110" s="129"/>
      <c r="S110" s="95"/>
      <c r="T110" s="95"/>
      <c r="V110" s="107"/>
    </row>
    <row r="111" ht="15.75" customHeight="1">
      <c r="A111" s="89"/>
      <c r="B111" s="182"/>
      <c r="C111" s="149"/>
      <c r="D111" s="95"/>
      <c r="E111" s="149"/>
      <c r="F111" s="149"/>
      <c r="G111" s="95"/>
      <c r="H111" s="149"/>
      <c r="I111" s="95"/>
      <c r="J111" s="95"/>
      <c r="K111" s="99"/>
      <c r="L111" s="99"/>
      <c r="M111" s="100"/>
      <c r="N111" s="127"/>
      <c r="O111" s="128"/>
      <c r="P111" s="95"/>
      <c r="Q111" s="137"/>
      <c r="R111" s="129"/>
      <c r="S111" s="95"/>
      <c r="T111" s="95"/>
      <c r="V111" s="107"/>
    </row>
    <row r="112" ht="15.75" customHeight="1">
      <c r="A112" s="89"/>
      <c r="B112" s="182"/>
      <c r="C112" s="107"/>
      <c r="D112" s="95"/>
      <c r="E112" s="149"/>
      <c r="F112" s="149"/>
      <c r="G112" s="95"/>
      <c r="H112" s="149"/>
      <c r="I112" s="95"/>
      <c r="J112" s="95"/>
      <c r="K112" s="113"/>
      <c r="L112" s="113"/>
      <c r="M112" s="100"/>
      <c r="N112" s="127"/>
      <c r="O112" s="128"/>
      <c r="P112" s="95"/>
      <c r="Q112" s="95"/>
      <c r="R112" s="129"/>
      <c r="S112" s="95"/>
      <c r="T112" s="95"/>
      <c r="V112" s="107"/>
    </row>
    <row r="113" ht="15.75" customHeight="1">
      <c r="A113" s="89"/>
      <c r="B113" s="182"/>
      <c r="C113" s="107"/>
      <c r="D113" s="95"/>
      <c r="E113" s="149"/>
      <c r="F113" s="149"/>
      <c r="G113" s="95"/>
      <c r="H113" s="149"/>
      <c r="I113" s="95"/>
      <c r="J113" s="95"/>
      <c r="K113" s="99"/>
      <c r="L113" s="99"/>
      <c r="M113" s="100"/>
      <c r="N113" s="127"/>
      <c r="O113" s="128"/>
      <c r="P113" s="95"/>
      <c r="Q113" s="95"/>
      <c r="R113" s="129"/>
      <c r="S113" s="95"/>
      <c r="T113" s="95"/>
      <c r="V113" s="107"/>
    </row>
    <row r="114" ht="15.75" customHeight="1">
      <c r="A114" s="89"/>
      <c r="B114" s="182"/>
      <c r="C114" s="107"/>
      <c r="D114" s="95"/>
      <c r="E114" s="149"/>
      <c r="F114" s="149"/>
      <c r="G114" s="95"/>
      <c r="H114" s="149"/>
      <c r="I114" s="95"/>
      <c r="J114" s="95"/>
      <c r="K114" s="113"/>
      <c r="L114" s="113"/>
      <c r="M114" s="100"/>
      <c r="N114" s="127"/>
      <c r="O114" s="128"/>
      <c r="P114" s="95"/>
      <c r="Q114" s="95"/>
      <c r="R114" s="129"/>
      <c r="S114" s="95"/>
      <c r="T114" s="95"/>
      <c r="V114" s="107"/>
    </row>
    <row r="115" ht="15.75" customHeight="1">
      <c r="A115" s="89"/>
      <c r="B115" s="182"/>
      <c r="C115" s="149"/>
      <c r="D115" s="95"/>
      <c r="E115" s="149"/>
      <c r="F115" s="149"/>
      <c r="G115" s="95"/>
      <c r="H115" s="149"/>
      <c r="I115" s="95"/>
      <c r="J115" s="95"/>
      <c r="K115" s="99"/>
      <c r="L115" s="99"/>
      <c r="M115" s="100"/>
      <c r="N115" s="127"/>
      <c r="O115" s="128"/>
      <c r="P115" s="95"/>
      <c r="Q115" s="95"/>
      <c r="R115" s="129"/>
      <c r="S115" s="95"/>
      <c r="T115" s="95"/>
      <c r="V115" s="107"/>
    </row>
    <row r="116" ht="15.75" customHeight="1">
      <c r="A116" s="89"/>
      <c r="B116" s="182"/>
      <c r="C116" s="149"/>
      <c r="D116" s="95"/>
      <c r="E116" s="149"/>
      <c r="F116" s="149"/>
      <c r="G116" s="95"/>
      <c r="H116" s="149"/>
      <c r="I116" s="95"/>
      <c r="J116" s="95"/>
      <c r="K116" s="113"/>
      <c r="L116" s="113"/>
      <c r="M116" s="100"/>
      <c r="N116" s="127"/>
      <c r="O116" s="128"/>
      <c r="P116" s="95"/>
      <c r="Q116" s="95"/>
      <c r="R116" s="129"/>
      <c r="S116" s="95"/>
      <c r="T116" s="95"/>
      <c r="V116" s="107"/>
    </row>
    <row r="117" ht="15.75" customHeight="1">
      <c r="A117" s="89"/>
      <c r="B117" s="182"/>
      <c r="C117" s="149"/>
      <c r="D117" s="95"/>
      <c r="E117" s="149"/>
      <c r="F117" s="149"/>
      <c r="G117" s="95"/>
      <c r="H117" s="149"/>
      <c r="I117" s="95"/>
      <c r="J117" s="95"/>
      <c r="K117" s="99"/>
      <c r="L117" s="99"/>
      <c r="M117" s="100"/>
      <c r="N117" s="127"/>
      <c r="O117" s="128"/>
      <c r="P117" s="95"/>
      <c r="Q117" s="95"/>
      <c r="R117" s="129"/>
      <c r="S117" s="95"/>
      <c r="T117" s="95"/>
      <c r="V117" s="107"/>
    </row>
    <row r="118" ht="15.75" customHeight="1">
      <c r="A118" s="89"/>
      <c r="B118" s="182"/>
      <c r="C118" s="149"/>
      <c r="D118" s="95"/>
      <c r="E118" s="149"/>
      <c r="F118" s="149"/>
      <c r="G118" s="95"/>
      <c r="H118" s="149"/>
      <c r="I118" s="95"/>
      <c r="J118" s="95"/>
      <c r="K118" s="113"/>
      <c r="L118" s="113"/>
      <c r="M118" s="100"/>
      <c r="N118" s="127"/>
      <c r="O118" s="128"/>
      <c r="P118" s="95"/>
      <c r="Q118" s="95"/>
      <c r="R118" s="129"/>
      <c r="S118" s="95"/>
      <c r="T118" s="95"/>
      <c r="V118" s="107"/>
    </row>
    <row r="119" ht="15.75" customHeight="1">
      <c r="A119" s="89"/>
      <c r="B119" s="182"/>
      <c r="C119" s="149"/>
      <c r="D119" s="95"/>
      <c r="E119" s="149"/>
      <c r="F119" s="149"/>
      <c r="G119" s="95"/>
      <c r="H119" s="149"/>
      <c r="I119" s="95"/>
      <c r="J119" s="95"/>
      <c r="K119" s="99"/>
      <c r="L119" s="99"/>
      <c r="M119" s="100"/>
      <c r="N119" s="127"/>
      <c r="O119" s="128"/>
      <c r="P119" s="95"/>
      <c r="Q119" s="137"/>
      <c r="R119" s="129"/>
      <c r="S119" s="95"/>
      <c r="T119" s="95"/>
      <c r="V119" s="107"/>
    </row>
    <row r="120" ht="15.75" customHeight="1">
      <c r="A120" s="89"/>
      <c r="B120" s="182"/>
      <c r="C120" s="107"/>
      <c r="D120" s="95"/>
      <c r="E120" s="149"/>
      <c r="F120" s="149"/>
      <c r="G120" s="95"/>
      <c r="H120" s="149"/>
      <c r="I120" s="95"/>
      <c r="J120" s="95"/>
      <c r="K120" s="113"/>
      <c r="L120" s="113"/>
      <c r="M120" s="100"/>
      <c r="N120" s="127"/>
      <c r="O120" s="128"/>
      <c r="P120" s="95"/>
      <c r="Q120" s="95"/>
      <c r="R120" s="129"/>
      <c r="S120" s="95"/>
      <c r="T120" s="95"/>
      <c r="V120" s="107"/>
    </row>
    <row r="121" ht="15.75" customHeight="1">
      <c r="A121" s="89"/>
      <c r="B121" s="182"/>
      <c r="C121" s="107"/>
      <c r="D121" s="95"/>
      <c r="E121" s="149"/>
      <c r="F121" s="149"/>
      <c r="G121" s="95"/>
      <c r="H121" s="149"/>
      <c r="I121" s="95"/>
      <c r="J121" s="95"/>
      <c r="K121" s="99"/>
      <c r="L121" s="99"/>
      <c r="M121" s="100"/>
      <c r="N121" s="127"/>
      <c r="O121" s="128"/>
      <c r="P121" s="95"/>
      <c r="Q121" s="95"/>
      <c r="R121" s="129"/>
      <c r="S121" s="95"/>
      <c r="T121" s="95"/>
      <c r="V121" s="107"/>
    </row>
    <row r="122" ht="15.75" customHeight="1">
      <c r="A122" s="89"/>
      <c r="B122" s="182"/>
      <c r="C122" s="107"/>
      <c r="D122" s="95"/>
      <c r="E122" s="149"/>
      <c r="F122" s="149"/>
      <c r="G122" s="95"/>
      <c r="H122" s="149"/>
      <c r="I122" s="95"/>
      <c r="J122" s="95"/>
      <c r="K122" s="113"/>
      <c r="L122" s="113"/>
      <c r="M122" s="100"/>
      <c r="N122" s="127"/>
      <c r="O122" s="128"/>
      <c r="P122" s="95"/>
      <c r="Q122" s="137"/>
      <c r="R122" s="129"/>
      <c r="S122" s="95"/>
      <c r="T122" s="95"/>
      <c r="V122" s="107"/>
    </row>
    <row r="123" ht="15.75" customHeight="1">
      <c r="A123" s="89"/>
      <c r="B123" s="182"/>
      <c r="C123" s="149"/>
      <c r="D123" s="95"/>
      <c r="E123" s="149"/>
      <c r="F123" s="149"/>
      <c r="G123" s="95"/>
      <c r="H123" s="149"/>
      <c r="I123" s="95"/>
      <c r="J123" s="95"/>
      <c r="K123" s="99"/>
      <c r="L123" s="99"/>
      <c r="M123" s="100"/>
      <c r="N123" s="127"/>
      <c r="O123" s="128"/>
      <c r="P123" s="95"/>
      <c r="Q123" s="137"/>
      <c r="R123" s="129"/>
      <c r="S123" s="95"/>
      <c r="T123" s="95"/>
      <c r="V123" s="107"/>
    </row>
    <row r="124" ht="15.75" customHeight="1">
      <c r="A124" s="89"/>
      <c r="B124" s="182"/>
      <c r="C124" s="149"/>
      <c r="D124" s="95"/>
      <c r="E124" s="149"/>
      <c r="F124" s="149"/>
      <c r="G124" s="95"/>
      <c r="H124" s="149"/>
      <c r="I124" s="95"/>
      <c r="J124" s="95"/>
      <c r="K124" s="113"/>
      <c r="L124" s="113"/>
      <c r="M124" s="100"/>
      <c r="N124" s="127"/>
      <c r="O124" s="128"/>
      <c r="P124" s="95"/>
      <c r="Q124" s="137"/>
      <c r="R124" s="129"/>
      <c r="S124" s="95"/>
      <c r="T124" s="95"/>
      <c r="V124" s="107"/>
    </row>
    <row r="125" ht="15.75" customHeight="1">
      <c r="A125" s="89"/>
      <c r="B125" s="182"/>
      <c r="C125" s="149"/>
      <c r="D125" s="95"/>
      <c r="E125" s="149"/>
      <c r="F125" s="149"/>
      <c r="G125" s="95"/>
      <c r="H125" s="149"/>
      <c r="I125" s="95"/>
      <c r="J125" s="95"/>
      <c r="K125" s="99"/>
      <c r="L125" s="99"/>
      <c r="M125" s="100"/>
      <c r="N125" s="127"/>
      <c r="O125" s="128"/>
      <c r="P125" s="95"/>
      <c r="Q125" s="137"/>
      <c r="R125" s="129"/>
      <c r="S125" s="95"/>
      <c r="T125" s="95"/>
      <c r="V125" s="107"/>
    </row>
    <row r="126" ht="15.75" customHeight="1">
      <c r="A126" s="89"/>
      <c r="B126" s="182"/>
      <c r="C126" s="149"/>
      <c r="D126" s="95"/>
      <c r="E126" s="149"/>
      <c r="F126" s="149"/>
      <c r="G126" s="95"/>
      <c r="H126" s="149"/>
      <c r="I126" s="95"/>
      <c r="J126" s="95"/>
      <c r="K126" s="113"/>
      <c r="L126" s="113"/>
      <c r="M126" s="100"/>
      <c r="N126" s="127"/>
      <c r="O126" s="128"/>
      <c r="P126" s="95"/>
      <c r="Q126" s="137"/>
      <c r="R126" s="129"/>
      <c r="S126" s="95"/>
      <c r="T126" s="95"/>
      <c r="V126" s="107"/>
    </row>
    <row r="127" ht="15.75" customHeight="1">
      <c r="A127" s="89"/>
      <c r="B127" s="182"/>
      <c r="C127" s="149"/>
      <c r="D127" s="95"/>
      <c r="E127" s="149"/>
      <c r="F127" s="149"/>
      <c r="G127" s="95"/>
      <c r="H127" s="149"/>
      <c r="I127" s="95"/>
      <c r="J127" s="95"/>
      <c r="K127" s="99"/>
      <c r="L127" s="99"/>
      <c r="M127" s="100"/>
      <c r="N127" s="127"/>
      <c r="O127" s="128"/>
      <c r="P127" s="95"/>
      <c r="Q127" s="137"/>
      <c r="R127" s="129"/>
      <c r="S127" s="95"/>
      <c r="T127" s="95"/>
      <c r="V127" s="107"/>
    </row>
    <row r="128" ht="15.75" customHeight="1">
      <c r="A128" s="89"/>
      <c r="B128" s="182"/>
      <c r="C128" s="107"/>
      <c r="D128" s="95"/>
      <c r="E128" s="149"/>
      <c r="F128" s="149"/>
      <c r="G128" s="95"/>
      <c r="H128" s="149"/>
      <c r="I128" s="95"/>
      <c r="J128" s="95"/>
      <c r="K128" s="113"/>
      <c r="L128" s="113"/>
      <c r="M128" s="100"/>
      <c r="N128" s="127"/>
      <c r="O128" s="128"/>
      <c r="P128" s="95"/>
      <c r="Q128" s="95"/>
      <c r="R128" s="129"/>
      <c r="S128" s="95"/>
      <c r="T128" s="95"/>
      <c r="V128" s="107"/>
    </row>
    <row r="129" ht="15.75" customHeight="1">
      <c r="A129" s="89"/>
      <c r="B129" s="182"/>
      <c r="C129" s="107"/>
      <c r="D129" s="95"/>
      <c r="E129" s="149"/>
      <c r="F129" s="149"/>
      <c r="G129" s="95"/>
      <c r="H129" s="149"/>
      <c r="I129" s="95"/>
      <c r="J129" s="95"/>
      <c r="K129" s="99"/>
      <c r="L129" s="99"/>
      <c r="M129" s="100"/>
      <c r="N129" s="127"/>
      <c r="O129" s="128"/>
      <c r="P129" s="95"/>
      <c r="Q129" s="137"/>
      <c r="R129" s="129"/>
      <c r="S129" s="95"/>
      <c r="T129" s="95"/>
      <c r="V129" s="107"/>
    </row>
    <row r="130" ht="15.75" customHeight="1">
      <c r="A130" s="89"/>
      <c r="B130" s="182"/>
      <c r="C130" s="107"/>
      <c r="D130" s="95"/>
      <c r="E130" s="149"/>
      <c r="F130" s="149"/>
      <c r="G130" s="95"/>
      <c r="H130" s="149"/>
      <c r="I130" s="95"/>
      <c r="J130" s="95"/>
      <c r="K130" s="113"/>
      <c r="L130" s="113"/>
      <c r="M130" s="100"/>
      <c r="N130" s="127"/>
      <c r="O130" s="128"/>
      <c r="P130" s="95"/>
      <c r="Q130" s="95"/>
      <c r="R130" s="129"/>
      <c r="S130" s="95"/>
      <c r="T130" s="95"/>
      <c r="V130" s="107"/>
    </row>
    <row r="131" ht="15.75" customHeight="1">
      <c r="A131" s="89"/>
      <c r="B131" s="182"/>
      <c r="C131" s="149"/>
      <c r="D131" s="95"/>
      <c r="E131" s="149"/>
      <c r="F131" s="149"/>
      <c r="G131" s="95"/>
      <c r="H131" s="149"/>
      <c r="I131" s="95"/>
      <c r="J131" s="95"/>
      <c r="K131" s="99"/>
      <c r="L131" s="99"/>
      <c r="M131" s="100"/>
      <c r="N131" s="127"/>
      <c r="O131" s="128"/>
      <c r="P131" s="95"/>
      <c r="Q131" s="95"/>
      <c r="R131" s="129"/>
      <c r="S131" s="95"/>
      <c r="T131" s="95"/>
      <c r="V131" s="107"/>
    </row>
    <row r="132" ht="15.75" customHeight="1">
      <c r="A132" s="89"/>
      <c r="B132" s="182"/>
      <c r="C132" s="149"/>
      <c r="D132" s="95"/>
      <c r="E132" s="149"/>
      <c r="F132" s="149"/>
      <c r="G132" s="95"/>
      <c r="H132" s="149"/>
      <c r="I132" s="95"/>
      <c r="J132" s="95"/>
      <c r="K132" s="113"/>
      <c r="L132" s="113"/>
      <c r="M132" s="100"/>
      <c r="N132" s="127"/>
      <c r="O132" s="128"/>
      <c r="P132" s="95"/>
      <c r="Q132" s="137"/>
      <c r="R132" s="129"/>
      <c r="S132" s="95"/>
      <c r="T132" s="95"/>
      <c r="V132" s="107"/>
    </row>
    <row r="133" ht="15.75" customHeight="1">
      <c r="A133" s="89"/>
      <c r="B133" s="182"/>
      <c r="C133" s="149"/>
      <c r="D133" s="95"/>
      <c r="E133" s="149"/>
      <c r="F133" s="149"/>
      <c r="G133" s="95"/>
      <c r="H133" s="149"/>
      <c r="I133" s="95"/>
      <c r="J133" s="95"/>
      <c r="K133" s="99"/>
      <c r="L133" s="99"/>
      <c r="M133" s="100"/>
      <c r="N133" s="127"/>
      <c r="O133" s="128"/>
      <c r="P133" s="95"/>
      <c r="Q133" s="95"/>
      <c r="R133" s="129"/>
      <c r="S133" s="95"/>
      <c r="T133" s="95"/>
      <c r="V133" s="107"/>
    </row>
    <row r="134" ht="15.75" customHeight="1">
      <c r="A134" s="89"/>
      <c r="B134" s="182"/>
      <c r="C134" s="149"/>
      <c r="D134" s="95"/>
      <c r="E134" s="149"/>
      <c r="F134" s="149"/>
      <c r="G134" s="95"/>
      <c r="H134" s="149"/>
      <c r="I134" s="95"/>
      <c r="J134" s="95"/>
      <c r="K134" s="113"/>
      <c r="L134" s="113"/>
      <c r="M134" s="100"/>
      <c r="N134" s="127"/>
      <c r="O134" s="128"/>
      <c r="P134" s="95"/>
      <c r="Q134" s="95"/>
      <c r="R134" s="129"/>
      <c r="S134" s="95"/>
      <c r="T134" s="95"/>
      <c r="V134" s="107"/>
    </row>
    <row r="135" ht="15.75" customHeight="1">
      <c r="A135" s="89"/>
      <c r="B135" s="182"/>
      <c r="C135" s="149"/>
      <c r="D135" s="95"/>
      <c r="E135" s="149"/>
      <c r="F135" s="149"/>
      <c r="G135" s="95"/>
      <c r="H135" s="149"/>
      <c r="I135" s="95"/>
      <c r="J135" s="95"/>
      <c r="K135" s="99"/>
      <c r="L135" s="99"/>
      <c r="M135" s="100"/>
      <c r="N135" s="127"/>
      <c r="O135" s="128"/>
      <c r="P135" s="95"/>
      <c r="Q135" s="137"/>
      <c r="R135" s="129"/>
      <c r="S135" s="95"/>
      <c r="T135" s="95"/>
      <c r="V135" s="107"/>
    </row>
    <row r="136" ht="15.75" customHeight="1">
      <c r="A136" s="89"/>
      <c r="B136" s="182"/>
      <c r="C136" s="107"/>
      <c r="D136" s="95"/>
      <c r="E136" s="149"/>
      <c r="F136" s="149"/>
      <c r="G136" s="95"/>
      <c r="H136" s="149"/>
      <c r="I136" s="95"/>
      <c r="J136" s="95"/>
      <c r="K136" s="113"/>
      <c r="L136" s="113"/>
      <c r="M136" s="100"/>
      <c r="N136" s="127"/>
      <c r="O136" s="128"/>
      <c r="P136" s="95"/>
      <c r="Q136" s="95"/>
      <c r="R136" s="129"/>
      <c r="S136" s="95"/>
      <c r="T136" s="95"/>
      <c r="V136" s="107"/>
    </row>
    <row r="137" ht="15.75" customHeight="1">
      <c r="A137" s="89"/>
      <c r="B137" s="182"/>
      <c r="C137" s="107"/>
      <c r="D137" s="95"/>
      <c r="E137" s="149"/>
      <c r="F137" s="149"/>
      <c r="G137" s="95"/>
      <c r="H137" s="149"/>
      <c r="I137" s="95"/>
      <c r="J137" s="95"/>
      <c r="K137" s="99"/>
      <c r="L137" s="99"/>
      <c r="M137" s="100"/>
      <c r="N137" s="127"/>
      <c r="O137" s="128"/>
      <c r="P137" s="95"/>
      <c r="Q137" s="137"/>
      <c r="R137" s="129"/>
      <c r="S137" s="95"/>
      <c r="T137" s="95"/>
      <c r="V137" s="107"/>
    </row>
    <row r="138" ht="15.75" customHeight="1">
      <c r="A138" s="89"/>
      <c r="B138" s="182"/>
      <c r="C138" s="107"/>
      <c r="D138" s="95"/>
      <c r="E138" s="149"/>
      <c r="F138" s="149"/>
      <c r="G138" s="95"/>
      <c r="H138" s="149"/>
      <c r="I138" s="95"/>
      <c r="J138" s="95"/>
      <c r="K138" s="113"/>
      <c r="L138" s="113"/>
      <c r="M138" s="100"/>
      <c r="N138" s="127"/>
      <c r="O138" s="128"/>
      <c r="P138" s="95"/>
      <c r="Q138" s="137"/>
      <c r="R138" s="129"/>
      <c r="S138" s="95"/>
      <c r="T138" s="95"/>
      <c r="V138" s="107"/>
    </row>
    <row r="139" ht="15.75" customHeight="1">
      <c r="A139" s="89"/>
      <c r="B139" s="182"/>
      <c r="C139" s="149"/>
      <c r="D139" s="95"/>
      <c r="E139" s="149"/>
      <c r="F139" s="149"/>
      <c r="G139" s="95"/>
      <c r="H139" s="149"/>
      <c r="I139" s="95"/>
      <c r="J139" s="95"/>
      <c r="K139" s="99"/>
      <c r="L139" s="99"/>
      <c r="M139" s="100"/>
      <c r="N139" s="127"/>
      <c r="O139" s="128"/>
      <c r="P139" s="95"/>
      <c r="Q139" s="137"/>
      <c r="R139" s="129"/>
      <c r="S139" s="95"/>
      <c r="T139" s="95"/>
      <c r="V139" s="107"/>
    </row>
    <row r="140" ht="15.75" customHeight="1">
      <c r="A140" s="89"/>
      <c r="B140" s="182"/>
      <c r="C140" s="149"/>
      <c r="D140" s="95"/>
      <c r="E140" s="149"/>
      <c r="F140" s="149"/>
      <c r="G140" s="95"/>
      <c r="H140" s="149"/>
      <c r="I140" s="95"/>
      <c r="J140" s="95"/>
      <c r="K140" s="113"/>
      <c r="L140" s="113"/>
      <c r="M140" s="100"/>
      <c r="N140" s="127"/>
      <c r="O140" s="128"/>
      <c r="P140" s="95"/>
      <c r="Q140" s="95"/>
      <c r="R140" s="129"/>
      <c r="S140" s="95"/>
      <c r="T140" s="95"/>
      <c r="V140" s="107"/>
    </row>
    <row r="141" ht="15.75" customHeight="1">
      <c r="A141" s="89"/>
      <c r="B141" s="182"/>
      <c r="C141" s="149"/>
      <c r="D141" s="95"/>
      <c r="E141" s="149"/>
      <c r="F141" s="149"/>
      <c r="G141" s="95"/>
      <c r="H141" s="149"/>
      <c r="I141" s="95"/>
      <c r="J141" s="95"/>
      <c r="K141" s="99"/>
      <c r="L141" s="99"/>
      <c r="M141" s="100"/>
      <c r="N141" s="127"/>
      <c r="O141" s="128"/>
      <c r="P141" s="95"/>
      <c r="Q141" s="137"/>
      <c r="R141" s="129"/>
      <c r="S141" s="95"/>
      <c r="T141" s="95"/>
      <c r="V141" s="107"/>
    </row>
    <row r="142" ht="15.75" customHeight="1">
      <c r="A142" s="89"/>
      <c r="B142" s="182"/>
      <c r="C142" s="149"/>
      <c r="D142" s="95"/>
      <c r="E142" s="149"/>
      <c r="F142" s="149"/>
      <c r="G142" s="95"/>
      <c r="H142" s="149"/>
      <c r="I142" s="95"/>
      <c r="J142" s="95"/>
      <c r="K142" s="113"/>
      <c r="L142" s="113"/>
      <c r="M142" s="100"/>
      <c r="N142" s="127"/>
      <c r="O142" s="128"/>
      <c r="P142" s="95"/>
      <c r="Q142" s="95"/>
      <c r="R142" s="129"/>
      <c r="S142" s="95"/>
      <c r="T142" s="95"/>
      <c r="V142" s="107"/>
    </row>
    <row r="143" ht="15.75" customHeight="1">
      <c r="A143" s="89"/>
      <c r="B143" s="182"/>
      <c r="C143" s="149"/>
      <c r="D143" s="95"/>
      <c r="E143" s="149"/>
      <c r="F143" s="183"/>
      <c r="G143" s="95"/>
      <c r="H143" s="149"/>
      <c r="I143" s="95"/>
      <c r="J143" s="95"/>
      <c r="K143" s="99"/>
      <c r="L143" s="99"/>
      <c r="M143" s="100"/>
      <c r="N143" s="127"/>
      <c r="O143" s="128"/>
      <c r="P143" s="95"/>
      <c r="Q143" s="137"/>
      <c r="R143" s="129"/>
      <c r="S143" s="95"/>
      <c r="T143" s="95"/>
      <c r="V143" s="107"/>
    </row>
    <row r="144" ht="15.75" customHeight="1">
      <c r="A144" s="89"/>
      <c r="B144" s="182"/>
      <c r="C144" s="107"/>
      <c r="D144" s="95"/>
      <c r="E144" s="149"/>
      <c r="F144" s="149"/>
      <c r="G144" s="95"/>
      <c r="H144" s="149"/>
      <c r="I144" s="95"/>
      <c r="J144" s="95"/>
      <c r="K144" s="113"/>
      <c r="L144" s="113"/>
      <c r="M144" s="100"/>
      <c r="N144" s="127"/>
      <c r="O144" s="128"/>
      <c r="P144" s="95"/>
      <c r="Q144" s="95"/>
      <c r="R144" s="129"/>
      <c r="S144" s="95"/>
      <c r="T144" s="95"/>
      <c r="V144" s="107"/>
    </row>
    <row r="145" ht="15.75" customHeight="1">
      <c r="A145" s="89"/>
      <c r="B145" s="182"/>
      <c r="C145" s="107"/>
      <c r="D145" s="95"/>
      <c r="E145" s="149"/>
      <c r="F145" s="149"/>
      <c r="G145" s="95"/>
      <c r="H145" s="149"/>
      <c r="I145" s="95"/>
      <c r="J145" s="95"/>
      <c r="K145" s="99"/>
      <c r="L145" s="99"/>
      <c r="M145" s="100"/>
      <c r="N145" s="127"/>
      <c r="O145" s="128"/>
      <c r="P145" s="95"/>
      <c r="Q145" s="137"/>
      <c r="R145" s="129"/>
      <c r="S145" s="95"/>
      <c r="T145" s="95"/>
      <c r="V145" s="107"/>
    </row>
    <row r="146" ht="15.75" customHeight="1">
      <c r="A146" s="89"/>
      <c r="B146" s="182"/>
      <c r="C146" s="149"/>
      <c r="D146" s="95"/>
      <c r="E146" s="149"/>
      <c r="F146" s="149"/>
      <c r="G146" s="95"/>
      <c r="H146" s="149"/>
      <c r="I146" s="95"/>
      <c r="J146" s="95"/>
      <c r="K146" s="113"/>
      <c r="L146" s="113"/>
      <c r="M146" s="100"/>
      <c r="N146" s="127"/>
      <c r="O146" s="128"/>
      <c r="P146" s="95"/>
      <c r="Q146" s="137"/>
      <c r="R146" s="129"/>
      <c r="S146" s="95"/>
      <c r="T146" s="95"/>
      <c r="V146" s="107"/>
    </row>
    <row r="147" ht="15.75" customHeight="1">
      <c r="A147" s="89"/>
      <c r="B147" s="182"/>
      <c r="C147" s="149"/>
      <c r="D147" s="95"/>
      <c r="E147" s="149"/>
      <c r="F147" s="149"/>
      <c r="G147" s="95"/>
      <c r="H147" s="149"/>
      <c r="I147" s="95"/>
      <c r="J147" s="95"/>
      <c r="K147" s="99"/>
      <c r="L147" s="99"/>
      <c r="M147" s="100"/>
      <c r="N147" s="127"/>
      <c r="O147" s="128"/>
      <c r="P147" s="95"/>
      <c r="Q147" s="137"/>
      <c r="R147" s="129"/>
      <c r="S147" s="95"/>
      <c r="T147" s="95"/>
      <c r="V147" s="107"/>
    </row>
    <row r="148" ht="15.75" customHeight="1">
      <c r="A148" s="89"/>
      <c r="B148" s="182"/>
      <c r="C148" s="149"/>
      <c r="D148" s="95"/>
      <c r="E148" s="149"/>
      <c r="F148" s="149"/>
      <c r="G148" s="95"/>
      <c r="H148" s="149"/>
      <c r="I148" s="95"/>
      <c r="J148" s="95"/>
      <c r="K148" s="113"/>
      <c r="L148" s="113"/>
      <c r="M148" s="100"/>
      <c r="N148" s="127"/>
      <c r="O148" s="128"/>
      <c r="P148" s="95"/>
      <c r="Q148" s="137"/>
      <c r="R148" s="129"/>
      <c r="S148" s="95"/>
      <c r="T148" s="95"/>
      <c r="V148" s="107"/>
    </row>
    <row r="149" ht="15.75" customHeight="1">
      <c r="A149" s="89"/>
      <c r="B149" s="182"/>
      <c r="C149" s="149"/>
      <c r="D149" s="95"/>
      <c r="E149" s="149"/>
      <c r="F149" s="149"/>
      <c r="G149" s="95"/>
      <c r="H149" s="149"/>
      <c r="I149" s="95"/>
      <c r="J149" s="95"/>
      <c r="K149" s="99"/>
      <c r="L149" s="99"/>
      <c r="M149" s="100"/>
      <c r="N149" s="127"/>
      <c r="O149" s="128"/>
      <c r="P149" s="95"/>
      <c r="Q149" s="137"/>
      <c r="R149" s="129"/>
      <c r="S149" s="95"/>
      <c r="T149" s="95"/>
      <c r="V149" s="107"/>
    </row>
    <row r="150" ht="15.75" customHeight="1">
      <c r="A150" s="89"/>
      <c r="B150" s="182"/>
      <c r="C150" s="149"/>
      <c r="D150" s="95"/>
      <c r="E150" s="149"/>
      <c r="F150" s="149"/>
      <c r="G150" s="95"/>
      <c r="H150" s="149"/>
      <c r="I150" s="95"/>
      <c r="J150" s="95"/>
      <c r="K150" s="113"/>
      <c r="L150" s="113"/>
      <c r="M150" s="100"/>
      <c r="N150" s="127"/>
      <c r="O150" s="128"/>
      <c r="P150" s="95"/>
      <c r="Q150" s="137"/>
      <c r="R150" s="129"/>
      <c r="S150" s="95"/>
      <c r="T150" s="95"/>
      <c r="V150" s="107"/>
    </row>
    <row r="151" ht="15.75" customHeight="1">
      <c r="A151" s="89"/>
      <c r="B151" s="182"/>
      <c r="C151" s="107"/>
      <c r="D151" s="95"/>
      <c r="E151" s="149"/>
      <c r="F151" s="149"/>
      <c r="G151" s="95"/>
      <c r="H151" s="149"/>
      <c r="I151" s="95"/>
      <c r="J151" s="95"/>
      <c r="K151" s="99"/>
      <c r="L151" s="99"/>
      <c r="M151" s="100"/>
      <c r="N151" s="127"/>
      <c r="O151" s="128"/>
      <c r="P151" s="95"/>
      <c r="Q151" s="137"/>
      <c r="R151" s="129"/>
      <c r="S151" s="95"/>
      <c r="T151" s="95"/>
      <c r="V151" s="107"/>
    </row>
    <row r="152" ht="15.75" customHeight="1">
      <c r="A152" s="89"/>
      <c r="B152" s="182"/>
      <c r="C152" s="149"/>
      <c r="D152" s="95"/>
      <c r="E152" s="149"/>
      <c r="F152" s="149"/>
      <c r="G152" s="95"/>
      <c r="H152" s="149"/>
      <c r="I152" s="95"/>
      <c r="J152" s="95"/>
      <c r="K152" s="113"/>
      <c r="L152" s="113"/>
      <c r="M152" s="100"/>
      <c r="N152" s="127"/>
      <c r="O152" s="128"/>
      <c r="P152" s="95"/>
      <c r="Q152" s="137"/>
      <c r="R152" s="129"/>
      <c r="S152" s="95"/>
      <c r="T152" s="95"/>
      <c r="V152" s="107"/>
    </row>
    <row r="153" ht="15.75" customHeight="1">
      <c r="A153" s="89"/>
      <c r="B153" s="182"/>
      <c r="C153" s="149"/>
      <c r="D153" s="95"/>
      <c r="E153" s="149"/>
      <c r="F153" s="149"/>
      <c r="G153" s="95"/>
      <c r="H153" s="149"/>
      <c r="I153" s="95"/>
      <c r="J153" s="95"/>
      <c r="K153" s="99"/>
      <c r="L153" s="99"/>
      <c r="M153" s="100"/>
      <c r="N153" s="127"/>
      <c r="O153" s="128"/>
      <c r="P153" s="95"/>
      <c r="Q153" s="137"/>
      <c r="R153" s="129"/>
      <c r="S153" s="95"/>
      <c r="T153" s="95"/>
      <c r="V153" s="107"/>
    </row>
    <row r="154" ht="15.75" customHeight="1">
      <c r="A154" s="89"/>
      <c r="B154" s="182"/>
      <c r="C154" s="149"/>
      <c r="D154" s="95"/>
      <c r="E154" s="149"/>
      <c r="F154" s="149"/>
      <c r="G154" s="95"/>
      <c r="H154" s="149"/>
      <c r="I154" s="95"/>
      <c r="J154" s="95"/>
      <c r="K154" s="113"/>
      <c r="L154" s="113"/>
      <c r="M154" s="100"/>
      <c r="N154" s="127"/>
      <c r="O154" s="128"/>
      <c r="P154" s="95"/>
      <c r="Q154" s="137"/>
      <c r="R154" s="129"/>
      <c r="S154" s="95"/>
      <c r="T154" s="95"/>
      <c r="V154" s="107"/>
    </row>
    <row r="155" ht="15.75" customHeight="1">
      <c r="A155" s="89"/>
      <c r="B155" s="182"/>
      <c r="C155" s="149"/>
      <c r="D155" s="95"/>
      <c r="E155" s="149"/>
      <c r="F155" s="149"/>
      <c r="G155" s="95"/>
      <c r="H155" s="149"/>
      <c r="I155" s="95"/>
      <c r="J155" s="95"/>
      <c r="K155" s="99"/>
      <c r="L155" s="99"/>
      <c r="M155" s="100"/>
      <c r="N155" s="127"/>
      <c r="O155" s="128"/>
      <c r="P155" s="95"/>
      <c r="Q155" s="137"/>
      <c r="R155" s="129"/>
      <c r="S155" s="95"/>
      <c r="T155" s="95"/>
      <c r="V155" s="107"/>
    </row>
    <row r="156" ht="15.75" customHeight="1">
      <c r="A156" s="89"/>
      <c r="B156" s="182"/>
      <c r="C156" s="149"/>
      <c r="D156" s="95"/>
      <c r="E156" s="149"/>
      <c r="F156" s="149"/>
      <c r="G156" s="95"/>
      <c r="H156" s="149"/>
      <c r="I156" s="95"/>
      <c r="J156" s="95"/>
      <c r="K156" s="113"/>
      <c r="L156" s="113"/>
      <c r="M156" s="100"/>
      <c r="N156" s="127"/>
      <c r="O156" s="128"/>
      <c r="P156" s="95"/>
      <c r="Q156" s="137"/>
      <c r="R156" s="129"/>
      <c r="S156" s="95"/>
      <c r="T156" s="95"/>
      <c r="V156" s="107"/>
    </row>
    <row r="157" ht="15.75" customHeight="1">
      <c r="A157" s="89"/>
      <c r="B157" s="182"/>
      <c r="C157" s="107"/>
      <c r="D157" s="95"/>
      <c r="E157" s="149"/>
      <c r="F157" s="149"/>
      <c r="G157" s="95"/>
      <c r="H157" s="149"/>
      <c r="I157" s="95"/>
      <c r="J157" s="95"/>
      <c r="K157" s="99"/>
      <c r="L157" s="99"/>
      <c r="M157" s="100"/>
      <c r="N157" s="127"/>
      <c r="O157" s="128"/>
      <c r="P157" s="95"/>
      <c r="Q157" s="137"/>
      <c r="R157" s="129"/>
      <c r="S157" s="95"/>
      <c r="T157" s="95"/>
      <c r="V157" s="107"/>
    </row>
    <row r="158" ht="15.75" customHeight="1">
      <c r="A158" s="89"/>
      <c r="B158" s="182"/>
      <c r="C158" s="149"/>
      <c r="D158" s="95"/>
      <c r="E158" s="149"/>
      <c r="F158" s="149"/>
      <c r="G158" s="95"/>
      <c r="H158" s="149"/>
      <c r="I158" s="95"/>
      <c r="J158" s="95"/>
      <c r="K158" s="113"/>
      <c r="L158" s="113"/>
      <c r="M158" s="100"/>
      <c r="N158" s="127"/>
      <c r="O158" s="128"/>
      <c r="P158" s="95"/>
      <c r="Q158" s="137"/>
      <c r="R158" s="129"/>
      <c r="S158" s="95"/>
      <c r="T158" s="95"/>
      <c r="V158" s="107"/>
    </row>
    <row r="159" ht="15.75" customHeight="1">
      <c r="A159" s="89"/>
      <c r="B159" s="182"/>
      <c r="C159" s="149"/>
      <c r="D159" s="95"/>
      <c r="E159" s="149"/>
      <c r="F159" s="149"/>
      <c r="G159" s="95"/>
      <c r="H159" s="149"/>
      <c r="I159" s="95"/>
      <c r="J159" s="95"/>
      <c r="K159" s="99"/>
      <c r="L159" s="99"/>
      <c r="M159" s="100"/>
      <c r="N159" s="127"/>
      <c r="O159" s="128"/>
      <c r="P159" s="95"/>
      <c r="Q159" s="137"/>
      <c r="R159" s="129"/>
      <c r="S159" s="95"/>
      <c r="T159" s="95"/>
      <c r="V159" s="107"/>
    </row>
    <row r="160" ht="15.75" customHeight="1">
      <c r="A160" s="89"/>
      <c r="B160" s="182"/>
      <c r="C160" s="149"/>
      <c r="D160" s="95"/>
      <c r="E160" s="149"/>
      <c r="F160" s="149"/>
      <c r="G160" s="95"/>
      <c r="H160" s="149"/>
      <c r="I160" s="95"/>
      <c r="J160" s="95"/>
      <c r="K160" s="113"/>
      <c r="L160" s="113"/>
      <c r="M160" s="100"/>
      <c r="N160" s="127"/>
      <c r="O160" s="128"/>
      <c r="P160" s="95"/>
      <c r="Q160" s="137"/>
      <c r="R160" s="129"/>
      <c r="S160" s="95"/>
      <c r="T160" s="95"/>
      <c r="V160" s="107"/>
    </row>
    <row r="161" ht="15.75" customHeight="1">
      <c r="A161" s="89"/>
      <c r="B161" s="182"/>
      <c r="C161" s="149"/>
      <c r="D161" s="95"/>
      <c r="E161" s="149"/>
      <c r="F161" s="149"/>
      <c r="G161" s="95"/>
      <c r="H161" s="149"/>
      <c r="I161" s="95"/>
      <c r="J161" s="95"/>
      <c r="K161" s="99"/>
      <c r="L161" s="99"/>
      <c r="M161" s="100"/>
      <c r="N161" s="127"/>
      <c r="O161" s="128"/>
      <c r="P161" s="95"/>
      <c r="Q161" s="137"/>
      <c r="R161" s="129"/>
      <c r="S161" s="95"/>
      <c r="T161" s="95"/>
      <c r="V161" s="107"/>
    </row>
    <row r="162" ht="15.75" customHeight="1">
      <c r="A162" s="89"/>
      <c r="B162" s="182"/>
      <c r="C162" s="149"/>
      <c r="D162" s="95"/>
      <c r="E162" s="149"/>
      <c r="F162" s="149"/>
      <c r="G162" s="95"/>
      <c r="H162" s="149"/>
      <c r="I162" s="95"/>
      <c r="J162" s="95"/>
      <c r="K162" s="113"/>
      <c r="L162" s="113"/>
      <c r="M162" s="100"/>
      <c r="N162" s="127"/>
      <c r="O162" s="128"/>
      <c r="P162" s="95"/>
      <c r="Q162" s="137"/>
      <c r="R162" s="129"/>
      <c r="S162" s="95"/>
      <c r="T162" s="95"/>
      <c r="V162" s="107"/>
    </row>
    <row r="163" ht="15.75" customHeight="1">
      <c r="A163" s="89"/>
      <c r="B163" s="182"/>
      <c r="C163" s="107"/>
      <c r="D163" s="95"/>
      <c r="E163" s="149"/>
      <c r="F163" s="149"/>
      <c r="G163" s="95"/>
      <c r="H163" s="149"/>
      <c r="I163" s="95"/>
      <c r="J163" s="95"/>
      <c r="K163" s="99"/>
      <c r="L163" s="99"/>
      <c r="M163" s="100"/>
      <c r="N163" s="127"/>
      <c r="O163" s="128"/>
      <c r="P163" s="95"/>
      <c r="Q163" s="137"/>
      <c r="R163" s="129"/>
      <c r="S163" s="95"/>
      <c r="T163" s="95"/>
      <c r="V163" s="107"/>
    </row>
    <row r="164" ht="15.75" customHeight="1">
      <c r="A164" s="89"/>
      <c r="B164" s="182"/>
      <c r="C164" s="149"/>
      <c r="D164" s="95"/>
      <c r="E164" s="149"/>
      <c r="F164" s="149"/>
      <c r="G164" s="95"/>
      <c r="H164" s="149"/>
      <c r="I164" s="95"/>
      <c r="J164" s="95"/>
      <c r="K164" s="113"/>
      <c r="L164" s="113"/>
      <c r="M164" s="100"/>
      <c r="N164" s="127"/>
      <c r="O164" s="128"/>
      <c r="P164" s="95"/>
      <c r="Q164" s="137"/>
      <c r="R164" s="129"/>
      <c r="S164" s="95"/>
      <c r="T164" s="95"/>
      <c r="V164" s="107"/>
    </row>
    <row r="165" ht="15.75" customHeight="1">
      <c r="A165" s="89"/>
      <c r="B165" s="182"/>
      <c r="C165" s="149"/>
      <c r="D165" s="95"/>
      <c r="E165" s="149"/>
      <c r="F165" s="149"/>
      <c r="G165" s="95"/>
      <c r="H165" s="149"/>
      <c r="I165" s="95"/>
      <c r="J165" s="95"/>
      <c r="K165" s="99"/>
      <c r="L165" s="99"/>
      <c r="M165" s="100"/>
      <c r="N165" s="127"/>
      <c r="O165" s="128"/>
      <c r="P165" s="95"/>
      <c r="Q165" s="137"/>
      <c r="R165" s="129"/>
      <c r="S165" s="95"/>
      <c r="T165" s="95"/>
      <c r="V165" s="107"/>
    </row>
    <row r="166" ht="15.75" customHeight="1">
      <c r="A166" s="89"/>
      <c r="B166" s="182"/>
      <c r="C166" s="149"/>
      <c r="D166" s="95"/>
      <c r="E166" s="149"/>
      <c r="F166" s="149"/>
      <c r="G166" s="95"/>
      <c r="H166" s="149"/>
      <c r="I166" s="95"/>
      <c r="J166" s="95"/>
      <c r="K166" s="113"/>
      <c r="L166" s="113"/>
      <c r="M166" s="100"/>
      <c r="N166" s="127"/>
      <c r="O166" s="128"/>
      <c r="P166" s="95"/>
      <c r="Q166" s="137"/>
      <c r="R166" s="129"/>
      <c r="S166" s="95"/>
      <c r="T166" s="95"/>
      <c r="V166" s="107"/>
    </row>
    <row r="167" ht="15.75" customHeight="1">
      <c r="A167" s="89"/>
      <c r="B167" s="182"/>
      <c r="C167" s="149"/>
      <c r="D167" s="95"/>
      <c r="E167" s="149"/>
      <c r="F167" s="149"/>
      <c r="G167" s="95"/>
      <c r="H167" s="149"/>
      <c r="I167" s="95"/>
      <c r="J167" s="95"/>
      <c r="K167" s="99"/>
      <c r="L167" s="99"/>
      <c r="M167" s="100"/>
      <c r="N167" s="127"/>
      <c r="O167" s="128"/>
      <c r="P167" s="95"/>
      <c r="Q167" s="137"/>
      <c r="R167" s="129"/>
      <c r="S167" s="95"/>
      <c r="T167" s="95"/>
      <c r="V167" s="107"/>
    </row>
    <row r="168" ht="15.75" customHeight="1">
      <c r="A168" s="89"/>
      <c r="B168" s="182"/>
      <c r="C168" s="149"/>
      <c r="D168" s="95"/>
      <c r="E168" s="149"/>
      <c r="F168" s="149"/>
      <c r="G168" s="95"/>
      <c r="H168" s="149"/>
      <c r="I168" s="95"/>
      <c r="J168" s="95"/>
      <c r="K168" s="113"/>
      <c r="L168" s="113"/>
      <c r="M168" s="100"/>
      <c r="N168" s="127"/>
      <c r="O168" s="128"/>
      <c r="P168" s="95"/>
      <c r="Q168" s="137"/>
      <c r="R168" s="129"/>
      <c r="S168" s="95"/>
      <c r="T168" s="95"/>
      <c r="V168" s="107"/>
    </row>
    <row r="169" ht="15.75" customHeight="1">
      <c r="A169" s="89"/>
      <c r="B169" s="182"/>
      <c r="C169" s="107"/>
      <c r="D169" s="95"/>
      <c r="E169" s="149"/>
      <c r="F169" s="149"/>
      <c r="G169" s="95"/>
      <c r="H169" s="149"/>
      <c r="I169" s="95"/>
      <c r="J169" s="95"/>
      <c r="K169" s="99"/>
      <c r="L169" s="99"/>
      <c r="M169" s="100"/>
      <c r="N169" s="127"/>
      <c r="O169" s="128"/>
      <c r="P169" s="95"/>
      <c r="Q169" s="137"/>
      <c r="R169" s="129"/>
      <c r="S169" s="95"/>
      <c r="T169" s="95"/>
      <c r="V169" s="107"/>
    </row>
    <row r="170" ht="15.75" customHeight="1">
      <c r="A170" s="89"/>
      <c r="B170" s="182"/>
      <c r="C170" s="149"/>
      <c r="D170" s="95"/>
      <c r="E170" s="149"/>
      <c r="F170" s="149"/>
      <c r="G170" s="95"/>
      <c r="H170" s="149"/>
      <c r="I170" s="95"/>
      <c r="J170" s="95"/>
      <c r="K170" s="113"/>
      <c r="L170" s="113"/>
      <c r="M170" s="100"/>
      <c r="N170" s="127"/>
      <c r="O170" s="128"/>
      <c r="P170" s="95"/>
      <c r="Q170" s="137"/>
      <c r="R170" s="129"/>
      <c r="S170" s="95"/>
      <c r="T170" s="95"/>
      <c r="V170" s="107"/>
    </row>
    <row r="171" ht="15.75" customHeight="1">
      <c r="A171" s="89"/>
      <c r="B171" s="182"/>
      <c r="C171" s="149"/>
      <c r="D171" s="95"/>
      <c r="E171" s="149"/>
      <c r="F171" s="149"/>
      <c r="G171" s="95"/>
      <c r="H171" s="149"/>
      <c r="I171" s="95"/>
      <c r="J171" s="95"/>
      <c r="K171" s="99"/>
      <c r="L171" s="99"/>
      <c r="M171" s="100"/>
      <c r="N171" s="127"/>
      <c r="O171" s="128"/>
      <c r="P171" s="95"/>
      <c r="Q171" s="137"/>
      <c r="R171" s="129"/>
      <c r="S171" s="95"/>
      <c r="T171" s="95"/>
      <c r="V171" s="107"/>
    </row>
    <row r="172" ht="15.75" customHeight="1">
      <c r="A172" s="89"/>
      <c r="B172" s="182"/>
      <c r="C172" s="149"/>
      <c r="D172" s="95"/>
      <c r="E172" s="149"/>
      <c r="F172" s="149"/>
      <c r="G172" s="95"/>
      <c r="H172" s="149"/>
      <c r="I172" s="95"/>
      <c r="J172" s="95"/>
      <c r="K172" s="113"/>
      <c r="L172" s="113"/>
      <c r="M172" s="100"/>
      <c r="N172" s="127"/>
      <c r="O172" s="128"/>
      <c r="P172" s="95"/>
      <c r="Q172" s="137"/>
      <c r="R172" s="129"/>
      <c r="S172" s="95"/>
      <c r="T172" s="95"/>
      <c r="V172" s="107"/>
    </row>
    <row r="173" ht="15.75" customHeight="1">
      <c r="A173" s="89"/>
      <c r="B173" s="182"/>
      <c r="C173" s="149"/>
      <c r="D173" s="95"/>
      <c r="E173" s="149"/>
      <c r="F173" s="149"/>
      <c r="G173" s="95"/>
      <c r="H173" s="149"/>
      <c r="I173" s="95"/>
      <c r="J173" s="95"/>
      <c r="K173" s="99"/>
      <c r="L173" s="99"/>
      <c r="M173" s="100"/>
      <c r="N173" s="127"/>
      <c r="O173" s="128"/>
      <c r="P173" s="95"/>
      <c r="Q173" s="137"/>
      <c r="R173" s="129"/>
      <c r="S173" s="95"/>
      <c r="T173" s="95"/>
      <c r="V173" s="107"/>
    </row>
    <row r="174" ht="15.75" customHeight="1">
      <c r="A174" s="89"/>
      <c r="B174" s="182"/>
      <c r="C174" s="149"/>
      <c r="D174" s="95"/>
      <c r="E174" s="149"/>
      <c r="F174" s="149"/>
      <c r="G174" s="95"/>
      <c r="H174" s="149"/>
      <c r="I174" s="95"/>
      <c r="J174" s="95"/>
      <c r="K174" s="113"/>
      <c r="L174" s="113"/>
      <c r="M174" s="100"/>
      <c r="N174" s="127"/>
      <c r="O174" s="128"/>
      <c r="P174" s="95"/>
      <c r="Q174" s="137"/>
      <c r="R174" s="129"/>
      <c r="S174" s="95"/>
      <c r="T174" s="95"/>
      <c r="V174" s="107"/>
    </row>
    <row r="175" ht="15.75" customHeight="1">
      <c r="A175" s="89"/>
      <c r="B175" s="182"/>
      <c r="C175" s="107"/>
      <c r="D175" s="95"/>
      <c r="E175" s="149"/>
      <c r="F175" s="149"/>
      <c r="G175" s="95"/>
      <c r="H175" s="149"/>
      <c r="I175" s="95"/>
      <c r="J175" s="95"/>
      <c r="K175" s="99"/>
      <c r="L175" s="99"/>
      <c r="M175" s="100"/>
      <c r="N175" s="127"/>
      <c r="O175" s="128"/>
      <c r="P175" s="95"/>
      <c r="Q175" s="137"/>
      <c r="R175" s="129"/>
      <c r="S175" s="95"/>
      <c r="T175" s="95"/>
      <c r="V175" s="107"/>
    </row>
    <row r="176" ht="15.75" customHeight="1">
      <c r="A176" s="89"/>
      <c r="B176" s="182"/>
      <c r="C176" s="149"/>
      <c r="D176" s="95"/>
      <c r="E176" s="149"/>
      <c r="F176" s="149"/>
      <c r="G176" s="95"/>
      <c r="H176" s="149"/>
      <c r="I176" s="95"/>
      <c r="J176" s="95"/>
      <c r="K176" s="113"/>
      <c r="L176" s="113"/>
      <c r="M176" s="100"/>
      <c r="N176" s="127"/>
      <c r="O176" s="128"/>
      <c r="P176" s="95"/>
      <c r="Q176" s="137"/>
      <c r="R176" s="129"/>
      <c r="S176" s="95"/>
      <c r="T176" s="95"/>
      <c r="V176" s="107"/>
    </row>
    <row r="177" ht="15.75" customHeight="1">
      <c r="A177" s="89"/>
      <c r="B177" s="182"/>
      <c r="C177" s="149"/>
      <c r="D177" s="95"/>
      <c r="E177" s="149"/>
      <c r="F177" s="149"/>
      <c r="G177" s="95"/>
      <c r="H177" s="149"/>
      <c r="I177" s="95"/>
      <c r="J177" s="95"/>
      <c r="K177" s="99"/>
      <c r="L177" s="99"/>
      <c r="M177" s="100"/>
      <c r="N177" s="127"/>
      <c r="O177" s="128"/>
      <c r="P177" s="95"/>
      <c r="Q177" s="137"/>
      <c r="R177" s="129"/>
      <c r="S177" s="95"/>
      <c r="T177" s="95"/>
      <c r="V177" s="107"/>
    </row>
    <row r="178" ht="15.75" customHeight="1">
      <c r="A178" s="89"/>
      <c r="B178" s="182"/>
      <c r="C178" s="149"/>
      <c r="D178" s="95"/>
      <c r="E178" s="149"/>
      <c r="F178" s="149"/>
      <c r="G178" s="95"/>
      <c r="H178" s="149"/>
      <c r="I178" s="95"/>
      <c r="J178" s="95"/>
      <c r="K178" s="113"/>
      <c r="L178" s="113"/>
      <c r="M178" s="100"/>
      <c r="N178" s="127"/>
      <c r="O178" s="128"/>
      <c r="P178" s="95"/>
      <c r="Q178" s="137"/>
      <c r="R178" s="129"/>
      <c r="S178" s="95"/>
      <c r="T178" s="95"/>
      <c r="V178" s="107"/>
    </row>
    <row r="179" ht="15.75" customHeight="1">
      <c r="A179" s="89"/>
      <c r="B179" s="182"/>
      <c r="C179" s="149"/>
      <c r="D179" s="95"/>
      <c r="E179" s="149"/>
      <c r="F179" s="149"/>
      <c r="G179" s="95"/>
      <c r="H179" s="149"/>
      <c r="I179" s="95"/>
      <c r="J179" s="95"/>
      <c r="K179" s="99"/>
      <c r="L179" s="99"/>
      <c r="M179" s="100"/>
      <c r="N179" s="127"/>
      <c r="O179" s="128"/>
      <c r="P179" s="95"/>
      <c r="Q179" s="137"/>
      <c r="R179" s="129"/>
      <c r="S179" s="95"/>
      <c r="T179" s="95"/>
      <c r="V179" s="107"/>
    </row>
    <row r="180" ht="15.75" customHeight="1">
      <c r="A180" s="89"/>
      <c r="B180" s="182"/>
      <c r="C180" s="149"/>
      <c r="D180" s="95"/>
      <c r="E180" s="149"/>
      <c r="F180" s="149"/>
      <c r="G180" s="95"/>
      <c r="H180" s="149"/>
      <c r="I180" s="95"/>
      <c r="J180" s="95"/>
      <c r="K180" s="113"/>
      <c r="L180" s="113"/>
      <c r="M180" s="100"/>
      <c r="N180" s="127"/>
      <c r="O180" s="128"/>
      <c r="P180" s="95"/>
      <c r="Q180" s="137"/>
      <c r="R180" s="129"/>
      <c r="S180" s="95"/>
      <c r="T180" s="95"/>
      <c r="V180" s="107"/>
    </row>
    <row r="181" ht="15.75" customHeight="1">
      <c r="A181" s="89"/>
      <c r="B181" s="182"/>
      <c r="C181" s="107"/>
      <c r="D181" s="95"/>
      <c r="E181" s="149"/>
      <c r="F181" s="149"/>
      <c r="G181" s="95"/>
      <c r="H181" s="149"/>
      <c r="I181" s="95"/>
      <c r="J181" s="95"/>
      <c r="K181" s="99"/>
      <c r="L181" s="99"/>
      <c r="M181" s="100"/>
      <c r="N181" s="127"/>
      <c r="O181" s="128"/>
      <c r="P181" s="95"/>
      <c r="Q181" s="137"/>
      <c r="R181" s="129"/>
      <c r="S181" s="95"/>
      <c r="T181" s="95"/>
      <c r="V181" s="107"/>
    </row>
    <row r="182" ht="15.75" customHeight="1">
      <c r="A182" s="89"/>
      <c r="B182" s="182"/>
      <c r="C182" s="149"/>
      <c r="D182" s="95"/>
      <c r="E182" s="149"/>
      <c r="F182" s="149"/>
      <c r="G182" s="95"/>
      <c r="H182" s="149"/>
      <c r="I182" s="95"/>
      <c r="J182" s="95"/>
      <c r="K182" s="113"/>
      <c r="L182" s="113"/>
      <c r="M182" s="100"/>
      <c r="N182" s="127"/>
      <c r="O182" s="128"/>
      <c r="P182" s="95"/>
      <c r="Q182" s="137"/>
      <c r="R182" s="129"/>
      <c r="S182" s="95"/>
      <c r="T182" s="95"/>
      <c r="V182" s="107"/>
    </row>
    <row r="183" ht="15.75" customHeight="1">
      <c r="A183" s="89"/>
      <c r="B183" s="182"/>
      <c r="C183" s="149"/>
      <c r="D183" s="95"/>
      <c r="E183" s="149"/>
      <c r="F183" s="149"/>
      <c r="G183" s="95"/>
      <c r="H183" s="149"/>
      <c r="I183" s="95"/>
      <c r="J183" s="95"/>
      <c r="K183" s="99"/>
      <c r="L183" s="99"/>
      <c r="M183" s="100"/>
      <c r="N183" s="127"/>
      <c r="O183" s="128"/>
      <c r="P183" s="95"/>
      <c r="Q183" s="137"/>
      <c r="R183" s="129"/>
      <c r="S183" s="95"/>
      <c r="T183" s="95"/>
      <c r="V183" s="107"/>
    </row>
    <row r="184" ht="15.75" customHeight="1">
      <c r="A184" s="89"/>
      <c r="B184" s="182"/>
      <c r="C184" s="149"/>
      <c r="D184" s="95"/>
      <c r="E184" s="149"/>
      <c r="F184" s="149"/>
      <c r="G184" s="95"/>
      <c r="H184" s="149"/>
      <c r="I184" s="95"/>
      <c r="J184" s="95"/>
      <c r="K184" s="113"/>
      <c r="L184" s="113"/>
      <c r="M184" s="100"/>
      <c r="N184" s="127"/>
      <c r="O184" s="128"/>
      <c r="P184" s="95"/>
      <c r="Q184" s="137"/>
      <c r="R184" s="129"/>
      <c r="S184" s="95"/>
      <c r="T184" s="95"/>
      <c r="V184" s="107"/>
    </row>
    <row r="185" ht="15.75" customHeight="1">
      <c r="A185" s="89"/>
      <c r="B185" s="182"/>
      <c r="C185" s="149"/>
      <c r="D185" s="95"/>
      <c r="E185" s="149"/>
      <c r="F185" s="149"/>
      <c r="G185" s="95"/>
      <c r="H185" s="149"/>
      <c r="I185" s="95"/>
      <c r="J185" s="95"/>
      <c r="K185" s="99"/>
      <c r="L185" s="99"/>
      <c r="M185" s="100"/>
      <c r="N185" s="127"/>
      <c r="O185" s="128"/>
      <c r="P185" s="95"/>
      <c r="Q185" s="137"/>
      <c r="R185" s="129"/>
      <c r="S185" s="95"/>
      <c r="T185" s="95"/>
      <c r="V185" s="107"/>
    </row>
    <row r="186" ht="15.75" customHeight="1">
      <c r="A186" s="89"/>
      <c r="B186" s="182"/>
      <c r="C186" s="149"/>
      <c r="D186" s="95"/>
      <c r="E186" s="149"/>
      <c r="F186" s="149"/>
      <c r="G186" s="95"/>
      <c r="H186" s="149"/>
      <c r="I186" s="95"/>
      <c r="J186" s="95"/>
      <c r="K186" s="113"/>
      <c r="L186" s="113"/>
      <c r="M186" s="100"/>
      <c r="N186" s="127"/>
      <c r="O186" s="128"/>
      <c r="P186" s="95"/>
      <c r="Q186" s="137"/>
      <c r="R186" s="129"/>
      <c r="S186" s="95"/>
      <c r="T186" s="95"/>
      <c r="V186" s="107"/>
    </row>
    <row r="187" ht="15.75" customHeight="1">
      <c r="A187" s="89"/>
      <c r="B187" s="182"/>
      <c r="C187" s="107"/>
      <c r="D187" s="95"/>
      <c r="E187" s="149"/>
      <c r="F187" s="149"/>
      <c r="G187" s="95"/>
      <c r="H187" s="149"/>
      <c r="I187" s="95"/>
      <c r="J187" s="95"/>
      <c r="K187" s="99"/>
      <c r="L187" s="99"/>
      <c r="M187" s="100"/>
      <c r="N187" s="127"/>
      <c r="O187" s="128"/>
      <c r="P187" s="95"/>
      <c r="Q187" s="137"/>
      <c r="R187" s="129"/>
      <c r="S187" s="95"/>
      <c r="T187" s="95"/>
      <c r="V187" s="107"/>
    </row>
    <row r="188" ht="15.75" customHeight="1">
      <c r="A188" s="89"/>
      <c r="B188" s="182"/>
      <c r="C188" s="149"/>
      <c r="D188" s="95"/>
      <c r="E188" s="149"/>
      <c r="F188" s="149"/>
      <c r="G188" s="95"/>
      <c r="H188" s="149"/>
      <c r="I188" s="95"/>
      <c r="J188" s="95"/>
      <c r="K188" s="113"/>
      <c r="L188" s="113"/>
      <c r="M188" s="100"/>
      <c r="N188" s="127"/>
      <c r="O188" s="128"/>
      <c r="P188" s="95"/>
      <c r="Q188" s="137"/>
      <c r="R188" s="129"/>
      <c r="S188" s="95"/>
      <c r="T188" s="95"/>
      <c r="V188" s="107"/>
    </row>
    <row r="189" ht="15.75" customHeight="1">
      <c r="A189" s="89"/>
      <c r="B189" s="182"/>
      <c r="C189" s="149"/>
      <c r="D189" s="95"/>
      <c r="E189" s="149"/>
      <c r="F189" s="149"/>
      <c r="G189" s="95"/>
      <c r="H189" s="149"/>
      <c r="I189" s="95"/>
      <c r="J189" s="95"/>
      <c r="K189" s="99"/>
      <c r="L189" s="99"/>
      <c r="M189" s="100"/>
      <c r="N189" s="127"/>
      <c r="O189" s="128"/>
      <c r="P189" s="95"/>
      <c r="Q189" s="137"/>
      <c r="R189" s="129"/>
      <c r="S189" s="95"/>
      <c r="T189" s="95"/>
      <c r="V189" s="107"/>
    </row>
    <row r="190" ht="15.75" customHeight="1">
      <c r="A190" s="89"/>
      <c r="B190" s="182"/>
      <c r="C190" s="149"/>
      <c r="D190" s="95"/>
      <c r="E190" s="149"/>
      <c r="F190" s="149"/>
      <c r="G190" s="95"/>
      <c r="H190" s="149"/>
      <c r="I190" s="95"/>
      <c r="J190" s="95"/>
      <c r="K190" s="113"/>
      <c r="L190" s="113"/>
      <c r="M190" s="100"/>
      <c r="N190" s="127"/>
      <c r="O190" s="128"/>
      <c r="P190" s="95"/>
      <c r="Q190" s="137"/>
      <c r="R190" s="129"/>
      <c r="S190" s="95"/>
      <c r="T190" s="95"/>
      <c r="V190" s="107"/>
    </row>
    <row r="191" ht="15.75" customHeight="1">
      <c r="A191" s="89"/>
      <c r="B191" s="182"/>
      <c r="C191" s="149"/>
      <c r="D191" s="95"/>
      <c r="E191" s="149"/>
      <c r="F191" s="149"/>
      <c r="G191" s="95"/>
      <c r="H191" s="149"/>
      <c r="I191" s="95"/>
      <c r="J191" s="95"/>
      <c r="K191" s="99"/>
      <c r="L191" s="99"/>
      <c r="M191" s="100"/>
      <c r="N191" s="127"/>
      <c r="O191" s="128"/>
      <c r="P191" s="95"/>
      <c r="Q191" s="137"/>
      <c r="R191" s="129"/>
      <c r="S191" s="95"/>
      <c r="T191" s="95"/>
      <c r="V191" s="107"/>
    </row>
    <row r="192" ht="15.75" customHeight="1">
      <c r="A192" s="89"/>
      <c r="B192" s="182"/>
      <c r="C192" s="149"/>
      <c r="D192" s="95"/>
      <c r="E192" s="149"/>
      <c r="F192" s="149"/>
      <c r="G192" s="95"/>
      <c r="H192" s="149"/>
      <c r="I192" s="95"/>
      <c r="J192" s="95"/>
      <c r="K192" s="113"/>
      <c r="L192" s="113"/>
      <c r="M192" s="100"/>
      <c r="N192" s="127"/>
      <c r="O192" s="128"/>
      <c r="P192" s="95"/>
      <c r="Q192" s="137"/>
      <c r="R192" s="129"/>
      <c r="S192" s="95"/>
      <c r="T192" s="95"/>
      <c r="V192" s="107"/>
    </row>
    <row r="193" ht="15.75" customHeight="1">
      <c r="A193" s="89"/>
      <c r="B193" s="182"/>
      <c r="C193" s="107"/>
      <c r="D193" s="95"/>
      <c r="E193" s="149"/>
      <c r="F193" s="149"/>
      <c r="G193" s="95"/>
      <c r="H193" s="149"/>
      <c r="I193" s="95"/>
      <c r="J193" s="95"/>
      <c r="K193" s="99"/>
      <c r="L193" s="99"/>
      <c r="M193" s="100"/>
      <c r="N193" s="127"/>
      <c r="O193" s="128"/>
      <c r="P193" s="95"/>
      <c r="Q193" s="137"/>
      <c r="R193" s="129"/>
      <c r="S193" s="95"/>
      <c r="T193" s="95"/>
      <c r="V193" s="107"/>
    </row>
    <row r="194" ht="15.75" customHeight="1">
      <c r="A194" s="89"/>
      <c r="B194" s="182"/>
      <c r="C194" s="149"/>
      <c r="D194" s="95"/>
      <c r="E194" s="149"/>
      <c r="F194" s="149"/>
      <c r="G194" s="95"/>
      <c r="H194" s="149"/>
      <c r="I194" s="95"/>
      <c r="J194" s="95"/>
      <c r="K194" s="113"/>
      <c r="L194" s="113"/>
      <c r="M194" s="100"/>
      <c r="N194" s="127"/>
      <c r="O194" s="128"/>
      <c r="P194" s="95"/>
      <c r="Q194" s="137"/>
      <c r="R194" s="129"/>
      <c r="S194" s="95"/>
      <c r="T194" s="95"/>
      <c r="V194" s="107"/>
    </row>
    <row r="195" ht="15.75" customHeight="1">
      <c r="A195" s="89"/>
      <c r="B195" s="182"/>
      <c r="C195" s="149"/>
      <c r="D195" s="95"/>
      <c r="E195" s="149"/>
      <c r="F195" s="149"/>
      <c r="G195" s="95"/>
      <c r="H195" s="149"/>
      <c r="I195" s="95"/>
      <c r="J195" s="95"/>
      <c r="K195" s="99"/>
      <c r="L195" s="99"/>
      <c r="M195" s="100"/>
      <c r="N195" s="127"/>
      <c r="O195" s="128"/>
      <c r="P195" s="95"/>
      <c r="Q195" s="137"/>
      <c r="R195" s="129"/>
      <c r="S195" s="95"/>
      <c r="T195" s="95"/>
      <c r="V195" s="107"/>
    </row>
    <row r="196" ht="15.75" customHeight="1">
      <c r="A196" s="89"/>
      <c r="B196" s="182"/>
      <c r="C196" s="149"/>
      <c r="D196" s="95"/>
      <c r="E196" s="149"/>
      <c r="F196" s="149"/>
      <c r="G196" s="95"/>
      <c r="H196" s="149"/>
      <c r="I196" s="95"/>
      <c r="J196" s="95"/>
      <c r="K196" s="113"/>
      <c r="L196" s="113"/>
      <c r="M196" s="100"/>
      <c r="N196" s="127"/>
      <c r="O196" s="128"/>
      <c r="P196" s="95"/>
      <c r="Q196" s="137"/>
      <c r="R196" s="129"/>
      <c r="S196" s="95"/>
      <c r="T196" s="95"/>
      <c r="V196" s="107"/>
    </row>
    <row r="197" ht="15.75" customHeight="1">
      <c r="A197" s="89"/>
      <c r="B197" s="182"/>
      <c r="C197" s="149"/>
      <c r="D197" s="95"/>
      <c r="E197" s="149"/>
      <c r="F197" s="149"/>
      <c r="G197" s="95"/>
      <c r="H197" s="149"/>
      <c r="I197" s="95"/>
      <c r="J197" s="95"/>
      <c r="K197" s="99"/>
      <c r="L197" s="99"/>
      <c r="M197" s="100"/>
      <c r="N197" s="127"/>
      <c r="O197" s="128"/>
      <c r="P197" s="95"/>
      <c r="Q197" s="137"/>
      <c r="R197" s="129"/>
      <c r="S197" s="95"/>
      <c r="T197" s="95"/>
      <c r="V197" s="107"/>
    </row>
    <row r="198" ht="15.75" customHeight="1">
      <c r="A198" s="89"/>
      <c r="B198" s="182"/>
      <c r="C198" s="149"/>
      <c r="D198" s="95"/>
      <c r="E198" s="149"/>
      <c r="F198" s="149"/>
      <c r="G198" s="95"/>
      <c r="H198" s="149"/>
      <c r="I198" s="95"/>
      <c r="J198" s="95"/>
      <c r="K198" s="113"/>
      <c r="L198" s="113"/>
      <c r="M198" s="100"/>
      <c r="N198" s="127"/>
      <c r="O198" s="128"/>
      <c r="P198" s="95"/>
      <c r="Q198" s="137"/>
      <c r="R198" s="129"/>
      <c r="S198" s="95"/>
      <c r="T198" s="95"/>
      <c r="V198" s="107"/>
    </row>
    <row r="199" ht="15.75" customHeight="1">
      <c r="A199" s="89"/>
      <c r="B199" s="182"/>
      <c r="C199" s="107"/>
      <c r="D199" s="95"/>
      <c r="E199" s="149"/>
      <c r="F199" s="149"/>
      <c r="G199" s="95"/>
      <c r="H199" s="149"/>
      <c r="I199" s="95"/>
      <c r="J199" s="95"/>
      <c r="K199" s="99"/>
      <c r="L199" s="99"/>
      <c r="M199" s="100"/>
      <c r="N199" s="127"/>
      <c r="O199" s="128"/>
      <c r="P199" s="95"/>
      <c r="Q199" s="137"/>
      <c r="R199" s="129"/>
      <c r="S199" s="95"/>
      <c r="T199" s="95"/>
      <c r="V199" s="107"/>
    </row>
    <row r="200" ht="15.75" customHeight="1">
      <c r="A200" s="89"/>
      <c r="B200" s="182"/>
      <c r="C200" s="149"/>
      <c r="D200" s="95"/>
      <c r="E200" s="149"/>
      <c r="F200" s="149"/>
      <c r="G200" s="95"/>
      <c r="H200" s="149"/>
      <c r="I200" s="95"/>
      <c r="J200" s="95"/>
      <c r="K200" s="113"/>
      <c r="L200" s="113"/>
      <c r="M200" s="100"/>
      <c r="N200" s="127"/>
      <c r="O200" s="128"/>
      <c r="P200" s="95"/>
      <c r="Q200" s="137"/>
      <c r="R200" s="129"/>
      <c r="S200" s="95"/>
      <c r="T200" s="95"/>
      <c r="V200" s="107"/>
    </row>
    <row r="201" ht="15.75" customHeight="1">
      <c r="A201" s="89"/>
      <c r="B201" s="182"/>
      <c r="C201" s="149"/>
      <c r="D201" s="95"/>
      <c r="E201" s="149"/>
      <c r="F201" s="149"/>
      <c r="G201" s="95"/>
      <c r="H201" s="149"/>
      <c r="I201" s="95"/>
      <c r="J201" s="95"/>
      <c r="K201" s="99"/>
      <c r="L201" s="99"/>
      <c r="M201" s="100"/>
      <c r="N201" s="127"/>
      <c r="O201" s="128"/>
      <c r="P201" s="95"/>
      <c r="Q201" s="137"/>
      <c r="R201" s="129"/>
      <c r="S201" s="95"/>
      <c r="T201" s="95"/>
      <c r="V201" s="107"/>
    </row>
    <row r="202" ht="15.75" customHeight="1">
      <c r="A202" s="89"/>
      <c r="B202" s="182"/>
      <c r="C202" s="149"/>
      <c r="D202" s="95"/>
      <c r="E202" s="149"/>
      <c r="F202" s="149"/>
      <c r="G202" s="95"/>
      <c r="H202" s="149"/>
      <c r="I202" s="95"/>
      <c r="J202" s="95"/>
      <c r="K202" s="113"/>
      <c r="L202" s="113"/>
      <c r="M202" s="100"/>
      <c r="N202" s="127"/>
      <c r="O202" s="128"/>
      <c r="P202" s="95"/>
      <c r="Q202" s="137"/>
      <c r="R202" s="129"/>
      <c r="S202" s="95"/>
      <c r="T202" s="95"/>
      <c r="V202" s="107"/>
    </row>
    <row r="203" ht="15.75" customHeight="1">
      <c r="A203" s="89"/>
      <c r="B203" s="182"/>
      <c r="C203" s="149"/>
      <c r="D203" s="95"/>
      <c r="E203" s="149"/>
      <c r="F203" s="149"/>
      <c r="G203" s="95"/>
      <c r="H203" s="149"/>
      <c r="I203" s="95"/>
      <c r="J203" s="95"/>
      <c r="K203" s="99"/>
      <c r="L203" s="99"/>
      <c r="M203" s="100"/>
      <c r="N203" s="127"/>
      <c r="O203" s="128"/>
      <c r="P203" s="95"/>
      <c r="Q203" s="137"/>
      <c r="R203" s="129"/>
      <c r="S203" s="95"/>
      <c r="T203" s="95"/>
      <c r="V203" s="107"/>
    </row>
    <row r="204" ht="15.75" customHeight="1">
      <c r="A204" s="89"/>
      <c r="B204" s="182"/>
      <c r="C204" s="149"/>
      <c r="D204" s="95"/>
      <c r="E204" s="149"/>
      <c r="F204" s="149"/>
      <c r="G204" s="95"/>
      <c r="H204" s="149"/>
      <c r="I204" s="95"/>
      <c r="J204" s="95"/>
      <c r="K204" s="113"/>
      <c r="L204" s="113"/>
      <c r="M204" s="100"/>
      <c r="N204" s="127"/>
      <c r="O204" s="128"/>
      <c r="P204" s="95"/>
      <c r="Q204" s="137"/>
      <c r="R204" s="129"/>
      <c r="S204" s="95"/>
      <c r="T204" s="95"/>
      <c r="V204" s="107"/>
    </row>
    <row r="205" ht="15.75" customHeight="1">
      <c r="A205" s="89"/>
      <c r="B205" s="182"/>
      <c r="C205" s="107"/>
      <c r="D205" s="95"/>
      <c r="E205" s="149"/>
      <c r="F205" s="149"/>
      <c r="G205" s="95"/>
      <c r="H205" s="149"/>
      <c r="I205" s="95"/>
      <c r="J205" s="95"/>
      <c r="K205" s="99"/>
      <c r="L205" s="99"/>
      <c r="M205" s="100"/>
      <c r="N205" s="127"/>
      <c r="O205" s="128"/>
      <c r="P205" s="95"/>
      <c r="Q205" s="137"/>
      <c r="R205" s="129"/>
      <c r="S205" s="95"/>
      <c r="T205" s="95"/>
      <c r="V205" s="107"/>
    </row>
    <row r="206" ht="15.75" customHeight="1">
      <c r="A206" s="89"/>
      <c r="B206" s="182"/>
      <c r="C206" s="149"/>
      <c r="D206" s="95"/>
      <c r="E206" s="149"/>
      <c r="F206" s="149"/>
      <c r="G206" s="95"/>
      <c r="H206" s="149"/>
      <c r="I206" s="95"/>
      <c r="J206" s="95"/>
      <c r="K206" s="113"/>
      <c r="L206" s="113"/>
      <c r="M206" s="100"/>
      <c r="N206" s="127"/>
      <c r="O206" s="128"/>
      <c r="P206" s="95"/>
      <c r="Q206" s="137"/>
      <c r="R206" s="129"/>
      <c r="S206" s="95"/>
      <c r="T206" s="95"/>
      <c r="V206" s="107"/>
    </row>
    <row r="207" ht="15.75" customHeight="1">
      <c r="A207" s="89"/>
      <c r="B207" s="182"/>
      <c r="C207" s="149"/>
      <c r="D207" s="95"/>
      <c r="E207" s="149"/>
      <c r="F207" s="149"/>
      <c r="G207" s="95"/>
      <c r="H207" s="149"/>
      <c r="I207" s="95"/>
      <c r="J207" s="95"/>
      <c r="K207" s="99"/>
      <c r="L207" s="99"/>
      <c r="M207" s="100"/>
      <c r="N207" s="127"/>
      <c r="O207" s="128"/>
      <c r="P207" s="95"/>
      <c r="Q207" s="137"/>
      <c r="R207" s="129"/>
      <c r="S207" s="95"/>
      <c r="T207" s="95"/>
      <c r="V207" s="107"/>
    </row>
    <row r="208" ht="15.75" customHeight="1">
      <c r="A208" s="89"/>
      <c r="B208" s="182"/>
      <c r="C208" s="149"/>
      <c r="D208" s="95"/>
      <c r="E208" s="149"/>
      <c r="F208" s="149"/>
      <c r="G208" s="95"/>
      <c r="H208" s="149"/>
      <c r="I208" s="95"/>
      <c r="J208" s="95"/>
      <c r="K208" s="113"/>
      <c r="L208" s="113"/>
      <c r="M208" s="100"/>
      <c r="N208" s="127"/>
      <c r="O208" s="128"/>
      <c r="P208" s="95"/>
      <c r="Q208" s="137"/>
      <c r="R208" s="129"/>
      <c r="S208" s="95"/>
      <c r="T208" s="95"/>
      <c r="V208" s="107"/>
    </row>
    <row r="209" ht="15.75" customHeight="1">
      <c r="A209" s="89"/>
      <c r="B209" s="182"/>
      <c r="C209" s="149"/>
      <c r="D209" s="95"/>
      <c r="E209" s="149"/>
      <c r="F209" s="149"/>
      <c r="G209" s="95"/>
      <c r="H209" s="149"/>
      <c r="I209" s="95"/>
      <c r="J209" s="95"/>
      <c r="K209" s="99"/>
      <c r="L209" s="99"/>
      <c r="M209" s="100"/>
      <c r="N209" s="127"/>
      <c r="O209" s="128"/>
      <c r="P209" s="95"/>
      <c r="Q209" s="137"/>
      <c r="R209" s="129"/>
      <c r="S209" s="95"/>
      <c r="T209" s="95"/>
      <c r="V209" s="107"/>
    </row>
    <row r="210" ht="15.75" customHeight="1">
      <c r="A210" s="89"/>
      <c r="B210" s="182"/>
      <c r="C210" s="149"/>
      <c r="D210" s="95"/>
      <c r="E210" s="149"/>
      <c r="F210" s="149"/>
      <c r="G210" s="95"/>
      <c r="H210" s="149"/>
      <c r="I210" s="95"/>
      <c r="J210" s="95"/>
      <c r="K210" s="113"/>
      <c r="L210" s="113"/>
      <c r="M210" s="100"/>
      <c r="N210" s="127"/>
      <c r="O210" s="128"/>
      <c r="P210" s="95"/>
      <c r="Q210" s="137"/>
      <c r="R210" s="129"/>
      <c r="S210" s="95"/>
      <c r="T210" s="95"/>
      <c r="V210" s="107"/>
    </row>
    <row r="211" ht="15.75" customHeight="1">
      <c r="A211" s="89"/>
      <c r="B211" s="182"/>
      <c r="C211" s="107"/>
      <c r="D211" s="95"/>
      <c r="E211" s="149"/>
      <c r="F211" s="149"/>
      <c r="G211" s="95"/>
      <c r="H211" s="149"/>
      <c r="I211" s="95"/>
      <c r="J211" s="95"/>
      <c r="K211" s="99"/>
      <c r="L211" s="99"/>
      <c r="M211" s="100"/>
      <c r="N211" s="127"/>
      <c r="O211" s="128"/>
      <c r="P211" s="95"/>
      <c r="Q211" s="137"/>
      <c r="R211" s="129"/>
      <c r="S211" s="95"/>
      <c r="T211" s="95"/>
      <c r="V211" s="107"/>
    </row>
    <row r="212" ht="15.75" customHeight="1">
      <c r="A212" s="89"/>
      <c r="B212" s="182"/>
      <c r="C212" s="149"/>
      <c r="D212" s="95"/>
      <c r="E212" s="149"/>
      <c r="F212" s="149"/>
      <c r="G212" s="95"/>
      <c r="H212" s="149"/>
      <c r="I212" s="95"/>
      <c r="J212" s="95"/>
      <c r="K212" s="113"/>
      <c r="L212" s="113"/>
      <c r="M212" s="100"/>
      <c r="N212" s="127"/>
      <c r="O212" s="128"/>
      <c r="P212" s="95"/>
      <c r="Q212" s="137"/>
      <c r="R212" s="129"/>
      <c r="S212" s="95"/>
      <c r="T212" s="95"/>
      <c r="V212" s="107"/>
    </row>
    <row r="213" ht="15.75" customHeight="1">
      <c r="A213" s="89"/>
      <c r="B213" s="182"/>
      <c r="C213" s="149"/>
      <c r="D213" s="95"/>
      <c r="E213" s="149"/>
      <c r="F213" s="149"/>
      <c r="G213" s="95"/>
      <c r="H213" s="149"/>
      <c r="I213" s="95"/>
      <c r="J213" s="95"/>
      <c r="K213" s="99"/>
      <c r="L213" s="99"/>
      <c r="M213" s="100"/>
      <c r="N213" s="127"/>
      <c r="O213" s="128"/>
      <c r="P213" s="95"/>
      <c r="Q213" s="137"/>
      <c r="R213" s="129"/>
      <c r="S213" s="95"/>
      <c r="T213" s="95"/>
      <c r="V213" s="107"/>
    </row>
    <row r="214" ht="15.75" customHeight="1">
      <c r="A214" s="89"/>
      <c r="B214" s="182"/>
      <c r="C214" s="149"/>
      <c r="D214" s="95"/>
      <c r="E214" s="149"/>
      <c r="F214" s="149"/>
      <c r="G214" s="95"/>
      <c r="H214" s="149"/>
      <c r="I214" s="95"/>
      <c r="J214" s="95"/>
      <c r="K214" s="113"/>
      <c r="L214" s="113"/>
      <c r="M214" s="100"/>
      <c r="N214" s="127"/>
      <c r="O214" s="128"/>
      <c r="P214" s="95"/>
      <c r="Q214" s="137"/>
      <c r="R214" s="129"/>
      <c r="S214" s="95"/>
      <c r="T214" s="95"/>
      <c r="V214" s="107"/>
    </row>
    <row r="215" ht="15.75" customHeight="1">
      <c r="A215" s="89"/>
      <c r="B215" s="182"/>
      <c r="C215" s="149"/>
      <c r="D215" s="95"/>
      <c r="E215" s="149"/>
      <c r="F215" s="149"/>
      <c r="G215" s="95"/>
      <c r="H215" s="149"/>
      <c r="I215" s="95"/>
      <c r="J215" s="95"/>
      <c r="K215" s="99"/>
      <c r="L215" s="99"/>
      <c r="M215" s="100"/>
      <c r="N215" s="127"/>
      <c r="O215" s="128"/>
      <c r="P215" s="95"/>
      <c r="Q215" s="137"/>
      <c r="R215" s="129"/>
      <c r="S215" s="95"/>
      <c r="T215" s="95"/>
      <c r="V215" s="107"/>
    </row>
    <row r="216" ht="15.75" customHeight="1">
      <c r="A216" s="89"/>
      <c r="B216" s="182"/>
      <c r="C216" s="149"/>
      <c r="D216" s="95"/>
      <c r="E216" s="149"/>
      <c r="F216" s="149"/>
      <c r="G216" s="95"/>
      <c r="H216" s="149"/>
      <c r="I216" s="95"/>
      <c r="J216" s="95"/>
      <c r="K216" s="113"/>
      <c r="L216" s="113"/>
      <c r="M216" s="100"/>
      <c r="N216" s="127"/>
      <c r="O216" s="128"/>
      <c r="P216" s="95"/>
      <c r="Q216" s="137"/>
      <c r="R216" s="129"/>
      <c r="S216" s="95"/>
      <c r="T216" s="95"/>
      <c r="V216" s="107"/>
    </row>
    <row r="217" ht="15.75" customHeight="1">
      <c r="A217" s="89"/>
      <c r="B217" s="182"/>
      <c r="C217" s="107"/>
      <c r="D217" s="95"/>
      <c r="E217" s="149"/>
      <c r="F217" s="149"/>
      <c r="G217" s="95"/>
      <c r="H217" s="149"/>
      <c r="I217" s="95"/>
      <c r="J217" s="95"/>
      <c r="K217" s="99"/>
      <c r="L217" s="99"/>
      <c r="M217" s="100"/>
      <c r="N217" s="127"/>
      <c r="O217" s="128"/>
      <c r="P217" s="95"/>
      <c r="Q217" s="137"/>
      <c r="R217" s="129"/>
      <c r="S217" s="95"/>
      <c r="T217" s="95"/>
      <c r="V217" s="107"/>
    </row>
    <row r="218" ht="15.75" customHeight="1">
      <c r="A218" s="89"/>
      <c r="B218" s="182"/>
      <c r="C218" s="149"/>
      <c r="D218" s="95"/>
      <c r="E218" s="149"/>
      <c r="F218" s="149"/>
      <c r="G218" s="95"/>
      <c r="H218" s="149"/>
      <c r="I218" s="95"/>
      <c r="J218" s="95"/>
      <c r="K218" s="113"/>
      <c r="L218" s="113"/>
      <c r="M218" s="100"/>
      <c r="N218" s="127"/>
      <c r="O218" s="128"/>
      <c r="P218" s="95"/>
      <c r="Q218" s="137"/>
      <c r="R218" s="129"/>
      <c r="S218" s="95"/>
      <c r="T218" s="95"/>
      <c r="V218" s="107"/>
    </row>
    <row r="219" ht="15.75" customHeight="1">
      <c r="A219" s="89"/>
      <c r="B219" s="182"/>
      <c r="C219" s="149"/>
      <c r="D219" s="95"/>
      <c r="E219" s="149"/>
      <c r="F219" s="149"/>
      <c r="G219" s="95"/>
      <c r="H219" s="149"/>
      <c r="I219" s="95"/>
      <c r="J219" s="95"/>
      <c r="K219" s="99"/>
      <c r="L219" s="99"/>
      <c r="M219" s="100"/>
      <c r="N219" s="127"/>
      <c r="O219" s="128"/>
      <c r="P219" s="95"/>
      <c r="Q219" s="137"/>
      <c r="R219" s="129"/>
      <c r="S219" s="95"/>
      <c r="T219" s="95"/>
      <c r="V219" s="107"/>
    </row>
    <row r="220" ht="15.75" customHeight="1">
      <c r="A220" s="89"/>
      <c r="B220" s="182"/>
      <c r="C220" s="149"/>
      <c r="D220" s="95"/>
      <c r="E220" s="149"/>
      <c r="F220" s="149"/>
      <c r="G220" s="95"/>
      <c r="H220" s="149"/>
      <c r="I220" s="95"/>
      <c r="J220" s="95"/>
      <c r="K220" s="113"/>
      <c r="L220" s="113"/>
      <c r="M220" s="100"/>
      <c r="N220" s="127"/>
      <c r="O220" s="128"/>
      <c r="P220" s="95"/>
      <c r="Q220" s="137"/>
      <c r="R220" s="129"/>
      <c r="S220" s="95"/>
      <c r="T220" s="95"/>
      <c r="V220" s="107"/>
    </row>
    <row r="221" ht="15.75" customHeight="1">
      <c r="A221" s="89"/>
      <c r="B221" s="182"/>
      <c r="C221" s="149"/>
      <c r="D221" s="95"/>
      <c r="E221" s="149"/>
      <c r="F221" s="149"/>
      <c r="G221" s="95"/>
      <c r="H221" s="149"/>
      <c r="I221" s="95"/>
      <c r="J221" s="95"/>
      <c r="K221" s="99"/>
      <c r="L221" s="99"/>
      <c r="M221" s="100"/>
      <c r="N221" s="127"/>
      <c r="O221" s="128"/>
      <c r="P221" s="95"/>
      <c r="Q221" s="137"/>
      <c r="R221" s="129"/>
      <c r="S221" s="95"/>
      <c r="T221" s="95"/>
      <c r="V221" s="107"/>
    </row>
    <row r="222" ht="15.75" customHeight="1">
      <c r="A222" s="89"/>
      <c r="B222" s="182"/>
      <c r="C222" s="149"/>
      <c r="D222" s="95"/>
      <c r="E222" s="149"/>
      <c r="F222" s="149"/>
      <c r="G222" s="95"/>
      <c r="H222" s="149"/>
      <c r="I222" s="95"/>
      <c r="J222" s="95"/>
      <c r="K222" s="113"/>
      <c r="L222" s="113"/>
      <c r="M222" s="100"/>
      <c r="N222" s="127"/>
      <c r="O222" s="128"/>
      <c r="P222" s="95"/>
      <c r="Q222" s="137"/>
      <c r="R222" s="129"/>
      <c r="S222" s="95"/>
      <c r="T222" s="95"/>
      <c r="V222" s="107"/>
    </row>
    <row r="223" ht="15.75" customHeight="1">
      <c r="A223" s="89"/>
      <c r="B223" s="182"/>
      <c r="C223" s="107"/>
      <c r="D223" s="95"/>
      <c r="E223" s="149"/>
      <c r="F223" s="149"/>
      <c r="G223" s="95"/>
      <c r="H223" s="149"/>
      <c r="I223" s="95"/>
      <c r="J223" s="95"/>
      <c r="K223" s="99"/>
      <c r="L223" s="99"/>
      <c r="M223" s="100"/>
      <c r="N223" s="127"/>
      <c r="O223" s="128"/>
      <c r="P223" s="95"/>
      <c r="Q223" s="137"/>
      <c r="R223" s="129"/>
      <c r="S223" s="95"/>
      <c r="T223" s="95"/>
      <c r="V223" s="107"/>
    </row>
    <row r="224" ht="15.75" customHeight="1">
      <c r="A224" s="89"/>
      <c r="B224" s="182"/>
      <c r="C224" s="149"/>
      <c r="D224" s="95"/>
      <c r="E224" s="149"/>
      <c r="F224" s="149"/>
      <c r="G224" s="95"/>
      <c r="H224" s="149"/>
      <c r="I224" s="95"/>
      <c r="J224" s="95"/>
      <c r="K224" s="113"/>
      <c r="L224" s="113"/>
      <c r="M224" s="100"/>
      <c r="N224" s="127"/>
      <c r="O224" s="128"/>
      <c r="P224" s="95"/>
      <c r="Q224" s="137"/>
      <c r="R224" s="129"/>
      <c r="S224" s="95"/>
      <c r="T224" s="95"/>
      <c r="V224" s="107"/>
    </row>
    <row r="225" ht="15.75" customHeight="1">
      <c r="A225" s="89"/>
      <c r="B225" s="182"/>
      <c r="C225" s="149"/>
      <c r="D225" s="95"/>
      <c r="E225" s="149"/>
      <c r="F225" s="149"/>
      <c r="G225" s="95"/>
      <c r="H225" s="149"/>
      <c r="I225" s="95"/>
      <c r="J225" s="95"/>
      <c r="K225" s="99"/>
      <c r="L225" s="99"/>
      <c r="M225" s="100"/>
      <c r="N225" s="127"/>
      <c r="O225" s="128"/>
      <c r="P225" s="95"/>
      <c r="Q225" s="137"/>
      <c r="R225" s="129"/>
      <c r="S225" s="95"/>
      <c r="T225" s="95"/>
      <c r="V225" s="107"/>
    </row>
    <row r="226" ht="15.75" customHeight="1">
      <c r="A226" s="89"/>
      <c r="B226" s="182"/>
      <c r="C226" s="149"/>
      <c r="D226" s="95"/>
      <c r="E226" s="149"/>
      <c r="F226" s="149"/>
      <c r="G226" s="95"/>
      <c r="H226" s="149"/>
      <c r="I226" s="95"/>
      <c r="J226" s="95"/>
      <c r="K226" s="113"/>
      <c r="L226" s="113"/>
      <c r="M226" s="100"/>
      <c r="N226" s="127"/>
      <c r="O226" s="128"/>
      <c r="P226" s="95"/>
      <c r="Q226" s="137"/>
      <c r="R226" s="129"/>
      <c r="S226" s="95"/>
      <c r="T226" s="95"/>
      <c r="V226" s="107"/>
    </row>
    <row r="227" ht="15.75" customHeight="1">
      <c r="A227" s="89"/>
      <c r="B227" s="182"/>
      <c r="C227" s="149"/>
      <c r="D227" s="95"/>
      <c r="E227" s="149"/>
      <c r="F227" s="149"/>
      <c r="G227" s="95"/>
      <c r="H227" s="149"/>
      <c r="I227" s="95"/>
      <c r="J227" s="95"/>
      <c r="K227" s="99"/>
      <c r="L227" s="99"/>
      <c r="M227" s="100"/>
      <c r="N227" s="127"/>
      <c r="O227" s="128"/>
      <c r="P227" s="95"/>
      <c r="Q227" s="137"/>
      <c r="R227" s="129"/>
      <c r="S227" s="95"/>
      <c r="T227" s="95"/>
      <c r="V227" s="107"/>
    </row>
    <row r="228" ht="15.75" customHeight="1">
      <c r="A228" s="89"/>
      <c r="B228" s="182"/>
      <c r="C228" s="149"/>
      <c r="D228" s="95"/>
      <c r="E228" s="149"/>
      <c r="F228" s="149"/>
      <c r="G228" s="95"/>
      <c r="H228" s="149"/>
      <c r="I228" s="95"/>
      <c r="J228" s="95"/>
      <c r="K228" s="113"/>
      <c r="L228" s="113"/>
      <c r="M228" s="100"/>
      <c r="N228" s="127"/>
      <c r="O228" s="128"/>
      <c r="P228" s="95"/>
      <c r="Q228" s="137"/>
      <c r="R228" s="129"/>
      <c r="S228" s="95"/>
      <c r="T228" s="95"/>
      <c r="V228" s="107"/>
    </row>
    <row r="229" ht="15.75" customHeight="1">
      <c r="A229" s="89"/>
      <c r="B229" s="182"/>
      <c r="C229" s="107"/>
      <c r="D229" s="95"/>
      <c r="E229" s="149"/>
      <c r="F229" s="149"/>
      <c r="G229" s="95"/>
      <c r="H229" s="149"/>
      <c r="I229" s="95"/>
      <c r="J229" s="95"/>
      <c r="K229" s="99"/>
      <c r="L229" s="99"/>
      <c r="M229" s="100"/>
      <c r="N229" s="127"/>
      <c r="O229" s="128"/>
      <c r="P229" s="95"/>
      <c r="Q229" s="137"/>
      <c r="R229" s="129"/>
      <c r="S229" s="95"/>
      <c r="T229" s="95"/>
      <c r="V229" s="107"/>
    </row>
    <row r="230" ht="15.75" customHeight="1">
      <c r="A230" s="89"/>
      <c r="B230" s="182"/>
      <c r="C230" s="149"/>
      <c r="D230" s="95"/>
      <c r="E230" s="149"/>
      <c r="F230" s="149"/>
      <c r="G230" s="95"/>
      <c r="H230" s="149"/>
      <c r="I230" s="95"/>
      <c r="J230" s="95"/>
      <c r="K230" s="113"/>
      <c r="L230" s="113"/>
      <c r="M230" s="100"/>
      <c r="N230" s="127"/>
      <c r="O230" s="128"/>
      <c r="P230" s="95"/>
      <c r="Q230" s="137"/>
      <c r="R230" s="129"/>
      <c r="S230" s="95"/>
      <c r="T230" s="95"/>
      <c r="V230" s="107"/>
    </row>
    <row r="231" ht="15.75" customHeight="1">
      <c r="A231" s="89"/>
      <c r="B231" s="182"/>
      <c r="C231" s="149"/>
      <c r="D231" s="95"/>
      <c r="E231" s="149"/>
      <c r="F231" s="149"/>
      <c r="G231" s="95"/>
      <c r="H231" s="149"/>
      <c r="I231" s="95"/>
      <c r="J231" s="95"/>
      <c r="K231" s="99"/>
      <c r="L231" s="99"/>
      <c r="M231" s="100"/>
      <c r="N231" s="127"/>
      <c r="O231" s="128"/>
      <c r="P231" s="95"/>
      <c r="Q231" s="137"/>
      <c r="R231" s="129"/>
      <c r="S231" s="95"/>
      <c r="T231" s="95"/>
      <c r="V231" s="107"/>
    </row>
    <row r="232" ht="15.75" customHeight="1">
      <c r="A232" s="89"/>
      <c r="B232" s="182"/>
      <c r="C232" s="149"/>
      <c r="D232" s="95"/>
      <c r="E232" s="149"/>
      <c r="F232" s="149"/>
      <c r="G232" s="95"/>
      <c r="H232" s="149"/>
      <c r="I232" s="95"/>
      <c r="J232" s="95"/>
      <c r="K232" s="113"/>
      <c r="L232" s="113"/>
      <c r="M232" s="100"/>
      <c r="N232" s="127"/>
      <c r="O232" s="128"/>
      <c r="P232" s="95"/>
      <c r="Q232" s="137"/>
      <c r="R232" s="129"/>
      <c r="S232" s="95"/>
      <c r="T232" s="95"/>
      <c r="V232" s="107"/>
    </row>
    <row r="233" ht="15.75" customHeight="1">
      <c r="A233" s="89"/>
      <c r="B233" s="182"/>
      <c r="C233" s="149"/>
      <c r="D233" s="95"/>
      <c r="E233" s="149"/>
      <c r="F233" s="149"/>
      <c r="G233" s="95"/>
      <c r="H233" s="149"/>
      <c r="I233" s="95"/>
      <c r="J233" s="95"/>
      <c r="K233" s="99"/>
      <c r="L233" s="99"/>
      <c r="M233" s="100"/>
      <c r="N233" s="127"/>
      <c r="O233" s="128"/>
      <c r="P233" s="95"/>
      <c r="Q233" s="137"/>
      <c r="R233" s="129"/>
      <c r="S233" s="95"/>
      <c r="T233" s="95"/>
      <c r="V233" s="107"/>
    </row>
    <row r="234" ht="15.75" customHeight="1">
      <c r="A234" s="89"/>
      <c r="B234" s="182"/>
      <c r="C234" s="149"/>
      <c r="D234" s="95"/>
      <c r="E234" s="149"/>
      <c r="F234" s="149"/>
      <c r="G234" s="95"/>
      <c r="H234" s="149"/>
      <c r="I234" s="95"/>
      <c r="J234" s="95"/>
      <c r="K234" s="113"/>
      <c r="L234" s="113"/>
      <c r="M234" s="100"/>
      <c r="N234" s="127"/>
      <c r="O234" s="128"/>
      <c r="P234" s="95"/>
      <c r="Q234" s="137"/>
      <c r="R234" s="129"/>
      <c r="S234" s="95"/>
      <c r="T234" s="95"/>
      <c r="V234" s="107"/>
    </row>
    <row r="235" ht="15.75" customHeight="1">
      <c r="A235" s="89"/>
      <c r="B235" s="182"/>
      <c r="C235" s="107"/>
      <c r="D235" s="95"/>
      <c r="E235" s="149"/>
      <c r="F235" s="149"/>
      <c r="G235" s="95"/>
      <c r="H235" s="149"/>
      <c r="I235" s="95"/>
      <c r="J235" s="95"/>
      <c r="K235" s="99"/>
      <c r="L235" s="99"/>
      <c r="M235" s="100"/>
      <c r="N235" s="127"/>
      <c r="O235" s="128"/>
      <c r="P235" s="95"/>
      <c r="Q235" s="137"/>
      <c r="R235" s="129"/>
      <c r="S235" s="95"/>
      <c r="T235" s="95"/>
      <c r="V235" s="107"/>
    </row>
    <row r="236" ht="15.75" customHeight="1">
      <c r="A236" s="89"/>
      <c r="B236" s="182"/>
      <c r="C236" s="149"/>
      <c r="D236" s="95"/>
      <c r="E236" s="149"/>
      <c r="F236" s="149"/>
      <c r="G236" s="95"/>
      <c r="H236" s="149"/>
      <c r="I236" s="95"/>
      <c r="J236" s="95"/>
      <c r="K236" s="113"/>
      <c r="L236" s="113"/>
      <c r="M236" s="100"/>
      <c r="N236" s="127"/>
      <c r="O236" s="128"/>
      <c r="P236" s="95"/>
      <c r="Q236" s="137"/>
      <c r="R236" s="129"/>
      <c r="S236" s="95"/>
      <c r="T236" s="95"/>
      <c r="V236" s="107"/>
    </row>
    <row r="237" ht="15.75" customHeight="1">
      <c r="A237" s="89"/>
      <c r="B237" s="182"/>
      <c r="C237" s="149"/>
      <c r="D237" s="95"/>
      <c r="E237" s="149"/>
      <c r="F237" s="149"/>
      <c r="G237" s="95"/>
      <c r="H237" s="149"/>
      <c r="I237" s="95"/>
      <c r="J237" s="95"/>
      <c r="K237" s="99"/>
      <c r="L237" s="99"/>
      <c r="M237" s="100"/>
      <c r="N237" s="127"/>
      <c r="O237" s="128"/>
      <c r="P237" s="95"/>
      <c r="Q237" s="137"/>
      <c r="R237" s="129"/>
      <c r="S237" s="95"/>
      <c r="T237" s="95"/>
      <c r="V237" s="107"/>
    </row>
    <row r="238" ht="15.75" customHeight="1">
      <c r="A238" s="89"/>
      <c r="B238" s="182"/>
      <c r="C238" s="149"/>
      <c r="D238" s="95"/>
      <c r="E238" s="149"/>
      <c r="F238" s="149"/>
      <c r="G238" s="95"/>
      <c r="H238" s="149"/>
      <c r="I238" s="95"/>
      <c r="J238" s="95"/>
      <c r="K238" s="113"/>
      <c r="L238" s="113"/>
      <c r="M238" s="100"/>
      <c r="N238" s="127"/>
      <c r="O238" s="128"/>
      <c r="P238" s="95"/>
      <c r="Q238" s="137"/>
      <c r="R238" s="129"/>
      <c r="S238" s="95"/>
      <c r="T238" s="95"/>
      <c r="V238" s="107"/>
    </row>
    <row r="239" ht="15.75" customHeight="1">
      <c r="A239" s="89"/>
      <c r="B239" s="182"/>
      <c r="C239" s="149"/>
      <c r="D239" s="95"/>
      <c r="E239" s="149"/>
      <c r="F239" s="149"/>
      <c r="G239" s="95"/>
      <c r="H239" s="149"/>
      <c r="I239" s="95"/>
      <c r="J239" s="95"/>
      <c r="K239" s="99"/>
      <c r="L239" s="99"/>
      <c r="M239" s="100"/>
      <c r="N239" s="127"/>
      <c r="O239" s="128"/>
      <c r="P239" s="95"/>
      <c r="Q239" s="137"/>
      <c r="R239" s="129"/>
      <c r="S239" s="95"/>
      <c r="T239" s="95"/>
      <c r="V239" s="107"/>
    </row>
    <row r="240" ht="15.75" customHeight="1">
      <c r="A240" s="89"/>
      <c r="B240" s="182"/>
      <c r="C240" s="149"/>
      <c r="D240" s="95"/>
      <c r="E240" s="149"/>
      <c r="F240" s="149"/>
      <c r="G240" s="95"/>
      <c r="H240" s="149"/>
      <c r="I240" s="95"/>
      <c r="J240" s="95"/>
      <c r="K240" s="113"/>
      <c r="L240" s="113"/>
      <c r="M240" s="100"/>
      <c r="N240" s="127"/>
      <c r="O240" s="128"/>
      <c r="P240" s="95"/>
      <c r="Q240" s="137"/>
      <c r="R240" s="129"/>
      <c r="S240" s="95"/>
      <c r="T240" s="95"/>
      <c r="V240" s="107"/>
    </row>
    <row r="241" ht="15.75" customHeight="1">
      <c r="A241" s="89"/>
      <c r="B241" s="182"/>
      <c r="C241" s="107"/>
      <c r="D241" s="95"/>
      <c r="E241" s="149"/>
      <c r="F241" s="149"/>
      <c r="G241" s="95"/>
      <c r="H241" s="149"/>
      <c r="I241" s="95"/>
      <c r="J241" s="95"/>
      <c r="K241" s="99"/>
      <c r="L241" s="99"/>
      <c r="M241" s="100"/>
      <c r="N241" s="127"/>
      <c r="O241" s="128"/>
      <c r="P241" s="95"/>
      <c r="Q241" s="137"/>
      <c r="R241" s="129"/>
      <c r="S241" s="95"/>
      <c r="T241" s="95"/>
      <c r="V241" s="107"/>
    </row>
    <row r="242" ht="15.75" customHeight="1">
      <c r="A242" s="89"/>
      <c r="B242" s="182"/>
      <c r="C242" s="149"/>
      <c r="D242" s="95"/>
      <c r="E242" s="149"/>
      <c r="F242" s="149"/>
      <c r="G242" s="95"/>
      <c r="H242" s="149"/>
      <c r="I242" s="95"/>
      <c r="J242" s="95"/>
      <c r="K242" s="113"/>
      <c r="L242" s="113"/>
      <c r="M242" s="100"/>
      <c r="N242" s="127"/>
      <c r="O242" s="128"/>
      <c r="P242" s="95"/>
      <c r="Q242" s="137"/>
      <c r="R242" s="129"/>
      <c r="S242" s="95"/>
      <c r="T242" s="95"/>
      <c r="V242" s="107"/>
    </row>
    <row r="243" ht="15.75" customHeight="1">
      <c r="A243" s="89"/>
      <c r="B243" s="182"/>
      <c r="C243" s="149"/>
      <c r="D243" s="95"/>
      <c r="E243" s="149"/>
      <c r="F243" s="149"/>
      <c r="G243" s="95"/>
      <c r="H243" s="149"/>
      <c r="I243" s="95"/>
      <c r="J243" s="95"/>
      <c r="K243" s="99"/>
      <c r="L243" s="99"/>
      <c r="M243" s="100"/>
      <c r="N243" s="127"/>
      <c r="O243" s="128"/>
      <c r="P243" s="95"/>
      <c r="Q243" s="137"/>
      <c r="R243" s="129"/>
      <c r="S243" s="95"/>
      <c r="T243" s="95"/>
      <c r="V243" s="107"/>
    </row>
    <row r="244" ht="15.75" customHeight="1">
      <c r="A244" s="89"/>
      <c r="B244" s="182"/>
      <c r="C244" s="149"/>
      <c r="D244" s="95"/>
      <c r="E244" s="149"/>
      <c r="F244" s="149"/>
      <c r="G244" s="95"/>
      <c r="H244" s="149"/>
      <c r="I244" s="95"/>
      <c r="J244" s="95"/>
      <c r="K244" s="154"/>
      <c r="L244" s="154"/>
      <c r="M244" s="100"/>
      <c r="N244" s="127"/>
      <c r="O244" s="128"/>
      <c r="P244" s="95"/>
      <c r="Q244" s="137"/>
      <c r="R244" s="129"/>
      <c r="S244" s="95"/>
      <c r="T244" s="95"/>
      <c r="V244" s="107"/>
    </row>
    <row r="245" ht="15.75" customHeight="1">
      <c r="A245" s="89"/>
      <c r="B245" s="182"/>
      <c r="C245" s="149"/>
      <c r="D245" s="95"/>
      <c r="E245" s="149"/>
      <c r="F245" s="149"/>
      <c r="G245" s="95"/>
      <c r="H245" s="149"/>
      <c r="I245" s="95"/>
      <c r="J245" s="95"/>
      <c r="K245" s="156"/>
      <c r="L245" s="156"/>
      <c r="M245" s="100"/>
      <c r="N245" s="127"/>
      <c r="O245" s="128"/>
      <c r="P245" s="95"/>
      <c r="Q245" s="137"/>
      <c r="R245" s="129"/>
      <c r="S245" s="95"/>
      <c r="T245" s="95"/>
      <c r="V245" s="107"/>
    </row>
    <row r="246" ht="15.75" customHeight="1">
      <c r="A246" s="89"/>
      <c r="B246" s="182"/>
      <c r="C246" s="149"/>
      <c r="D246" s="95"/>
      <c r="E246" s="149"/>
      <c r="F246" s="149"/>
      <c r="G246" s="95"/>
      <c r="H246" s="149"/>
      <c r="I246" s="95"/>
      <c r="J246" s="95"/>
      <c r="K246" s="154"/>
      <c r="L246" s="154"/>
      <c r="M246" s="100"/>
      <c r="N246" s="127"/>
      <c r="O246" s="128"/>
      <c r="P246" s="95"/>
      <c r="Q246" s="137"/>
      <c r="R246" s="129"/>
      <c r="S246" s="95"/>
      <c r="T246" s="95"/>
      <c r="V246" s="107"/>
    </row>
    <row r="247" ht="15.75" customHeight="1">
      <c r="A247" s="89"/>
      <c r="B247" s="182"/>
      <c r="C247" s="107"/>
      <c r="D247" s="95"/>
      <c r="E247" s="149"/>
      <c r="F247" s="149"/>
      <c r="G247" s="95"/>
      <c r="H247" s="149"/>
      <c r="I247" s="95"/>
      <c r="J247" s="95"/>
      <c r="K247" s="156"/>
      <c r="L247" s="156"/>
      <c r="M247" s="100"/>
      <c r="N247" s="127"/>
      <c r="O247" s="128"/>
      <c r="P247" s="95"/>
      <c r="Q247" s="137"/>
      <c r="R247" s="129"/>
      <c r="S247" s="95"/>
      <c r="T247" s="95"/>
      <c r="V247" s="107"/>
    </row>
    <row r="248" ht="15.75" customHeight="1">
      <c r="A248" s="89"/>
      <c r="B248" s="182"/>
      <c r="C248" s="149"/>
      <c r="D248" s="95"/>
      <c r="E248" s="149"/>
      <c r="F248" s="149"/>
      <c r="G248" s="95"/>
      <c r="H248" s="149"/>
      <c r="I248" s="95"/>
      <c r="J248" s="95"/>
      <c r="K248" s="154"/>
      <c r="L248" s="154"/>
      <c r="M248" s="100"/>
      <c r="N248" s="127"/>
      <c r="O248" s="128"/>
      <c r="P248" s="95"/>
      <c r="Q248" s="137"/>
      <c r="R248" s="129"/>
      <c r="S248" s="95"/>
      <c r="T248" s="95"/>
      <c r="V248" s="107"/>
    </row>
    <row r="249" ht="15.75" customHeight="1">
      <c r="A249" s="89"/>
      <c r="B249" s="182"/>
      <c r="C249" s="149"/>
      <c r="D249" s="95"/>
      <c r="E249" s="149"/>
      <c r="F249" s="149"/>
      <c r="G249" s="95"/>
      <c r="H249" s="149"/>
      <c r="I249" s="95"/>
      <c r="J249" s="95"/>
      <c r="K249" s="156"/>
      <c r="L249" s="156"/>
      <c r="M249" s="100"/>
      <c r="N249" s="127"/>
      <c r="O249" s="128"/>
      <c r="P249" s="95"/>
      <c r="Q249" s="137"/>
      <c r="R249" s="129"/>
      <c r="S249" s="95"/>
      <c r="T249" s="95"/>
      <c r="V249" s="107"/>
    </row>
    <row r="250" ht="15.75" customHeight="1">
      <c r="A250" s="89"/>
      <c r="B250" s="182"/>
      <c r="C250" s="149"/>
      <c r="D250" s="95"/>
      <c r="E250" s="149"/>
      <c r="F250" s="149"/>
      <c r="G250" s="95"/>
      <c r="H250" s="149"/>
      <c r="I250" s="95"/>
      <c r="J250" s="95"/>
      <c r="K250" s="154"/>
      <c r="L250" s="154"/>
      <c r="M250" s="100"/>
      <c r="N250" s="127"/>
      <c r="O250" s="128"/>
      <c r="P250" s="95"/>
      <c r="Q250" s="137"/>
      <c r="R250" s="129"/>
      <c r="S250" s="95"/>
      <c r="T250" s="95"/>
      <c r="V250" s="107"/>
    </row>
    <row r="251" ht="15.75" customHeight="1">
      <c r="A251" s="89"/>
      <c r="B251" s="182"/>
      <c r="C251" s="149"/>
      <c r="D251" s="95"/>
      <c r="E251" s="149"/>
      <c r="F251" s="149"/>
      <c r="G251" s="95"/>
      <c r="H251" s="149"/>
      <c r="I251" s="95"/>
      <c r="J251" s="95"/>
      <c r="K251" s="156"/>
      <c r="L251" s="156"/>
      <c r="M251" s="100"/>
      <c r="N251" s="127"/>
      <c r="O251" s="128"/>
      <c r="P251" s="95"/>
      <c r="Q251" s="137"/>
      <c r="R251" s="129"/>
      <c r="S251" s="95"/>
      <c r="T251" s="95"/>
      <c r="V251" s="107"/>
    </row>
    <row r="252" ht="15.75" customHeight="1">
      <c r="A252" s="89"/>
      <c r="B252" s="182"/>
      <c r="C252" s="149"/>
      <c r="D252" s="95"/>
      <c r="E252" s="149"/>
      <c r="F252" s="149"/>
      <c r="G252" s="95"/>
      <c r="H252" s="149"/>
      <c r="I252" s="95"/>
      <c r="J252" s="95"/>
      <c r="K252" s="154"/>
      <c r="L252" s="154"/>
      <c r="M252" s="100"/>
      <c r="N252" s="127"/>
      <c r="O252" s="128"/>
      <c r="P252" s="95"/>
      <c r="Q252" s="137"/>
      <c r="R252" s="129"/>
      <c r="S252" s="95"/>
      <c r="T252" s="95"/>
      <c r="V252" s="107"/>
    </row>
    <row r="253" ht="15.75" customHeight="1">
      <c r="A253" s="89"/>
      <c r="B253" s="182"/>
      <c r="C253" s="107"/>
      <c r="D253" s="95"/>
      <c r="E253" s="149"/>
      <c r="F253" s="149"/>
      <c r="G253" s="95"/>
      <c r="H253" s="149"/>
      <c r="I253" s="95"/>
      <c r="J253" s="95"/>
      <c r="K253" s="156"/>
      <c r="L253" s="156"/>
      <c r="M253" s="100"/>
      <c r="N253" s="127"/>
      <c r="O253" s="128"/>
      <c r="P253" s="95"/>
      <c r="Q253" s="137"/>
      <c r="R253" s="129"/>
      <c r="S253" s="95"/>
      <c r="T253" s="95"/>
      <c r="V253" s="107"/>
    </row>
    <row r="254" ht="15.75" customHeight="1">
      <c r="A254" s="89"/>
      <c r="B254" s="182"/>
      <c r="C254" s="149"/>
      <c r="D254" s="95"/>
      <c r="E254" s="149"/>
      <c r="F254" s="149"/>
      <c r="G254" s="95"/>
      <c r="H254" s="149"/>
      <c r="I254" s="95"/>
      <c r="J254" s="95"/>
      <c r="K254" s="154"/>
      <c r="L254" s="154"/>
      <c r="M254" s="100"/>
      <c r="N254" s="127"/>
      <c r="O254" s="128"/>
      <c r="P254" s="95"/>
      <c r="Q254" s="137"/>
      <c r="R254" s="129"/>
      <c r="S254" s="95"/>
      <c r="T254" s="95"/>
      <c r="V254" s="107"/>
    </row>
    <row r="255" ht="15.75" customHeight="1">
      <c r="A255" s="89"/>
      <c r="B255" s="182"/>
      <c r="C255" s="149"/>
      <c r="D255" s="95"/>
      <c r="E255" s="149"/>
      <c r="F255" s="149"/>
      <c r="G255" s="95"/>
      <c r="H255" s="149"/>
      <c r="I255" s="95"/>
      <c r="J255" s="95"/>
      <c r="K255" s="156"/>
      <c r="L255" s="156"/>
      <c r="M255" s="100"/>
      <c r="N255" s="127"/>
      <c r="O255" s="128"/>
      <c r="P255" s="95"/>
      <c r="Q255" s="137"/>
      <c r="R255" s="129"/>
      <c r="S255" s="95"/>
      <c r="T255" s="95"/>
      <c r="V255" s="107"/>
    </row>
    <row r="256" ht="15.75" customHeight="1">
      <c r="A256" s="89"/>
      <c r="B256" s="182"/>
      <c r="C256" s="149"/>
      <c r="D256" s="95"/>
      <c r="E256" s="149"/>
      <c r="F256" s="149"/>
      <c r="G256" s="95"/>
      <c r="H256" s="149"/>
      <c r="I256" s="95"/>
      <c r="J256" s="95"/>
      <c r="K256" s="154"/>
      <c r="L256" s="154"/>
      <c r="M256" s="100"/>
      <c r="N256" s="127"/>
      <c r="O256" s="128"/>
      <c r="P256" s="95"/>
      <c r="Q256" s="137"/>
      <c r="R256" s="129"/>
      <c r="S256" s="95"/>
      <c r="T256" s="95"/>
      <c r="V256" s="107"/>
    </row>
    <row r="257" ht="15.75" customHeight="1">
      <c r="A257" s="89"/>
      <c r="B257" s="182"/>
      <c r="C257" s="149"/>
      <c r="D257" s="95"/>
      <c r="E257" s="149"/>
      <c r="F257" s="149"/>
      <c r="G257" s="95"/>
      <c r="H257" s="149"/>
      <c r="I257" s="95"/>
      <c r="J257" s="95"/>
      <c r="K257" s="156"/>
      <c r="L257" s="156"/>
      <c r="M257" s="100"/>
      <c r="N257" s="127"/>
      <c r="O257" s="128"/>
      <c r="P257" s="95"/>
      <c r="Q257" s="137"/>
      <c r="R257" s="129"/>
      <c r="S257" s="95"/>
      <c r="T257" s="95"/>
      <c r="V257" s="107"/>
    </row>
    <row r="258" ht="15.75" customHeight="1">
      <c r="A258" s="89"/>
      <c r="B258" s="182"/>
      <c r="C258" s="149"/>
      <c r="D258" s="95"/>
      <c r="E258" s="149"/>
      <c r="F258" s="149"/>
      <c r="G258" s="95"/>
      <c r="H258" s="149"/>
      <c r="I258" s="95"/>
      <c r="J258" s="95"/>
      <c r="K258" s="154"/>
      <c r="L258" s="154"/>
      <c r="M258" s="100"/>
      <c r="N258" s="127"/>
      <c r="O258" s="128"/>
      <c r="P258" s="95"/>
      <c r="Q258" s="137"/>
      <c r="R258" s="129"/>
      <c r="S258" s="95"/>
      <c r="T258" s="95"/>
      <c r="V258" s="107"/>
    </row>
    <row r="259" ht="15.75" customHeight="1">
      <c r="A259" s="89"/>
      <c r="B259" s="182"/>
      <c r="C259" s="107"/>
      <c r="D259" s="95"/>
      <c r="E259" s="149"/>
      <c r="F259" s="149"/>
      <c r="G259" s="95"/>
      <c r="H259" s="149"/>
      <c r="I259" s="95"/>
      <c r="J259" s="95"/>
      <c r="K259" s="156"/>
      <c r="L259" s="156"/>
      <c r="M259" s="100"/>
      <c r="N259" s="127"/>
      <c r="O259" s="128"/>
      <c r="P259" s="95"/>
      <c r="Q259" s="137"/>
      <c r="R259" s="129"/>
      <c r="S259" s="95"/>
      <c r="T259" s="95"/>
      <c r="V259" s="107"/>
    </row>
    <row r="260" ht="15.75" customHeight="1">
      <c r="A260" s="89"/>
      <c r="B260" s="182"/>
      <c r="C260" s="149"/>
      <c r="D260" s="95"/>
      <c r="E260" s="149"/>
      <c r="F260" s="149"/>
      <c r="G260" s="95"/>
      <c r="H260" s="149"/>
      <c r="I260" s="95"/>
      <c r="J260" s="95"/>
      <c r="K260" s="154"/>
      <c r="L260" s="154"/>
      <c r="M260" s="100"/>
      <c r="N260" s="127"/>
      <c r="O260" s="128"/>
      <c r="P260" s="95"/>
      <c r="Q260" s="137"/>
      <c r="R260" s="129"/>
      <c r="S260" s="95"/>
      <c r="T260" s="95"/>
      <c r="V260" s="107"/>
    </row>
    <row r="261" ht="15.75" customHeight="1">
      <c r="A261" s="89"/>
      <c r="B261" s="182"/>
      <c r="C261" s="149"/>
      <c r="D261" s="95"/>
      <c r="E261" s="149"/>
      <c r="F261" s="149"/>
      <c r="G261" s="95"/>
      <c r="H261" s="149"/>
      <c r="I261" s="95"/>
      <c r="J261" s="95"/>
      <c r="K261" s="156"/>
      <c r="L261" s="156"/>
      <c r="M261" s="100"/>
      <c r="N261" s="127"/>
      <c r="O261" s="128"/>
      <c r="P261" s="95"/>
      <c r="Q261" s="137"/>
      <c r="R261" s="129"/>
      <c r="S261" s="95"/>
      <c r="T261" s="95"/>
      <c r="V261" s="107"/>
    </row>
    <row r="262" ht="15.75" customHeight="1">
      <c r="A262" s="89"/>
      <c r="B262" s="182"/>
      <c r="C262" s="149"/>
      <c r="D262" s="95"/>
      <c r="E262" s="149"/>
      <c r="F262" s="149"/>
      <c r="G262" s="95"/>
      <c r="H262" s="149"/>
      <c r="I262" s="95"/>
      <c r="J262" s="95"/>
      <c r="K262" s="154"/>
      <c r="L262" s="154"/>
      <c r="M262" s="100"/>
      <c r="N262" s="127"/>
      <c r="O262" s="128"/>
      <c r="P262" s="95"/>
      <c r="Q262" s="137"/>
      <c r="R262" s="129"/>
      <c r="S262" s="95"/>
      <c r="T262" s="95"/>
      <c r="V262" s="107"/>
    </row>
    <row r="263" ht="15.75" customHeight="1">
      <c r="A263" s="89"/>
      <c r="B263" s="182"/>
      <c r="C263" s="149"/>
      <c r="D263" s="95"/>
      <c r="E263" s="149"/>
      <c r="F263" s="149"/>
      <c r="G263" s="95"/>
      <c r="H263" s="149"/>
      <c r="I263" s="95"/>
      <c r="J263" s="95"/>
      <c r="K263" s="156"/>
      <c r="L263" s="156"/>
      <c r="M263" s="100"/>
      <c r="N263" s="127"/>
      <c r="O263" s="128"/>
      <c r="P263" s="95"/>
      <c r="Q263" s="137"/>
      <c r="R263" s="129"/>
      <c r="S263" s="95"/>
      <c r="T263" s="95"/>
      <c r="V263" s="107"/>
    </row>
    <row r="264" ht="15.75" customHeight="1">
      <c r="A264" s="89"/>
      <c r="B264" s="182"/>
      <c r="C264" s="149"/>
      <c r="D264" s="95"/>
      <c r="E264" s="149"/>
      <c r="F264" s="149"/>
      <c r="G264" s="95"/>
      <c r="H264" s="149"/>
      <c r="I264" s="95"/>
      <c r="J264" s="95"/>
      <c r="K264" s="154"/>
      <c r="L264" s="154"/>
      <c r="M264" s="100"/>
      <c r="N264" s="127"/>
      <c r="O264" s="128"/>
      <c r="P264" s="95"/>
      <c r="Q264" s="137"/>
      <c r="R264" s="129"/>
      <c r="S264" s="95"/>
      <c r="T264" s="95"/>
      <c r="V264" s="107"/>
    </row>
    <row r="265" ht="15.75" customHeight="1">
      <c r="A265" s="89"/>
      <c r="B265" s="182"/>
      <c r="C265" s="107"/>
      <c r="D265" s="95"/>
      <c r="E265" s="149"/>
      <c r="F265" s="149"/>
      <c r="G265" s="95"/>
      <c r="H265" s="149"/>
      <c r="I265" s="95"/>
      <c r="J265" s="95"/>
      <c r="K265" s="156"/>
      <c r="L265" s="156"/>
      <c r="M265" s="100"/>
      <c r="N265" s="127"/>
      <c r="O265" s="128"/>
      <c r="P265" s="95"/>
      <c r="Q265" s="137"/>
      <c r="R265" s="129"/>
      <c r="S265" s="95"/>
      <c r="T265" s="95"/>
      <c r="V265" s="107"/>
    </row>
    <row r="266" ht="15.75" customHeight="1">
      <c r="A266" s="89"/>
      <c r="B266" s="182"/>
      <c r="C266" s="149"/>
      <c r="D266" s="95"/>
      <c r="E266" s="149"/>
      <c r="F266" s="149"/>
      <c r="G266" s="95"/>
      <c r="H266" s="149"/>
      <c r="I266" s="95"/>
      <c r="J266" s="95"/>
      <c r="K266" s="154"/>
      <c r="L266" s="154"/>
      <c r="M266" s="100"/>
      <c r="N266" s="127"/>
      <c r="O266" s="128"/>
      <c r="P266" s="95"/>
      <c r="Q266" s="137"/>
      <c r="R266" s="129"/>
      <c r="S266" s="95"/>
      <c r="T266" s="95"/>
      <c r="V266" s="107"/>
    </row>
    <row r="267" ht="15.75" customHeight="1">
      <c r="A267" s="89"/>
      <c r="B267" s="182"/>
      <c r="C267" s="149"/>
      <c r="D267" s="95"/>
      <c r="E267" s="149"/>
      <c r="F267" s="149"/>
      <c r="G267" s="95"/>
      <c r="H267" s="149"/>
      <c r="I267" s="95"/>
      <c r="J267" s="95"/>
      <c r="K267" s="156"/>
      <c r="L267" s="156"/>
      <c r="M267" s="100"/>
      <c r="N267" s="127"/>
      <c r="O267" s="128"/>
      <c r="P267" s="95"/>
      <c r="Q267" s="137"/>
      <c r="R267" s="129"/>
      <c r="S267" s="95"/>
      <c r="T267" s="95"/>
      <c r="V267" s="107"/>
    </row>
    <row r="268" ht="15.75" customHeight="1">
      <c r="A268" s="89"/>
      <c r="B268" s="182"/>
      <c r="C268" s="149"/>
      <c r="D268" s="95"/>
      <c r="E268" s="149"/>
      <c r="F268" s="149"/>
      <c r="G268" s="95"/>
      <c r="H268" s="149"/>
      <c r="I268" s="95"/>
      <c r="J268" s="95"/>
      <c r="K268" s="154"/>
      <c r="L268" s="154"/>
      <c r="M268" s="100"/>
      <c r="N268" s="127"/>
      <c r="O268" s="128"/>
      <c r="P268" s="95"/>
      <c r="Q268" s="137"/>
      <c r="R268" s="129"/>
      <c r="S268" s="95"/>
      <c r="T268" s="95"/>
      <c r="V268" s="107"/>
    </row>
    <row r="269" ht="15.75" customHeight="1">
      <c r="A269" s="89"/>
      <c r="B269" s="182"/>
      <c r="C269" s="149"/>
      <c r="D269" s="95"/>
      <c r="E269" s="149"/>
      <c r="F269" s="149"/>
      <c r="G269" s="95"/>
      <c r="H269" s="149"/>
      <c r="I269" s="95"/>
      <c r="J269" s="95"/>
      <c r="K269" s="156"/>
      <c r="L269" s="156"/>
      <c r="M269" s="100"/>
      <c r="N269" s="127"/>
      <c r="O269" s="128"/>
      <c r="P269" s="95"/>
      <c r="Q269" s="137"/>
      <c r="R269" s="129"/>
      <c r="S269" s="95"/>
      <c r="T269" s="95"/>
      <c r="V269" s="107"/>
    </row>
    <row r="270" ht="15.75" customHeight="1">
      <c r="A270" s="89"/>
      <c r="B270" s="182"/>
      <c r="C270" s="149"/>
      <c r="D270" s="95"/>
      <c r="E270" s="149"/>
      <c r="F270" s="149"/>
      <c r="G270" s="95"/>
      <c r="H270" s="149"/>
      <c r="I270" s="95"/>
      <c r="J270" s="95"/>
      <c r="K270" s="154"/>
      <c r="L270" s="154"/>
      <c r="M270" s="100"/>
      <c r="N270" s="127"/>
      <c r="O270" s="128"/>
      <c r="P270" s="95"/>
      <c r="Q270" s="137"/>
      <c r="R270" s="129"/>
      <c r="S270" s="95"/>
      <c r="T270" s="95"/>
      <c r="V270" s="107"/>
    </row>
    <row r="271" ht="15.75" customHeight="1">
      <c r="A271" s="89"/>
      <c r="B271" s="182"/>
      <c r="C271" s="107"/>
      <c r="D271" s="95"/>
      <c r="E271" s="149"/>
      <c r="F271" s="149"/>
      <c r="G271" s="95"/>
      <c r="H271" s="149"/>
      <c r="I271" s="95"/>
      <c r="J271" s="95"/>
      <c r="K271" s="156"/>
      <c r="L271" s="156"/>
      <c r="M271" s="100"/>
      <c r="N271" s="127"/>
      <c r="O271" s="128"/>
      <c r="P271" s="95"/>
      <c r="Q271" s="137"/>
      <c r="R271" s="129"/>
      <c r="S271" s="95"/>
      <c r="T271" s="95"/>
      <c r="V271" s="107"/>
    </row>
    <row r="272" ht="15.75" customHeight="1">
      <c r="A272" s="89"/>
      <c r="B272" s="182"/>
      <c r="C272" s="149"/>
      <c r="D272" s="95"/>
      <c r="E272" s="149"/>
      <c r="F272" s="149"/>
      <c r="G272" s="95"/>
      <c r="H272" s="149"/>
      <c r="I272" s="95"/>
      <c r="J272" s="95"/>
      <c r="K272" s="154"/>
      <c r="L272" s="154"/>
      <c r="M272" s="100"/>
      <c r="N272" s="127"/>
      <c r="O272" s="128"/>
      <c r="P272" s="95"/>
      <c r="Q272" s="137"/>
      <c r="R272" s="129"/>
      <c r="S272" s="95"/>
      <c r="T272" s="95"/>
      <c r="V272" s="107"/>
    </row>
    <row r="273" ht="15.75" customHeight="1">
      <c r="A273" s="89"/>
      <c r="B273" s="182"/>
      <c r="C273" s="149"/>
      <c r="D273" s="95"/>
      <c r="E273" s="149"/>
      <c r="F273" s="149"/>
      <c r="G273" s="95"/>
      <c r="H273" s="149"/>
      <c r="I273" s="95"/>
      <c r="J273" s="95"/>
      <c r="K273" s="156"/>
      <c r="L273" s="156"/>
      <c r="M273" s="100"/>
      <c r="N273" s="127"/>
      <c r="O273" s="128"/>
      <c r="P273" s="95"/>
      <c r="Q273" s="137"/>
      <c r="R273" s="129"/>
      <c r="S273" s="95"/>
      <c r="T273" s="95"/>
      <c r="V273" s="107"/>
    </row>
    <row r="274" ht="15.75" customHeight="1">
      <c r="A274" s="89"/>
      <c r="B274" s="182"/>
      <c r="C274" s="149"/>
      <c r="D274" s="95"/>
      <c r="E274" s="149"/>
      <c r="F274" s="149"/>
      <c r="G274" s="95"/>
      <c r="H274" s="149"/>
      <c r="I274" s="95"/>
      <c r="J274" s="95"/>
      <c r="K274" s="154"/>
      <c r="L274" s="154"/>
      <c r="M274" s="100"/>
      <c r="N274" s="127"/>
      <c r="O274" s="128"/>
      <c r="P274" s="95"/>
      <c r="Q274" s="137"/>
      <c r="R274" s="129"/>
      <c r="S274" s="95"/>
      <c r="T274" s="95"/>
      <c r="V274" s="107"/>
    </row>
    <row r="275" ht="15.75" customHeight="1">
      <c r="A275" s="89"/>
      <c r="B275" s="182"/>
      <c r="C275" s="149"/>
      <c r="D275" s="95"/>
      <c r="E275" s="149"/>
      <c r="F275" s="149"/>
      <c r="G275" s="95"/>
      <c r="H275" s="149"/>
      <c r="I275" s="95"/>
      <c r="J275" s="95"/>
      <c r="K275" s="156"/>
      <c r="L275" s="156"/>
      <c r="M275" s="100"/>
      <c r="N275" s="127"/>
      <c r="O275" s="128"/>
      <c r="P275" s="95"/>
      <c r="Q275" s="137"/>
      <c r="R275" s="129"/>
      <c r="S275" s="95"/>
      <c r="T275" s="95"/>
      <c r="V275" s="107"/>
    </row>
    <row r="276" ht="15.75" customHeight="1">
      <c r="A276" s="89"/>
      <c r="B276" s="182"/>
      <c r="C276" s="149"/>
      <c r="D276" s="95"/>
      <c r="E276" s="149"/>
      <c r="F276" s="149"/>
      <c r="G276" s="95"/>
      <c r="H276" s="149"/>
      <c r="I276" s="95"/>
      <c r="J276" s="95"/>
      <c r="K276" s="154"/>
      <c r="L276" s="154"/>
      <c r="M276" s="100"/>
      <c r="N276" s="127"/>
      <c r="O276" s="128"/>
      <c r="P276" s="95"/>
      <c r="Q276" s="137"/>
      <c r="R276" s="129"/>
      <c r="S276" s="95"/>
      <c r="T276" s="95"/>
      <c r="V276" s="107"/>
    </row>
    <row r="277" ht="15.75" customHeight="1">
      <c r="A277" s="89"/>
      <c r="B277" s="182"/>
      <c r="C277" s="107"/>
      <c r="D277" s="95"/>
      <c r="E277" s="149"/>
      <c r="F277" s="149"/>
      <c r="G277" s="95"/>
      <c r="H277" s="149"/>
      <c r="I277" s="95"/>
      <c r="J277" s="95"/>
      <c r="K277" s="156"/>
      <c r="L277" s="156"/>
      <c r="M277" s="100"/>
      <c r="N277" s="127"/>
      <c r="O277" s="128"/>
      <c r="P277" s="95"/>
      <c r="Q277" s="137"/>
      <c r="R277" s="129"/>
      <c r="S277" s="95"/>
      <c r="T277" s="95"/>
      <c r="V277" s="107"/>
    </row>
    <row r="278" ht="15.75" customHeight="1">
      <c r="A278" s="89"/>
      <c r="B278" s="182"/>
      <c r="C278" s="149"/>
      <c r="D278" s="95"/>
      <c r="E278" s="149"/>
      <c r="F278" s="149"/>
      <c r="G278" s="95"/>
      <c r="H278" s="149"/>
      <c r="I278" s="95"/>
      <c r="J278" s="95"/>
      <c r="K278" s="154"/>
      <c r="L278" s="154"/>
      <c r="M278" s="100"/>
      <c r="N278" s="127"/>
      <c r="O278" s="128"/>
      <c r="P278" s="95"/>
      <c r="Q278" s="137"/>
      <c r="R278" s="129"/>
      <c r="S278" s="95"/>
      <c r="T278" s="95"/>
      <c r="V278" s="107"/>
    </row>
    <row r="279" ht="15.75" customHeight="1">
      <c r="A279" s="89"/>
      <c r="B279" s="182"/>
      <c r="C279" s="149"/>
      <c r="D279" s="95"/>
      <c r="E279" s="149"/>
      <c r="F279" s="149"/>
      <c r="G279" s="95"/>
      <c r="H279" s="149"/>
      <c r="I279" s="95"/>
      <c r="J279" s="95"/>
      <c r="K279" s="156"/>
      <c r="L279" s="156"/>
      <c r="M279" s="100"/>
      <c r="N279" s="127"/>
      <c r="O279" s="128"/>
      <c r="P279" s="95"/>
      <c r="Q279" s="137"/>
      <c r="R279" s="129"/>
      <c r="S279" s="95"/>
      <c r="T279" s="95"/>
      <c r="V279" s="107"/>
    </row>
    <row r="280" ht="15.75" customHeight="1">
      <c r="A280" s="89"/>
      <c r="B280" s="182"/>
      <c r="C280" s="149"/>
      <c r="D280" s="95"/>
      <c r="E280" s="149"/>
      <c r="F280" s="149"/>
      <c r="G280" s="95"/>
      <c r="H280" s="149"/>
      <c r="I280" s="95"/>
      <c r="J280" s="95"/>
      <c r="K280" s="154"/>
      <c r="L280" s="154"/>
      <c r="M280" s="100"/>
      <c r="N280" s="127"/>
      <c r="O280" s="128"/>
      <c r="P280" s="95"/>
      <c r="Q280" s="137"/>
      <c r="R280" s="129"/>
      <c r="S280" s="95"/>
      <c r="T280" s="95"/>
      <c r="V280" s="107"/>
    </row>
    <row r="281" ht="15.75" customHeight="1">
      <c r="A281" s="89"/>
      <c r="B281" s="182"/>
      <c r="C281" s="149"/>
      <c r="D281" s="95"/>
      <c r="E281" s="149"/>
      <c r="F281" s="149"/>
      <c r="G281" s="95"/>
      <c r="H281" s="149"/>
      <c r="I281" s="95"/>
      <c r="J281" s="95"/>
      <c r="K281" s="156"/>
      <c r="L281" s="156"/>
      <c r="M281" s="100"/>
      <c r="N281" s="127"/>
      <c r="O281" s="128"/>
      <c r="P281" s="95"/>
      <c r="Q281" s="137"/>
      <c r="R281" s="129"/>
      <c r="S281" s="95"/>
      <c r="T281" s="95"/>
      <c r="V281" s="107"/>
    </row>
    <row r="282" ht="15.75" customHeight="1">
      <c r="A282" s="89"/>
      <c r="B282" s="182"/>
      <c r="C282" s="149"/>
      <c r="D282" s="95"/>
      <c r="E282" s="149"/>
      <c r="F282" s="149"/>
      <c r="G282" s="95"/>
      <c r="H282" s="149"/>
      <c r="I282" s="95"/>
      <c r="J282" s="95"/>
      <c r="K282" s="154"/>
      <c r="L282" s="154"/>
      <c r="M282" s="100"/>
      <c r="N282" s="127"/>
      <c r="O282" s="128"/>
      <c r="P282" s="95"/>
      <c r="Q282" s="137"/>
      <c r="R282" s="129"/>
      <c r="S282" s="95"/>
      <c r="T282" s="95"/>
      <c r="V282" s="107"/>
    </row>
    <row r="283" ht="15.75" customHeight="1">
      <c r="A283" s="89"/>
      <c r="B283" s="182"/>
      <c r="C283" s="107"/>
      <c r="D283" s="95"/>
      <c r="E283" s="149"/>
      <c r="F283" s="149"/>
      <c r="G283" s="95"/>
      <c r="H283" s="149"/>
      <c r="I283" s="95"/>
      <c r="J283" s="95"/>
      <c r="K283" s="156"/>
      <c r="L283" s="156"/>
      <c r="M283" s="100"/>
      <c r="N283" s="127"/>
      <c r="O283" s="128"/>
      <c r="P283" s="95"/>
      <c r="Q283" s="137"/>
      <c r="R283" s="129"/>
      <c r="S283" s="95"/>
      <c r="T283" s="95"/>
      <c r="V283" s="107"/>
    </row>
    <row r="284" ht="15.75" customHeight="1">
      <c r="A284" s="89"/>
      <c r="B284" s="182"/>
      <c r="C284" s="149"/>
      <c r="D284" s="95"/>
      <c r="E284" s="149"/>
      <c r="F284" s="149"/>
      <c r="G284" s="95"/>
      <c r="H284" s="149"/>
      <c r="I284" s="95"/>
      <c r="J284" s="95"/>
      <c r="K284" s="154"/>
      <c r="L284" s="154"/>
      <c r="M284" s="100"/>
      <c r="N284" s="127"/>
      <c r="O284" s="128"/>
      <c r="P284" s="95"/>
      <c r="Q284" s="137"/>
      <c r="R284" s="129"/>
      <c r="S284" s="95"/>
      <c r="T284" s="95"/>
      <c r="V284" s="107"/>
    </row>
    <row r="285" ht="15.75" customHeight="1">
      <c r="A285" s="89"/>
      <c r="B285" s="182"/>
      <c r="C285" s="149"/>
      <c r="D285" s="95"/>
      <c r="E285" s="149"/>
      <c r="F285" s="149"/>
      <c r="G285" s="95"/>
      <c r="H285" s="149"/>
      <c r="I285" s="95"/>
      <c r="J285" s="95"/>
      <c r="K285" s="156"/>
      <c r="L285" s="156"/>
      <c r="M285" s="100"/>
      <c r="N285" s="127"/>
      <c r="O285" s="128"/>
      <c r="P285" s="95"/>
      <c r="Q285" s="137"/>
      <c r="R285" s="129"/>
      <c r="S285" s="95"/>
      <c r="T285" s="95"/>
      <c r="V285" s="107"/>
    </row>
    <row r="286" ht="15.75" customHeight="1">
      <c r="A286" s="89"/>
      <c r="B286" s="182"/>
      <c r="C286" s="149"/>
      <c r="D286" s="95"/>
      <c r="E286" s="149"/>
      <c r="F286" s="149"/>
      <c r="G286" s="95"/>
      <c r="H286" s="149"/>
      <c r="I286" s="95"/>
      <c r="J286" s="95"/>
      <c r="K286" s="154"/>
      <c r="L286" s="154"/>
      <c r="M286" s="100"/>
      <c r="N286" s="127"/>
      <c r="O286" s="128"/>
      <c r="P286" s="95"/>
      <c r="Q286" s="137"/>
      <c r="R286" s="129"/>
      <c r="S286" s="95"/>
      <c r="T286" s="95"/>
      <c r="V286" s="107"/>
    </row>
    <row r="287" ht="15.75" customHeight="1">
      <c r="A287" s="89"/>
      <c r="B287" s="182"/>
      <c r="C287" s="149"/>
      <c r="D287" s="95"/>
      <c r="E287" s="149"/>
      <c r="F287" s="149"/>
      <c r="G287" s="95"/>
      <c r="H287" s="149"/>
      <c r="I287" s="95"/>
      <c r="J287" s="95"/>
      <c r="K287" s="156"/>
      <c r="L287" s="156"/>
      <c r="M287" s="100"/>
      <c r="N287" s="127"/>
      <c r="O287" s="128"/>
      <c r="P287" s="95"/>
      <c r="Q287" s="137"/>
      <c r="R287" s="129"/>
      <c r="S287" s="95"/>
      <c r="T287" s="95"/>
      <c r="V287" s="107"/>
    </row>
    <row r="288" ht="15.75" customHeight="1">
      <c r="A288" s="89"/>
      <c r="B288" s="182"/>
      <c r="C288" s="149"/>
      <c r="D288" s="95"/>
      <c r="E288" s="149"/>
      <c r="F288" s="149"/>
      <c r="G288" s="95"/>
      <c r="H288" s="149"/>
      <c r="I288" s="95"/>
      <c r="J288" s="95"/>
      <c r="K288" s="154"/>
      <c r="L288" s="154"/>
      <c r="M288" s="100"/>
      <c r="N288" s="127"/>
      <c r="O288" s="128"/>
      <c r="P288" s="95"/>
      <c r="Q288" s="137"/>
      <c r="R288" s="129"/>
      <c r="S288" s="95"/>
      <c r="T288" s="95"/>
      <c r="V288" s="107"/>
    </row>
    <row r="289" ht="15.75" customHeight="1">
      <c r="A289" s="89"/>
      <c r="B289" s="182"/>
      <c r="C289" s="107"/>
      <c r="D289" s="95"/>
      <c r="E289" s="149"/>
      <c r="F289" s="149"/>
      <c r="G289" s="95"/>
      <c r="H289" s="149"/>
      <c r="I289" s="95"/>
      <c r="J289" s="95"/>
      <c r="K289" s="156"/>
      <c r="L289" s="156"/>
      <c r="M289" s="100"/>
      <c r="N289" s="127"/>
      <c r="O289" s="128"/>
      <c r="P289" s="95"/>
      <c r="Q289" s="137"/>
      <c r="R289" s="129"/>
      <c r="S289" s="95"/>
      <c r="T289" s="95"/>
      <c r="V289" s="107"/>
    </row>
    <row r="290" ht="15.75" customHeight="1">
      <c r="A290" s="89"/>
      <c r="B290" s="182"/>
      <c r="C290" s="149"/>
      <c r="D290" s="95"/>
      <c r="E290" s="149"/>
      <c r="F290" s="149"/>
      <c r="G290" s="95"/>
      <c r="H290" s="149"/>
      <c r="I290" s="95"/>
      <c r="J290" s="95"/>
      <c r="K290" s="154"/>
      <c r="L290" s="154"/>
      <c r="M290" s="100"/>
      <c r="N290" s="127"/>
      <c r="O290" s="128"/>
      <c r="P290" s="95"/>
      <c r="Q290" s="137"/>
      <c r="R290" s="129"/>
      <c r="S290" s="95"/>
      <c r="T290" s="95"/>
      <c r="V290" s="107"/>
    </row>
    <row r="291" ht="15.75" customHeight="1">
      <c r="A291" s="89"/>
      <c r="B291" s="182"/>
      <c r="C291" s="149"/>
      <c r="D291" s="95"/>
      <c r="E291" s="149"/>
      <c r="F291" s="149"/>
      <c r="G291" s="95"/>
      <c r="H291" s="149"/>
      <c r="I291" s="95"/>
      <c r="J291" s="95"/>
      <c r="K291" s="156"/>
      <c r="L291" s="156"/>
      <c r="M291" s="100"/>
      <c r="N291" s="127"/>
      <c r="O291" s="128"/>
      <c r="P291" s="95"/>
      <c r="Q291" s="137"/>
      <c r="R291" s="129"/>
      <c r="S291" s="95"/>
      <c r="T291" s="95"/>
      <c r="V291" s="107"/>
    </row>
    <row r="292" ht="15.75" customHeight="1">
      <c r="A292" s="89"/>
      <c r="B292" s="182"/>
      <c r="C292" s="149"/>
      <c r="D292" s="95"/>
      <c r="E292" s="149"/>
      <c r="F292" s="149"/>
      <c r="G292" s="95"/>
      <c r="H292" s="149"/>
      <c r="I292" s="95"/>
      <c r="J292" s="95"/>
      <c r="K292" s="154"/>
      <c r="L292" s="154"/>
      <c r="M292" s="100"/>
      <c r="N292" s="127"/>
      <c r="O292" s="128"/>
      <c r="P292" s="95"/>
      <c r="Q292" s="137"/>
      <c r="R292" s="129"/>
      <c r="S292" s="95"/>
      <c r="T292" s="95"/>
      <c r="V292" s="107"/>
    </row>
    <row r="293" ht="15.75" customHeight="1">
      <c r="A293" s="89"/>
      <c r="B293" s="182"/>
      <c r="C293" s="149"/>
      <c r="D293" s="95"/>
      <c r="E293" s="149"/>
      <c r="F293" s="149"/>
      <c r="G293" s="95"/>
      <c r="H293" s="149"/>
      <c r="I293" s="95"/>
      <c r="J293" s="95"/>
      <c r="K293" s="156"/>
      <c r="L293" s="156"/>
      <c r="M293" s="100"/>
      <c r="N293" s="127"/>
      <c r="O293" s="128"/>
      <c r="P293" s="95"/>
      <c r="Q293" s="137"/>
      <c r="R293" s="129"/>
      <c r="S293" s="95"/>
      <c r="T293" s="95"/>
      <c r="V293" s="107"/>
    </row>
    <row r="294" ht="15.75" customHeight="1">
      <c r="A294" s="89"/>
      <c r="B294" s="182"/>
      <c r="C294" s="149"/>
      <c r="D294" s="95"/>
      <c r="E294" s="149"/>
      <c r="F294" s="149"/>
      <c r="G294" s="95"/>
      <c r="H294" s="149"/>
      <c r="I294" s="95"/>
      <c r="J294" s="95"/>
      <c r="K294" s="154"/>
      <c r="L294" s="154"/>
      <c r="M294" s="100"/>
      <c r="N294" s="127"/>
      <c r="O294" s="128"/>
      <c r="P294" s="95"/>
      <c r="Q294" s="137"/>
      <c r="R294" s="129"/>
      <c r="S294" s="95"/>
      <c r="T294" s="95"/>
      <c r="V294" s="107"/>
    </row>
    <row r="295" ht="15.75" customHeight="1">
      <c r="A295" s="89"/>
      <c r="B295" s="182"/>
      <c r="C295" s="107"/>
      <c r="D295" s="95"/>
      <c r="E295" s="149"/>
      <c r="F295" s="149"/>
      <c r="G295" s="95"/>
      <c r="H295" s="149"/>
      <c r="I295" s="95"/>
      <c r="J295" s="95"/>
      <c r="K295" s="156"/>
      <c r="L295" s="156"/>
      <c r="M295" s="100"/>
      <c r="N295" s="127"/>
      <c r="O295" s="128"/>
      <c r="P295" s="95"/>
      <c r="Q295" s="137"/>
      <c r="R295" s="129"/>
      <c r="S295" s="95"/>
      <c r="T295" s="95"/>
      <c r="V295" s="107"/>
    </row>
    <row r="296" ht="15.75" customHeight="1">
      <c r="A296" s="89"/>
      <c r="B296" s="182"/>
      <c r="C296" s="149"/>
      <c r="D296" s="95"/>
      <c r="E296" s="149"/>
      <c r="F296" s="149"/>
      <c r="G296" s="95"/>
      <c r="H296" s="149"/>
      <c r="I296" s="95"/>
      <c r="J296" s="95"/>
      <c r="K296" s="154"/>
      <c r="L296" s="154"/>
      <c r="M296" s="100"/>
      <c r="N296" s="127"/>
      <c r="O296" s="128"/>
      <c r="P296" s="95"/>
      <c r="Q296" s="137"/>
      <c r="R296" s="129"/>
      <c r="S296" s="95"/>
      <c r="T296" s="95"/>
      <c r="V296" s="107"/>
    </row>
    <row r="297" ht="15.75" customHeight="1">
      <c r="A297" s="89"/>
      <c r="B297" s="182"/>
      <c r="C297" s="149"/>
      <c r="D297" s="95"/>
      <c r="E297" s="149"/>
      <c r="F297" s="149"/>
      <c r="G297" s="95"/>
      <c r="H297" s="149"/>
      <c r="I297" s="95"/>
      <c r="J297" s="95"/>
      <c r="K297" s="156"/>
      <c r="L297" s="156"/>
      <c r="M297" s="100"/>
      <c r="N297" s="127"/>
      <c r="O297" s="128"/>
      <c r="P297" s="95"/>
      <c r="Q297" s="137"/>
      <c r="R297" s="129"/>
      <c r="S297" s="95"/>
      <c r="T297" s="95"/>
      <c r="V297" s="107"/>
    </row>
    <row r="298" ht="15.75" customHeight="1">
      <c r="A298" s="89"/>
      <c r="B298" s="182"/>
      <c r="C298" s="149"/>
      <c r="D298" s="95"/>
      <c r="E298" s="149"/>
      <c r="F298" s="149"/>
      <c r="G298" s="95"/>
      <c r="H298" s="149"/>
      <c r="I298" s="95"/>
      <c r="J298" s="95"/>
      <c r="K298" s="154"/>
      <c r="L298" s="154"/>
      <c r="M298" s="100"/>
      <c r="N298" s="127"/>
      <c r="O298" s="128"/>
      <c r="P298" s="95"/>
      <c r="Q298" s="137"/>
      <c r="R298" s="129"/>
      <c r="S298" s="95"/>
      <c r="T298" s="95"/>
      <c r="V298" s="107"/>
    </row>
    <row r="299" ht="15.75" customHeight="1">
      <c r="A299" s="89"/>
      <c r="B299" s="182"/>
      <c r="C299" s="149"/>
      <c r="D299" s="95"/>
      <c r="E299" s="149"/>
      <c r="F299" s="149"/>
      <c r="G299" s="95"/>
      <c r="H299" s="149"/>
      <c r="I299" s="95"/>
      <c r="J299" s="95"/>
      <c r="K299" s="156"/>
      <c r="L299" s="156"/>
      <c r="M299" s="100"/>
      <c r="N299" s="127"/>
      <c r="O299" s="128"/>
      <c r="P299" s="95"/>
      <c r="Q299" s="137"/>
      <c r="R299" s="129"/>
      <c r="S299" s="95"/>
      <c r="T299" s="95"/>
      <c r="V299" s="107"/>
    </row>
    <row r="300" ht="15.75" customHeight="1">
      <c r="A300" s="89"/>
      <c r="B300" s="182"/>
      <c r="C300" s="149"/>
      <c r="D300" s="95"/>
      <c r="E300" s="149"/>
      <c r="F300" s="149"/>
      <c r="G300" s="95"/>
      <c r="H300" s="149"/>
      <c r="I300" s="95"/>
      <c r="J300" s="95"/>
      <c r="K300" s="154"/>
      <c r="L300" s="154"/>
      <c r="M300" s="100"/>
      <c r="N300" s="127"/>
      <c r="O300" s="128"/>
      <c r="P300" s="95"/>
      <c r="Q300" s="137"/>
      <c r="R300" s="129"/>
      <c r="S300" s="95"/>
      <c r="T300" s="95"/>
      <c r="V300" s="107"/>
    </row>
    <row r="301" ht="15.75" customHeight="1">
      <c r="A301" s="89"/>
      <c r="B301" s="182"/>
      <c r="C301" s="107"/>
      <c r="D301" s="95"/>
      <c r="E301" s="149"/>
      <c r="F301" s="149"/>
      <c r="G301" s="95"/>
      <c r="H301" s="149"/>
      <c r="I301" s="95"/>
      <c r="J301" s="95"/>
      <c r="K301" s="156"/>
      <c r="L301" s="156"/>
      <c r="M301" s="100"/>
      <c r="N301" s="127"/>
      <c r="O301" s="128"/>
      <c r="P301" s="95"/>
      <c r="Q301" s="137"/>
      <c r="R301" s="129"/>
      <c r="S301" s="95"/>
      <c r="T301" s="95"/>
      <c r="V301" s="107"/>
    </row>
    <row r="302" ht="15.75" customHeight="1">
      <c r="A302" s="89"/>
      <c r="B302" s="182"/>
      <c r="C302" s="149"/>
      <c r="D302" s="95"/>
      <c r="E302" s="149"/>
      <c r="F302" s="149"/>
      <c r="G302" s="95"/>
      <c r="H302" s="149"/>
      <c r="I302" s="95"/>
      <c r="J302" s="95"/>
      <c r="K302" s="154"/>
      <c r="L302" s="154"/>
      <c r="M302" s="100"/>
      <c r="N302" s="127"/>
      <c r="O302" s="128"/>
      <c r="P302" s="95"/>
      <c r="Q302" s="137"/>
      <c r="R302" s="129"/>
      <c r="S302" s="95"/>
      <c r="T302" s="95"/>
      <c r="V302" s="107"/>
    </row>
    <row r="303" ht="15.75" customHeight="1">
      <c r="A303" s="89"/>
      <c r="B303" s="182"/>
      <c r="C303" s="149"/>
      <c r="D303" s="95"/>
      <c r="E303" s="149"/>
      <c r="F303" s="149"/>
      <c r="G303" s="95"/>
      <c r="H303" s="149"/>
      <c r="I303" s="95"/>
      <c r="J303" s="95"/>
      <c r="K303" s="156"/>
      <c r="L303" s="156"/>
      <c r="M303" s="100"/>
      <c r="N303" s="127"/>
      <c r="O303" s="128"/>
      <c r="P303" s="95"/>
      <c r="Q303" s="137"/>
      <c r="R303" s="129"/>
      <c r="S303" s="95"/>
      <c r="T303" s="95"/>
      <c r="V303" s="107"/>
    </row>
    <row r="304" ht="15.75" customHeight="1">
      <c r="A304" s="89"/>
      <c r="B304" s="182"/>
      <c r="C304" s="149"/>
      <c r="D304" s="95"/>
      <c r="E304" s="149"/>
      <c r="F304" s="149"/>
      <c r="G304" s="95"/>
      <c r="H304" s="149"/>
      <c r="I304" s="95"/>
      <c r="J304" s="95"/>
      <c r="K304" s="154"/>
      <c r="L304" s="154"/>
      <c r="M304" s="100"/>
      <c r="N304" s="127"/>
      <c r="O304" s="128"/>
      <c r="P304" s="95"/>
      <c r="Q304" s="137"/>
      <c r="R304" s="129"/>
      <c r="S304" s="95"/>
      <c r="T304" s="95"/>
      <c r="V304" s="107"/>
    </row>
    <row r="305" ht="15.75" customHeight="1">
      <c r="A305" s="89"/>
      <c r="B305" s="182"/>
      <c r="C305" s="149"/>
      <c r="D305" s="95"/>
      <c r="E305" s="149"/>
      <c r="F305" s="149"/>
      <c r="G305" s="95"/>
      <c r="H305" s="149"/>
      <c r="I305" s="95"/>
      <c r="J305" s="95"/>
      <c r="K305" s="156"/>
      <c r="L305" s="156"/>
      <c r="M305" s="100"/>
      <c r="N305" s="127"/>
      <c r="O305" s="128"/>
      <c r="P305" s="95"/>
      <c r="Q305" s="137"/>
      <c r="R305" s="129"/>
      <c r="S305" s="95"/>
      <c r="T305" s="95"/>
      <c r="V305" s="107"/>
    </row>
    <row r="306" ht="15.75" customHeight="1">
      <c r="A306" s="89"/>
      <c r="B306" s="182"/>
      <c r="C306" s="149"/>
      <c r="D306" s="95"/>
      <c r="E306" s="149"/>
      <c r="F306" s="149"/>
      <c r="G306" s="95"/>
      <c r="H306" s="149"/>
      <c r="I306" s="95"/>
      <c r="J306" s="95"/>
      <c r="K306" s="154"/>
      <c r="L306" s="154"/>
      <c r="M306" s="100"/>
      <c r="N306" s="127"/>
      <c r="O306" s="128"/>
      <c r="P306" s="95"/>
      <c r="Q306" s="137"/>
      <c r="R306" s="129"/>
      <c r="S306" s="95"/>
      <c r="T306" s="95"/>
      <c r="V306" s="107"/>
    </row>
    <row r="307" ht="15.75" customHeight="1">
      <c r="A307" s="89"/>
      <c r="B307" s="182"/>
      <c r="C307" s="107"/>
      <c r="D307" s="95"/>
      <c r="E307" s="149"/>
      <c r="F307" s="149"/>
      <c r="G307" s="95"/>
      <c r="H307" s="149"/>
      <c r="I307" s="95"/>
      <c r="J307" s="95"/>
      <c r="K307" s="156"/>
      <c r="L307" s="156"/>
      <c r="M307" s="100"/>
      <c r="N307" s="127"/>
      <c r="O307" s="128"/>
      <c r="P307" s="95"/>
      <c r="Q307" s="137"/>
      <c r="R307" s="129"/>
      <c r="S307" s="95"/>
      <c r="T307" s="95"/>
      <c r="V307" s="107"/>
    </row>
    <row r="308" ht="15.75" customHeight="1">
      <c r="A308" s="89"/>
      <c r="B308" s="182"/>
      <c r="C308" s="149"/>
      <c r="D308" s="95"/>
      <c r="E308" s="149"/>
      <c r="F308" s="149"/>
      <c r="G308" s="95"/>
      <c r="H308" s="149"/>
      <c r="I308" s="95"/>
      <c r="J308" s="95"/>
      <c r="K308" s="154"/>
      <c r="L308" s="154"/>
      <c r="M308" s="100"/>
      <c r="N308" s="127"/>
      <c r="O308" s="128"/>
      <c r="P308" s="95"/>
      <c r="Q308" s="137"/>
      <c r="R308" s="129"/>
      <c r="S308" s="95"/>
      <c r="T308" s="95"/>
      <c r="V308" s="107"/>
    </row>
    <row r="309" ht="15.75" customHeight="1">
      <c r="A309" s="89"/>
      <c r="B309" s="182"/>
      <c r="C309" s="149"/>
      <c r="D309" s="95"/>
      <c r="E309" s="149"/>
      <c r="F309" s="149"/>
      <c r="G309" s="95"/>
      <c r="H309" s="149"/>
      <c r="I309" s="95"/>
      <c r="J309" s="95"/>
      <c r="K309" s="156"/>
      <c r="L309" s="156"/>
      <c r="M309" s="100"/>
      <c r="N309" s="127"/>
      <c r="O309" s="128"/>
      <c r="P309" s="95"/>
      <c r="Q309" s="137"/>
      <c r="R309" s="129"/>
      <c r="S309" s="95"/>
      <c r="T309" s="95"/>
      <c r="V309" s="107"/>
    </row>
    <row r="310" ht="15.75" customHeight="1">
      <c r="A310" s="89"/>
      <c r="B310" s="182"/>
      <c r="C310" s="149"/>
      <c r="D310" s="95"/>
      <c r="E310" s="149"/>
      <c r="F310" s="149"/>
      <c r="G310" s="95"/>
      <c r="H310" s="149"/>
      <c r="I310" s="95"/>
      <c r="J310" s="95"/>
      <c r="K310" s="154"/>
      <c r="L310" s="154"/>
      <c r="M310" s="100"/>
      <c r="N310" s="127"/>
      <c r="O310" s="128"/>
      <c r="P310" s="95"/>
      <c r="Q310" s="137"/>
      <c r="R310" s="129"/>
      <c r="S310" s="95"/>
      <c r="T310" s="95"/>
      <c r="V310" s="107"/>
    </row>
    <row r="311" ht="15.75" customHeight="1">
      <c r="A311" s="89"/>
      <c r="B311" s="182"/>
      <c r="C311" s="149"/>
      <c r="D311" s="95"/>
      <c r="E311" s="149"/>
      <c r="F311" s="149"/>
      <c r="G311" s="95"/>
      <c r="H311" s="149"/>
      <c r="I311" s="95"/>
      <c r="J311" s="95"/>
      <c r="K311" s="156"/>
      <c r="L311" s="156"/>
      <c r="M311" s="100"/>
      <c r="N311" s="127"/>
      <c r="O311" s="128"/>
      <c r="P311" s="95"/>
      <c r="Q311" s="137"/>
      <c r="R311" s="129"/>
      <c r="S311" s="95"/>
      <c r="T311" s="95"/>
      <c r="V311" s="107"/>
    </row>
    <row r="312" ht="15.75" customHeight="1">
      <c r="A312" s="89"/>
      <c r="B312" s="182"/>
      <c r="C312" s="149"/>
      <c r="D312" s="95"/>
      <c r="E312" s="149"/>
      <c r="F312" s="149"/>
      <c r="G312" s="95"/>
      <c r="H312" s="149"/>
      <c r="I312" s="95"/>
      <c r="J312" s="95"/>
      <c r="K312" s="154"/>
      <c r="L312" s="154"/>
      <c r="M312" s="100"/>
      <c r="N312" s="127"/>
      <c r="O312" s="128"/>
      <c r="P312" s="95"/>
      <c r="Q312" s="137"/>
      <c r="R312" s="129"/>
      <c r="S312" s="95"/>
      <c r="T312" s="95"/>
      <c r="V312" s="107"/>
    </row>
    <row r="313" ht="15.75" customHeight="1">
      <c r="A313" s="89"/>
      <c r="B313" s="182"/>
      <c r="C313" s="107"/>
      <c r="D313" s="95"/>
      <c r="E313" s="149"/>
      <c r="F313" s="149"/>
      <c r="G313" s="95"/>
      <c r="H313" s="149"/>
      <c r="I313" s="95"/>
      <c r="J313" s="95"/>
      <c r="K313" s="156"/>
      <c r="L313" s="156"/>
      <c r="M313" s="100"/>
      <c r="N313" s="127"/>
      <c r="O313" s="128"/>
      <c r="P313" s="95"/>
      <c r="Q313" s="137"/>
      <c r="R313" s="129"/>
      <c r="S313" s="95"/>
      <c r="T313" s="95"/>
      <c r="V313" s="107"/>
    </row>
    <row r="314" ht="15.75" customHeight="1">
      <c r="A314" s="89"/>
      <c r="B314" s="182"/>
      <c r="C314" s="149"/>
      <c r="D314" s="95"/>
      <c r="E314" s="149"/>
      <c r="F314" s="149"/>
      <c r="G314" s="95"/>
      <c r="H314" s="149"/>
      <c r="I314" s="95"/>
      <c r="J314" s="95"/>
      <c r="K314" s="154"/>
      <c r="L314" s="154"/>
      <c r="M314" s="100"/>
      <c r="N314" s="127"/>
      <c r="O314" s="128"/>
      <c r="P314" s="95"/>
      <c r="Q314" s="137"/>
      <c r="R314" s="129"/>
      <c r="S314" s="95"/>
      <c r="T314" s="95"/>
      <c r="V314" s="107"/>
    </row>
    <row r="315" ht="15.75" customHeight="1">
      <c r="A315" s="89"/>
      <c r="B315" s="182"/>
      <c r="C315" s="149"/>
      <c r="D315" s="95"/>
      <c r="E315" s="149"/>
      <c r="F315" s="149"/>
      <c r="G315" s="95"/>
      <c r="H315" s="149"/>
      <c r="I315" s="95"/>
      <c r="J315" s="95"/>
      <c r="K315" s="156"/>
      <c r="L315" s="156"/>
      <c r="M315" s="100"/>
      <c r="N315" s="127"/>
      <c r="O315" s="128"/>
      <c r="P315" s="95"/>
      <c r="Q315" s="137"/>
      <c r="R315" s="129"/>
      <c r="S315" s="95"/>
      <c r="T315" s="95"/>
      <c r="V315" s="107"/>
    </row>
    <row r="316" ht="15.75" customHeight="1">
      <c r="A316" s="89"/>
      <c r="B316" s="182"/>
      <c r="C316" s="149"/>
      <c r="D316" s="95"/>
      <c r="E316" s="149"/>
      <c r="F316" s="149"/>
      <c r="G316" s="95"/>
      <c r="H316" s="149"/>
      <c r="I316" s="95"/>
      <c r="J316" s="95"/>
      <c r="K316" s="154"/>
      <c r="L316" s="154"/>
      <c r="M316" s="100"/>
      <c r="N316" s="127"/>
      <c r="O316" s="128"/>
      <c r="P316" s="95"/>
      <c r="Q316" s="137"/>
      <c r="R316" s="129"/>
      <c r="S316" s="95"/>
      <c r="T316" s="95"/>
      <c r="V316" s="107"/>
    </row>
    <row r="317" ht="15.75" customHeight="1">
      <c r="A317" s="89"/>
      <c r="B317" s="182"/>
      <c r="C317" s="149"/>
      <c r="D317" s="95"/>
      <c r="E317" s="149"/>
      <c r="F317" s="149"/>
      <c r="G317" s="95"/>
      <c r="H317" s="149"/>
      <c r="I317" s="95"/>
      <c r="J317" s="95"/>
      <c r="K317" s="156"/>
      <c r="L317" s="156"/>
      <c r="M317" s="100"/>
      <c r="N317" s="127"/>
      <c r="O317" s="128"/>
      <c r="P317" s="95"/>
      <c r="Q317" s="137"/>
      <c r="R317" s="129"/>
      <c r="S317" s="95"/>
      <c r="T317" s="95"/>
      <c r="V317" s="107"/>
    </row>
    <row r="318" ht="15.75" customHeight="1">
      <c r="A318" s="89"/>
      <c r="B318" s="182"/>
      <c r="C318" s="149"/>
      <c r="D318" s="95"/>
      <c r="E318" s="149"/>
      <c r="F318" s="149"/>
      <c r="G318" s="95"/>
      <c r="H318" s="149"/>
      <c r="I318" s="95"/>
      <c r="J318" s="95"/>
      <c r="K318" s="154"/>
      <c r="L318" s="154"/>
      <c r="M318" s="100"/>
      <c r="N318" s="127"/>
      <c r="O318" s="128"/>
      <c r="P318" s="95"/>
      <c r="Q318" s="137"/>
      <c r="R318" s="129"/>
      <c r="S318" s="95"/>
      <c r="T318" s="95"/>
      <c r="V318" s="107"/>
    </row>
    <row r="319" ht="15.75" customHeight="1">
      <c r="A319" s="89"/>
      <c r="B319" s="182"/>
      <c r="C319" s="107"/>
      <c r="D319" s="95"/>
      <c r="E319" s="149"/>
      <c r="F319" s="149"/>
      <c r="G319" s="95"/>
      <c r="H319" s="149"/>
      <c r="I319" s="95"/>
      <c r="J319" s="95"/>
      <c r="K319" s="156"/>
      <c r="L319" s="156"/>
      <c r="M319" s="100"/>
      <c r="N319" s="127"/>
      <c r="O319" s="128"/>
      <c r="P319" s="95"/>
      <c r="Q319" s="137"/>
      <c r="R319" s="129"/>
      <c r="S319" s="95"/>
      <c r="T319" s="95"/>
      <c r="V319" s="107"/>
    </row>
    <row r="320" ht="15.75" customHeight="1">
      <c r="A320" s="89"/>
      <c r="B320" s="182"/>
      <c r="C320" s="149"/>
      <c r="D320" s="95"/>
      <c r="E320" s="149"/>
      <c r="F320" s="149"/>
      <c r="G320" s="95"/>
      <c r="H320" s="149"/>
      <c r="I320" s="95"/>
      <c r="J320" s="95"/>
      <c r="K320" s="154"/>
      <c r="L320" s="154"/>
      <c r="M320" s="100"/>
      <c r="N320" s="127"/>
      <c r="O320" s="128"/>
      <c r="P320" s="95"/>
      <c r="Q320" s="137"/>
      <c r="R320" s="129"/>
      <c r="S320" s="95"/>
      <c r="T320" s="95"/>
      <c r="V320" s="107"/>
    </row>
    <row r="321" ht="15.75" customHeight="1">
      <c r="A321" s="89"/>
      <c r="B321" s="182"/>
      <c r="C321" s="149"/>
      <c r="D321" s="95"/>
      <c r="E321" s="149"/>
      <c r="F321" s="149"/>
      <c r="G321" s="95"/>
      <c r="H321" s="149"/>
      <c r="I321" s="95"/>
      <c r="J321" s="95"/>
      <c r="K321" s="156"/>
      <c r="L321" s="156"/>
      <c r="M321" s="100"/>
      <c r="N321" s="127"/>
      <c r="O321" s="128"/>
      <c r="P321" s="95"/>
      <c r="Q321" s="137"/>
      <c r="R321" s="129"/>
      <c r="S321" s="95"/>
      <c r="T321" s="95"/>
      <c r="V321" s="107"/>
    </row>
    <row r="322" ht="15.75" customHeight="1">
      <c r="A322" s="89"/>
      <c r="B322" s="182"/>
      <c r="C322" s="149"/>
      <c r="D322" s="95"/>
      <c r="E322" s="149"/>
      <c r="F322" s="149"/>
      <c r="G322" s="95"/>
      <c r="H322" s="149"/>
      <c r="I322" s="95"/>
      <c r="J322" s="95"/>
      <c r="K322" s="154"/>
      <c r="L322" s="154"/>
      <c r="M322" s="100"/>
      <c r="N322" s="127"/>
      <c r="O322" s="128"/>
      <c r="P322" s="95"/>
      <c r="Q322" s="137"/>
      <c r="R322" s="129"/>
      <c r="S322" s="95"/>
      <c r="T322" s="95"/>
      <c r="V322" s="107"/>
    </row>
    <row r="323" ht="15.75" customHeight="1">
      <c r="A323" s="89"/>
      <c r="B323" s="182"/>
      <c r="C323" s="149"/>
      <c r="D323" s="95"/>
      <c r="E323" s="149"/>
      <c r="F323" s="149"/>
      <c r="G323" s="95"/>
      <c r="H323" s="149"/>
      <c r="I323" s="95"/>
      <c r="J323" s="95"/>
      <c r="K323" s="156"/>
      <c r="L323" s="156"/>
      <c r="M323" s="100"/>
      <c r="N323" s="127"/>
      <c r="O323" s="128"/>
      <c r="P323" s="95"/>
      <c r="Q323" s="137"/>
      <c r="R323" s="129"/>
      <c r="S323" s="95"/>
      <c r="T323" s="95"/>
      <c r="V323" s="107"/>
    </row>
    <row r="324" ht="15.75" customHeight="1">
      <c r="A324" s="89"/>
      <c r="B324" s="182"/>
      <c r="C324" s="149"/>
      <c r="D324" s="95"/>
      <c r="E324" s="149"/>
      <c r="F324" s="149"/>
      <c r="G324" s="95"/>
      <c r="H324" s="149"/>
      <c r="I324" s="95"/>
      <c r="J324" s="95"/>
      <c r="K324" s="154"/>
      <c r="L324" s="154"/>
      <c r="M324" s="100"/>
      <c r="N324" s="127"/>
      <c r="O324" s="128"/>
      <c r="P324" s="95"/>
      <c r="Q324" s="137"/>
      <c r="R324" s="129"/>
      <c r="S324" s="95"/>
      <c r="T324" s="95"/>
      <c r="V324" s="107"/>
    </row>
    <row r="325" ht="15.75" customHeight="1">
      <c r="A325" s="89"/>
      <c r="B325" s="182"/>
      <c r="C325" s="107"/>
      <c r="D325" s="95"/>
      <c r="E325" s="149"/>
      <c r="F325" s="149"/>
      <c r="G325" s="95"/>
      <c r="H325" s="149"/>
      <c r="I325" s="95"/>
      <c r="J325" s="95"/>
      <c r="K325" s="156"/>
      <c r="L325" s="156"/>
      <c r="M325" s="100"/>
      <c r="N325" s="127"/>
      <c r="O325" s="128"/>
      <c r="P325" s="95"/>
      <c r="Q325" s="137"/>
      <c r="R325" s="129"/>
      <c r="S325" s="95"/>
      <c r="T325" s="95"/>
      <c r="V325" s="107"/>
    </row>
    <row r="326" ht="15.75" customHeight="1">
      <c r="A326" s="89"/>
      <c r="B326" s="182"/>
      <c r="C326" s="149"/>
      <c r="D326" s="95"/>
      <c r="E326" s="149"/>
      <c r="F326" s="149"/>
      <c r="G326" s="95"/>
      <c r="H326" s="149"/>
      <c r="I326" s="95"/>
      <c r="J326" s="95"/>
      <c r="K326" s="154"/>
      <c r="L326" s="154"/>
      <c r="M326" s="100"/>
      <c r="N326" s="127"/>
      <c r="O326" s="128"/>
      <c r="P326" s="95"/>
      <c r="Q326" s="137"/>
      <c r="R326" s="129"/>
      <c r="S326" s="95"/>
      <c r="T326" s="95"/>
      <c r="V326" s="107"/>
    </row>
    <row r="327" ht="15.75" customHeight="1">
      <c r="A327" s="89"/>
      <c r="B327" s="182"/>
      <c r="C327" s="149"/>
      <c r="D327" s="95"/>
      <c r="E327" s="149"/>
      <c r="F327" s="149"/>
      <c r="G327" s="95"/>
      <c r="H327" s="149"/>
      <c r="I327" s="95"/>
      <c r="J327" s="95"/>
      <c r="K327" s="156"/>
      <c r="L327" s="156"/>
      <c r="M327" s="100"/>
      <c r="N327" s="127"/>
      <c r="O327" s="128"/>
      <c r="P327" s="95"/>
      <c r="Q327" s="137"/>
      <c r="R327" s="129"/>
      <c r="S327" s="95"/>
      <c r="T327" s="95"/>
      <c r="V327" s="107"/>
    </row>
    <row r="328" ht="15.75" customHeight="1">
      <c r="A328" s="89"/>
      <c r="B328" s="182"/>
      <c r="C328" s="149"/>
      <c r="D328" s="95"/>
      <c r="E328" s="149"/>
      <c r="F328" s="149"/>
      <c r="G328" s="95"/>
      <c r="H328" s="149"/>
      <c r="I328" s="95"/>
      <c r="J328" s="95"/>
      <c r="K328" s="158"/>
      <c r="L328" s="158"/>
      <c r="M328" s="100"/>
      <c r="N328" s="127"/>
      <c r="O328" s="128"/>
      <c r="P328" s="95"/>
      <c r="Q328" s="137"/>
      <c r="R328" s="129"/>
      <c r="S328" s="95"/>
      <c r="T328" s="95"/>
      <c r="V328" s="107"/>
    </row>
    <row r="329" ht="15.75" customHeight="1">
      <c r="A329" s="89"/>
      <c r="B329" s="182"/>
      <c r="C329" s="149"/>
      <c r="D329" s="95"/>
      <c r="E329" s="149"/>
      <c r="F329" s="149"/>
      <c r="G329" s="95"/>
      <c r="H329" s="149"/>
      <c r="I329" s="95"/>
      <c r="J329" s="95"/>
      <c r="K329" s="158"/>
      <c r="L329" s="158"/>
      <c r="M329" s="100"/>
      <c r="N329" s="127"/>
      <c r="O329" s="128"/>
      <c r="P329" s="95"/>
      <c r="Q329" s="137"/>
      <c r="R329" s="129"/>
      <c r="S329" s="95"/>
      <c r="T329" s="95"/>
      <c r="V329" s="107"/>
    </row>
    <row r="330" ht="15.75" customHeight="1">
      <c r="A330" s="89"/>
      <c r="B330" s="182"/>
      <c r="C330" s="149"/>
      <c r="D330" s="95"/>
      <c r="E330" s="149"/>
      <c r="F330" s="149"/>
      <c r="G330" s="95"/>
      <c r="H330" s="149"/>
      <c r="I330" s="95"/>
      <c r="J330" s="95"/>
      <c r="K330" s="158"/>
      <c r="L330" s="158"/>
      <c r="M330" s="100"/>
      <c r="N330" s="127"/>
      <c r="O330" s="128"/>
      <c r="P330" s="95"/>
      <c r="Q330" s="137"/>
      <c r="R330" s="129"/>
      <c r="S330" s="95"/>
      <c r="T330" s="95"/>
      <c r="V330" s="107"/>
    </row>
    <row r="331" ht="15.75" customHeight="1">
      <c r="A331" s="89"/>
      <c r="B331" s="182"/>
      <c r="C331" s="107"/>
      <c r="D331" s="95"/>
      <c r="E331" s="149"/>
      <c r="F331" s="149"/>
      <c r="G331" s="95"/>
      <c r="H331" s="149"/>
      <c r="I331" s="95"/>
      <c r="J331" s="95"/>
      <c r="K331" s="158"/>
      <c r="L331" s="158"/>
      <c r="M331" s="100"/>
      <c r="N331" s="127"/>
      <c r="O331" s="128"/>
      <c r="P331" s="95"/>
      <c r="Q331" s="137"/>
      <c r="R331" s="129"/>
      <c r="S331" s="95"/>
      <c r="T331" s="95"/>
      <c r="V331" s="107"/>
    </row>
    <row r="332" ht="15.75" customHeight="1">
      <c r="A332" s="89"/>
      <c r="B332" s="182"/>
      <c r="C332" s="149"/>
      <c r="D332" s="95"/>
      <c r="E332" s="149"/>
      <c r="F332" s="149"/>
      <c r="G332" s="95"/>
      <c r="H332" s="149"/>
      <c r="I332" s="95"/>
      <c r="J332" s="95"/>
      <c r="K332" s="158"/>
      <c r="L332" s="158"/>
      <c r="M332" s="100"/>
      <c r="N332" s="127"/>
      <c r="O332" s="128"/>
      <c r="P332" s="95"/>
      <c r="Q332" s="137"/>
      <c r="R332" s="129"/>
      <c r="S332" s="95"/>
      <c r="T332" s="95"/>
      <c r="V332" s="107"/>
    </row>
    <row r="333" ht="15.75" customHeight="1">
      <c r="A333" s="89"/>
      <c r="B333" s="182"/>
      <c r="C333" s="149"/>
      <c r="D333" s="95"/>
      <c r="E333" s="149"/>
      <c r="F333" s="149"/>
      <c r="G333" s="95"/>
      <c r="H333" s="149"/>
      <c r="I333" s="95"/>
      <c r="J333" s="95"/>
      <c r="K333" s="158"/>
      <c r="L333" s="158"/>
      <c r="M333" s="100"/>
      <c r="N333" s="127"/>
      <c r="O333" s="128"/>
      <c r="P333" s="95"/>
      <c r="Q333" s="137"/>
      <c r="R333" s="129"/>
      <c r="S333" s="95"/>
      <c r="T333" s="95"/>
      <c r="V333" s="107"/>
    </row>
    <row r="334" ht="15.75" customHeight="1">
      <c r="A334" s="89"/>
      <c r="B334" s="182"/>
      <c r="C334" s="149"/>
      <c r="D334" s="95"/>
      <c r="E334" s="149"/>
      <c r="F334" s="149"/>
      <c r="G334" s="95"/>
      <c r="H334" s="149"/>
      <c r="I334" s="95"/>
      <c r="J334" s="95"/>
      <c r="K334" s="158"/>
      <c r="L334" s="158"/>
      <c r="M334" s="100"/>
      <c r="N334" s="127"/>
      <c r="O334" s="128"/>
      <c r="P334" s="95"/>
      <c r="Q334" s="137"/>
      <c r="R334" s="129"/>
      <c r="S334" s="95"/>
      <c r="T334" s="95"/>
      <c r="V334" s="107"/>
    </row>
    <row r="335" ht="15.75" customHeight="1">
      <c r="A335" s="89"/>
      <c r="B335" s="182"/>
      <c r="C335" s="149"/>
      <c r="D335" s="95"/>
      <c r="E335" s="149"/>
      <c r="F335" s="149"/>
      <c r="G335" s="95"/>
      <c r="H335" s="149"/>
      <c r="I335" s="95"/>
      <c r="J335" s="95"/>
      <c r="K335" s="158"/>
      <c r="L335" s="158"/>
      <c r="M335" s="100"/>
      <c r="N335" s="127"/>
      <c r="O335" s="128"/>
      <c r="P335" s="95"/>
      <c r="Q335" s="137"/>
      <c r="R335" s="129"/>
      <c r="S335" s="95"/>
      <c r="T335" s="95"/>
      <c r="V335" s="107"/>
    </row>
    <row r="336" ht="15.75" customHeight="1">
      <c r="A336" s="89"/>
      <c r="B336" s="182"/>
      <c r="C336" s="149"/>
      <c r="D336" s="95"/>
      <c r="E336" s="149"/>
      <c r="F336" s="149"/>
      <c r="G336" s="95"/>
      <c r="H336" s="149"/>
      <c r="I336" s="95"/>
      <c r="J336" s="95"/>
      <c r="K336" s="158"/>
      <c r="L336" s="158"/>
      <c r="M336" s="100"/>
      <c r="N336" s="127"/>
      <c r="O336" s="128"/>
      <c r="P336" s="95"/>
      <c r="Q336" s="137"/>
      <c r="R336" s="129"/>
      <c r="S336" s="95"/>
      <c r="T336" s="95"/>
      <c r="V336" s="107"/>
    </row>
    <row r="337" ht="15.75" customHeight="1">
      <c r="A337" s="89"/>
      <c r="B337" s="182"/>
      <c r="C337" s="107"/>
      <c r="D337" s="95"/>
      <c r="E337" s="149"/>
      <c r="F337" s="149"/>
      <c r="G337" s="95"/>
      <c r="H337" s="149"/>
      <c r="I337" s="95"/>
      <c r="J337" s="95"/>
      <c r="K337" s="158"/>
      <c r="L337" s="158"/>
      <c r="M337" s="100"/>
      <c r="N337" s="127"/>
      <c r="O337" s="128"/>
      <c r="P337" s="95"/>
      <c r="Q337" s="137"/>
      <c r="R337" s="129"/>
      <c r="S337" s="95"/>
      <c r="T337" s="95"/>
      <c r="V337" s="107"/>
    </row>
    <row r="338" ht="15.75" customHeight="1">
      <c r="A338" s="89"/>
      <c r="B338" s="182"/>
      <c r="C338" s="149"/>
      <c r="D338" s="95"/>
      <c r="E338" s="149"/>
      <c r="F338" s="149"/>
      <c r="G338" s="95"/>
      <c r="H338" s="149"/>
      <c r="I338" s="95"/>
      <c r="J338" s="95"/>
      <c r="K338" s="158"/>
      <c r="L338" s="158"/>
      <c r="M338" s="100"/>
      <c r="N338" s="127"/>
      <c r="O338" s="128"/>
      <c r="P338" s="95"/>
      <c r="Q338" s="137"/>
      <c r="R338" s="129"/>
      <c r="S338" s="95"/>
      <c r="T338" s="95"/>
      <c r="V338" s="107"/>
    </row>
    <row r="339" ht="15.75" customHeight="1">
      <c r="A339" s="89"/>
      <c r="B339" s="182"/>
      <c r="C339" s="149"/>
      <c r="D339" s="95"/>
      <c r="E339" s="149"/>
      <c r="F339" s="149"/>
      <c r="G339" s="95"/>
      <c r="H339" s="149"/>
      <c r="I339" s="95"/>
      <c r="J339" s="95"/>
      <c r="K339" s="158"/>
      <c r="L339" s="158"/>
      <c r="M339" s="100"/>
      <c r="N339" s="127"/>
      <c r="O339" s="128"/>
      <c r="P339" s="95"/>
      <c r="Q339" s="137"/>
      <c r="R339" s="129"/>
      <c r="S339" s="95"/>
      <c r="T339" s="95"/>
      <c r="V339" s="107"/>
    </row>
    <row r="340" ht="15.75" customHeight="1">
      <c r="A340" s="89"/>
      <c r="B340" s="182"/>
      <c r="C340" s="149"/>
      <c r="D340" s="95"/>
      <c r="E340" s="149"/>
      <c r="F340" s="149"/>
      <c r="G340" s="95"/>
      <c r="H340" s="149"/>
      <c r="I340" s="95"/>
      <c r="J340" s="95"/>
      <c r="K340" s="158"/>
      <c r="L340" s="158"/>
      <c r="M340" s="100"/>
      <c r="N340" s="127"/>
      <c r="O340" s="128"/>
      <c r="P340" s="95"/>
      <c r="Q340" s="137"/>
      <c r="R340" s="129"/>
      <c r="S340" s="95"/>
      <c r="T340" s="95"/>
      <c r="V340" s="107"/>
    </row>
    <row r="341" ht="15.75" customHeight="1">
      <c r="A341" s="89"/>
      <c r="B341" s="182"/>
      <c r="C341" s="149"/>
      <c r="D341" s="95"/>
      <c r="E341" s="149"/>
      <c r="F341" s="149"/>
      <c r="G341" s="95"/>
      <c r="H341" s="149"/>
      <c r="I341" s="95"/>
      <c r="J341" s="95"/>
      <c r="K341" s="158"/>
      <c r="L341" s="158"/>
      <c r="M341" s="100"/>
      <c r="N341" s="127"/>
      <c r="O341" s="128"/>
      <c r="P341" s="95"/>
      <c r="Q341" s="137"/>
      <c r="R341" s="129"/>
      <c r="S341" s="95"/>
      <c r="T341" s="95"/>
      <c r="V341" s="107"/>
    </row>
    <row r="342" ht="15.75" customHeight="1">
      <c r="A342" s="89"/>
      <c r="B342" s="182"/>
      <c r="C342" s="149"/>
      <c r="D342" s="95"/>
      <c r="E342" s="149"/>
      <c r="F342" s="149"/>
      <c r="G342" s="95"/>
      <c r="H342" s="149"/>
      <c r="I342" s="95"/>
      <c r="J342" s="95"/>
      <c r="K342" s="158"/>
      <c r="L342" s="158"/>
      <c r="M342" s="100"/>
      <c r="N342" s="127"/>
      <c r="O342" s="128"/>
      <c r="P342" s="95"/>
      <c r="Q342" s="137"/>
      <c r="R342" s="129"/>
      <c r="S342" s="95"/>
      <c r="T342" s="95"/>
      <c r="V342" s="107"/>
    </row>
    <row r="343" ht="15.75" customHeight="1">
      <c r="A343" s="89"/>
      <c r="B343" s="182"/>
      <c r="C343" s="107"/>
      <c r="D343" s="95"/>
      <c r="E343" s="149"/>
      <c r="F343" s="149"/>
      <c r="G343" s="95"/>
      <c r="H343" s="149"/>
      <c r="I343" s="95"/>
      <c r="J343" s="95"/>
      <c r="K343" s="158"/>
      <c r="L343" s="158"/>
      <c r="M343" s="100"/>
      <c r="N343" s="127"/>
      <c r="O343" s="128"/>
      <c r="P343" s="95"/>
      <c r="Q343" s="137"/>
      <c r="R343" s="129"/>
      <c r="S343" s="95"/>
      <c r="T343" s="95"/>
      <c r="V343" s="107"/>
    </row>
    <row r="344" ht="15.75" customHeight="1">
      <c r="A344" s="89"/>
      <c r="B344" s="182"/>
      <c r="C344" s="149"/>
      <c r="D344" s="95"/>
      <c r="E344" s="149"/>
      <c r="F344" s="149"/>
      <c r="G344" s="95"/>
      <c r="H344" s="149"/>
      <c r="I344" s="95"/>
      <c r="J344" s="95"/>
      <c r="K344" s="158"/>
      <c r="L344" s="158"/>
      <c r="M344" s="100"/>
      <c r="N344" s="127"/>
      <c r="O344" s="128"/>
      <c r="P344" s="95"/>
      <c r="Q344" s="137"/>
      <c r="R344" s="129"/>
      <c r="S344" s="95"/>
      <c r="T344" s="95"/>
      <c r="V344" s="107"/>
    </row>
    <row r="345" ht="15.75" customHeight="1">
      <c r="A345" s="89"/>
      <c r="B345" s="182"/>
      <c r="C345" s="149"/>
      <c r="D345" s="95"/>
      <c r="E345" s="149"/>
      <c r="F345" s="149"/>
      <c r="G345" s="95"/>
      <c r="H345" s="149"/>
      <c r="I345" s="95"/>
      <c r="J345" s="95"/>
      <c r="K345" s="158"/>
      <c r="L345" s="158"/>
      <c r="M345" s="100"/>
      <c r="N345" s="127"/>
      <c r="O345" s="128"/>
      <c r="P345" s="95"/>
      <c r="Q345" s="137"/>
      <c r="R345" s="129"/>
      <c r="S345" s="95"/>
      <c r="T345" s="95"/>
      <c r="V345" s="107"/>
    </row>
    <row r="346" ht="15.75" customHeight="1">
      <c r="A346" s="89"/>
      <c r="B346" s="182"/>
      <c r="C346" s="149"/>
      <c r="D346" s="95"/>
      <c r="E346" s="149"/>
      <c r="F346" s="149"/>
      <c r="G346" s="95"/>
      <c r="H346" s="149"/>
      <c r="I346" s="95"/>
      <c r="J346" s="95"/>
      <c r="K346" s="158"/>
      <c r="L346" s="158"/>
      <c r="M346" s="100"/>
      <c r="N346" s="127"/>
      <c r="O346" s="128"/>
      <c r="P346" s="95"/>
      <c r="Q346" s="137"/>
      <c r="R346" s="129"/>
      <c r="S346" s="95"/>
      <c r="T346" s="95"/>
      <c r="V346" s="107"/>
    </row>
    <row r="347" ht="15.75" customHeight="1">
      <c r="A347" s="89"/>
      <c r="B347" s="182"/>
      <c r="C347" s="149"/>
      <c r="D347" s="95"/>
      <c r="E347" s="149"/>
      <c r="F347" s="149"/>
      <c r="G347" s="95"/>
      <c r="H347" s="149"/>
      <c r="I347" s="95"/>
      <c r="J347" s="95"/>
      <c r="K347" s="158"/>
      <c r="L347" s="158"/>
      <c r="M347" s="100"/>
      <c r="N347" s="127"/>
      <c r="O347" s="128"/>
      <c r="P347" s="95"/>
      <c r="Q347" s="137"/>
      <c r="R347" s="129"/>
      <c r="S347" s="95"/>
      <c r="T347" s="95"/>
      <c r="V347" s="107"/>
    </row>
    <row r="348" ht="15.75" customHeight="1">
      <c r="A348" s="89"/>
      <c r="B348" s="182"/>
      <c r="C348" s="149"/>
      <c r="D348" s="95"/>
      <c r="E348" s="149"/>
      <c r="F348" s="149"/>
      <c r="G348" s="95"/>
      <c r="H348" s="149"/>
      <c r="I348" s="95"/>
      <c r="J348" s="95"/>
      <c r="K348" s="158"/>
      <c r="L348" s="158"/>
      <c r="M348" s="100"/>
      <c r="N348" s="127"/>
      <c r="O348" s="128"/>
      <c r="P348" s="95"/>
      <c r="Q348" s="137"/>
      <c r="R348" s="129"/>
      <c r="S348" s="95"/>
      <c r="T348" s="95"/>
      <c r="V348" s="107"/>
    </row>
    <row r="349" ht="15.75" customHeight="1">
      <c r="A349" s="89"/>
      <c r="B349" s="182"/>
      <c r="C349" s="107"/>
      <c r="D349" s="95"/>
      <c r="E349" s="149"/>
      <c r="F349" s="149"/>
      <c r="G349" s="95"/>
      <c r="H349" s="149"/>
      <c r="I349" s="95"/>
      <c r="J349" s="95"/>
      <c r="K349" s="158"/>
      <c r="L349" s="158"/>
      <c r="M349" s="100"/>
      <c r="N349" s="127"/>
      <c r="O349" s="128"/>
      <c r="P349" s="95"/>
      <c r="Q349" s="137"/>
      <c r="R349" s="129"/>
      <c r="S349" s="95"/>
      <c r="T349" s="95"/>
      <c r="V349" s="107"/>
    </row>
    <row r="350" ht="15.75" customHeight="1">
      <c r="A350" s="89"/>
      <c r="B350" s="182"/>
      <c r="C350" s="149"/>
      <c r="D350" s="95"/>
      <c r="E350" s="149"/>
      <c r="F350" s="149"/>
      <c r="G350" s="95"/>
      <c r="H350" s="149"/>
      <c r="I350" s="95"/>
      <c r="J350" s="95"/>
      <c r="K350" s="158"/>
      <c r="L350" s="158"/>
      <c r="M350" s="100"/>
      <c r="N350" s="127"/>
      <c r="O350" s="128"/>
      <c r="P350" s="95"/>
      <c r="Q350" s="137"/>
      <c r="R350" s="129"/>
      <c r="S350" s="95"/>
      <c r="T350" s="95"/>
      <c r="V350" s="107"/>
    </row>
    <row r="351" ht="15.75" customHeight="1">
      <c r="A351" s="89"/>
      <c r="B351" s="182"/>
      <c r="C351" s="149"/>
      <c r="D351" s="95"/>
      <c r="E351" s="149"/>
      <c r="F351" s="149"/>
      <c r="G351" s="95"/>
      <c r="H351" s="149"/>
      <c r="I351" s="95"/>
      <c r="J351" s="95"/>
      <c r="K351" s="158"/>
      <c r="L351" s="158"/>
      <c r="M351" s="100"/>
      <c r="N351" s="127"/>
      <c r="O351" s="128"/>
      <c r="P351" s="95"/>
      <c r="Q351" s="137"/>
      <c r="R351" s="129"/>
      <c r="S351" s="95"/>
      <c r="T351" s="95"/>
      <c r="V351" s="107"/>
    </row>
    <row r="352" ht="15.75" customHeight="1">
      <c r="A352" s="89"/>
      <c r="B352" s="182"/>
      <c r="C352" s="149"/>
      <c r="D352" s="95"/>
      <c r="E352" s="149"/>
      <c r="F352" s="149"/>
      <c r="G352" s="95"/>
      <c r="H352" s="149"/>
      <c r="I352" s="95"/>
      <c r="J352" s="95"/>
      <c r="K352" s="158"/>
      <c r="L352" s="158"/>
      <c r="M352" s="100"/>
      <c r="N352" s="127"/>
      <c r="O352" s="128"/>
      <c r="P352" s="95"/>
      <c r="Q352" s="137"/>
      <c r="R352" s="129"/>
      <c r="S352" s="95"/>
      <c r="T352" s="95"/>
      <c r="V352" s="107"/>
    </row>
    <row r="353" ht="15.75" customHeight="1">
      <c r="A353" s="89"/>
      <c r="B353" s="182"/>
      <c r="C353" s="149"/>
      <c r="D353" s="95"/>
      <c r="E353" s="149"/>
      <c r="F353" s="149"/>
      <c r="G353" s="95"/>
      <c r="H353" s="149"/>
      <c r="I353" s="95"/>
      <c r="J353" s="95"/>
      <c r="K353" s="158"/>
      <c r="L353" s="158"/>
      <c r="M353" s="100"/>
      <c r="N353" s="127"/>
      <c r="O353" s="128"/>
      <c r="P353" s="95"/>
      <c r="Q353" s="137"/>
      <c r="R353" s="129"/>
      <c r="S353" s="95"/>
      <c r="T353" s="95"/>
      <c r="V353" s="107"/>
    </row>
    <row r="354" ht="15.75" customHeight="1">
      <c r="A354" s="89"/>
      <c r="B354" s="182"/>
      <c r="C354" s="149"/>
      <c r="D354" s="95"/>
      <c r="E354" s="149"/>
      <c r="F354" s="149"/>
      <c r="G354" s="95"/>
      <c r="H354" s="149"/>
      <c r="I354" s="95"/>
      <c r="J354" s="95"/>
      <c r="K354" s="158"/>
      <c r="L354" s="158"/>
      <c r="M354" s="100"/>
      <c r="N354" s="127"/>
      <c r="O354" s="128"/>
      <c r="P354" s="95"/>
      <c r="Q354" s="137"/>
      <c r="R354" s="129"/>
      <c r="S354" s="95"/>
      <c r="T354" s="95"/>
      <c r="V354" s="107"/>
    </row>
    <row r="355" ht="15.75" customHeight="1">
      <c r="A355" s="89"/>
      <c r="B355" s="182"/>
      <c r="C355" s="107"/>
      <c r="D355" s="95"/>
      <c r="E355" s="149"/>
      <c r="F355" s="149"/>
      <c r="G355" s="95"/>
      <c r="H355" s="149"/>
      <c r="I355" s="95"/>
      <c r="J355" s="95"/>
      <c r="K355" s="158"/>
      <c r="L355" s="158"/>
      <c r="M355" s="100"/>
      <c r="N355" s="127"/>
      <c r="O355" s="128"/>
      <c r="P355" s="95"/>
      <c r="Q355" s="137"/>
      <c r="R355" s="129"/>
      <c r="S355" s="95"/>
      <c r="T355" s="95"/>
      <c r="V355" s="107"/>
    </row>
    <row r="356" ht="15.75" customHeight="1">
      <c r="A356" s="89"/>
      <c r="B356" s="182"/>
      <c r="C356" s="149"/>
      <c r="D356" s="95"/>
      <c r="E356" s="149"/>
      <c r="F356" s="149"/>
      <c r="G356" s="95"/>
      <c r="H356" s="149"/>
      <c r="I356" s="95"/>
      <c r="J356" s="95"/>
      <c r="K356" s="158"/>
      <c r="L356" s="158"/>
      <c r="M356" s="100"/>
      <c r="N356" s="127"/>
      <c r="O356" s="128"/>
      <c r="P356" s="95"/>
      <c r="Q356" s="137"/>
      <c r="R356" s="129"/>
      <c r="S356" s="95"/>
      <c r="T356" s="95"/>
      <c r="V356" s="107"/>
    </row>
    <row r="357" ht="15.75" customHeight="1">
      <c r="A357" s="89"/>
      <c r="B357" s="182"/>
      <c r="C357" s="149"/>
      <c r="D357" s="95"/>
      <c r="E357" s="149"/>
      <c r="F357" s="149"/>
      <c r="G357" s="95"/>
      <c r="H357" s="149"/>
      <c r="I357" s="95"/>
      <c r="J357" s="95"/>
      <c r="K357" s="158"/>
      <c r="L357" s="158"/>
      <c r="M357" s="100"/>
      <c r="N357" s="127"/>
      <c r="O357" s="128"/>
      <c r="P357" s="95"/>
      <c r="Q357" s="137"/>
      <c r="R357" s="129"/>
      <c r="S357" s="95"/>
      <c r="T357" s="95"/>
      <c r="V357" s="107"/>
    </row>
    <row r="358" ht="15.75" customHeight="1">
      <c r="A358" s="89"/>
      <c r="B358" s="182"/>
      <c r="C358" s="149"/>
      <c r="D358" s="95"/>
      <c r="E358" s="149"/>
      <c r="F358" s="149"/>
      <c r="G358" s="95"/>
      <c r="H358" s="149"/>
      <c r="I358" s="95"/>
      <c r="J358" s="95"/>
      <c r="K358" s="158"/>
      <c r="L358" s="158"/>
      <c r="M358" s="100"/>
      <c r="N358" s="127"/>
      <c r="O358" s="128"/>
      <c r="P358" s="95"/>
      <c r="Q358" s="137"/>
      <c r="R358" s="129"/>
      <c r="S358" s="95"/>
      <c r="T358" s="95"/>
      <c r="V358" s="107"/>
    </row>
    <row r="359" ht="15.75" customHeight="1">
      <c r="A359" s="89"/>
      <c r="B359" s="182"/>
      <c r="C359" s="149"/>
      <c r="D359" s="95"/>
      <c r="E359" s="149"/>
      <c r="F359" s="149"/>
      <c r="G359" s="95"/>
      <c r="H359" s="149"/>
      <c r="I359" s="95"/>
      <c r="J359" s="95"/>
      <c r="K359" s="158"/>
      <c r="L359" s="158"/>
      <c r="M359" s="100"/>
      <c r="N359" s="127"/>
      <c r="O359" s="128"/>
      <c r="P359" s="95"/>
      <c r="Q359" s="137"/>
      <c r="R359" s="129"/>
      <c r="S359" s="95"/>
      <c r="T359" s="95"/>
      <c r="V359" s="107"/>
    </row>
    <row r="360" ht="15.75" customHeight="1">
      <c r="A360" s="89"/>
      <c r="B360" s="182"/>
      <c r="C360" s="149"/>
      <c r="D360" s="95"/>
      <c r="E360" s="149"/>
      <c r="F360" s="149"/>
      <c r="G360" s="95"/>
      <c r="H360" s="149"/>
      <c r="I360" s="95"/>
      <c r="J360" s="95"/>
      <c r="K360" s="158"/>
      <c r="L360" s="158"/>
      <c r="M360" s="100"/>
      <c r="N360" s="127"/>
      <c r="O360" s="128"/>
      <c r="P360" s="95"/>
      <c r="Q360" s="137"/>
      <c r="R360" s="129"/>
      <c r="S360" s="95"/>
      <c r="T360" s="95"/>
      <c r="V360" s="107"/>
    </row>
  </sheetData>
  <autoFilter ref="$A$12:$V$109"/>
  <customSheetViews>
    <customSheetView guid="{3D5205AB-724F-426F-9D73-83BFCBF63977}" filter="1" showAutoFilter="1">
      <autoFilter ref="$R$18:$R$21"/>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 type="list" allowBlank="1" showErrorMessage="1" sqref="I13:J15 I16 I17:J21 I22 I23:J35 I36 I37:J102 I103:I109 I110:J360">
      <formula1>"Full-Pay,split-pay,Deposit,Offer &amp; Didn't Buy,Bad Fit &amp; No Offer,Rescheduled,Cancelled,No-Show"</formula1>
    </dataValidation>
  </dataValidations>
  <hyperlinks>
    <hyperlink r:id="rId2" ref="R14"/>
    <hyperlink r:id="rId3" ref="R17"/>
    <hyperlink r:id="rId4" ref="R19"/>
    <hyperlink r:id="rId5" ref="R20"/>
    <hyperlink r:id="rId6" ref="R21"/>
    <hyperlink r:id="rId7" ref="R23"/>
    <hyperlink r:id="rId8" ref="R24"/>
    <hyperlink r:id="rId9" ref="R28"/>
    <hyperlink r:id="rId10" ref="R29"/>
  </hyperlinks>
  <drawing r:id="rId11"/>
  <legacyDrawing r:id="rId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4.0"/>
    <col customWidth="1" min="4" max="4" width="0.38"/>
    <col customWidth="1" min="5" max="5" width="15.13"/>
    <col customWidth="1" min="6" max="6" width="22.38"/>
    <col customWidth="1" min="7" max="7" width="0.38"/>
    <col customWidth="1" min="8" max="8" width="15.63"/>
    <col customWidth="1" min="9" max="9" width="13.88"/>
    <col customWidth="1" min="10" max="10" width="0.38"/>
    <col customWidth="1" min="13" max="13" width="0.38"/>
    <col customWidth="1" min="15" max="15" width="31.0"/>
    <col customWidth="1" min="16" max="16" width="0.5"/>
    <col customWidth="1" min="17" max="17" width="13.13"/>
    <col customWidth="1" min="19" max="19" width="16.5"/>
    <col customWidth="1" min="21" max="21" width="23.75"/>
    <col customWidth="1" min="22" max="22" width="0.38"/>
  </cols>
  <sheetData>
    <row r="1">
      <c r="A1" s="35"/>
      <c r="B1" s="87" t="s">
        <v>31</v>
      </c>
      <c r="C1" s="87" t="s">
        <v>77</v>
      </c>
      <c r="D1" s="35"/>
      <c r="E1" s="38" t="s">
        <v>33</v>
      </c>
      <c r="F1" s="39"/>
      <c r="G1" s="35"/>
      <c r="H1" s="38" t="s">
        <v>34</v>
      </c>
      <c r="I1" s="39"/>
      <c r="J1" s="13"/>
      <c r="K1" s="159" t="s">
        <v>35</v>
      </c>
      <c r="L1" s="41"/>
      <c r="M1" s="13"/>
      <c r="N1" s="38" t="s">
        <v>36</v>
      </c>
      <c r="O1" s="42"/>
      <c r="P1" s="35"/>
      <c r="Q1" s="38" t="s">
        <v>37</v>
      </c>
      <c r="R1" s="43"/>
      <c r="S1" s="39"/>
      <c r="T1" s="39"/>
      <c r="U1" s="35" t="s">
        <v>38</v>
      </c>
      <c r="V1" s="35"/>
    </row>
    <row r="2">
      <c r="A2" s="35"/>
      <c r="B2" s="39"/>
      <c r="C2" s="39"/>
      <c r="D2" s="13"/>
      <c r="E2" s="160" t="s">
        <v>26</v>
      </c>
      <c r="F2" s="161">
        <f>IFERROR(COUNTIFS(I13:I287, "Full-Pay"),"")</f>
        <v>7</v>
      </c>
      <c r="G2" s="13"/>
      <c r="H2" s="46" t="s">
        <v>16</v>
      </c>
      <c r="I2" s="47">
        <f>iferror(I10/I8,"")</f>
        <v>0.5833333333</v>
      </c>
      <c r="J2" s="12"/>
      <c r="K2" s="162" t="s">
        <v>39</v>
      </c>
      <c r="L2" s="49">
        <f>iferror(F8/I6,"")</f>
        <v>0</v>
      </c>
      <c r="M2" s="12"/>
      <c r="N2" s="50" t="s">
        <v>40</v>
      </c>
      <c r="O2" s="51">
        <f>IFERROR(COUNTIFS(N13:N286, "think about it"),"")</f>
        <v>2</v>
      </c>
      <c r="P2" s="13"/>
      <c r="Q2" s="52" t="s">
        <v>41</v>
      </c>
      <c r="R2" s="53">
        <f>IFERROR(COUNTIF(H13:H286,Q2),"")</f>
        <v>0</v>
      </c>
      <c r="S2" s="52" t="s">
        <v>42</v>
      </c>
      <c r="T2" s="54">
        <f>IFERROR(COUNTIF(H13:H286,S2),"")</f>
        <v>0</v>
      </c>
      <c r="U2" s="35"/>
      <c r="V2" s="55"/>
    </row>
    <row r="3">
      <c r="A3" s="13"/>
      <c r="B3" s="163" t="s">
        <v>43</v>
      </c>
      <c r="C3" s="57">
        <f>IFERROR(SUM(K13:K283),"")</f>
        <v>136500</v>
      </c>
      <c r="D3" s="58"/>
      <c r="E3" s="160" t="s">
        <v>27</v>
      </c>
      <c r="F3" s="161">
        <f>IFERROR(COUNTIFS(I13:I287, "Split-Pay"),"")</f>
        <v>7</v>
      </c>
      <c r="G3" s="13"/>
      <c r="H3" s="46" t="s">
        <v>17</v>
      </c>
      <c r="I3" s="47">
        <f>IFERROR(I10/I9,"")</f>
        <v>0.5833333333</v>
      </c>
      <c r="J3" s="12"/>
      <c r="K3" s="162" t="s">
        <v>44</v>
      </c>
      <c r="L3" s="49">
        <f>iferror(F9/I6,"")</f>
        <v>0.1111111111</v>
      </c>
      <c r="M3" s="12"/>
      <c r="N3" s="50" t="s">
        <v>45</v>
      </c>
      <c r="O3" s="59">
        <f>IFERROR(COUNTIFS(N13:N286, "money"),"")</f>
        <v>7</v>
      </c>
      <c r="P3" s="13"/>
      <c r="Q3" s="52" t="s">
        <v>46</v>
      </c>
      <c r="R3" s="53">
        <f>IFERROR(COUNTIF(H13:H286,Q3),"")</f>
        <v>0</v>
      </c>
      <c r="S3" s="52" t="s">
        <v>47</v>
      </c>
      <c r="T3" s="54">
        <f>IFERROR(COUNTIF(H13:H286,S3),"")</f>
        <v>0</v>
      </c>
      <c r="U3" s="35"/>
      <c r="V3" s="55"/>
    </row>
    <row r="4">
      <c r="A4" s="13"/>
      <c r="B4" s="164" t="s">
        <v>48</v>
      </c>
      <c r="C4" s="61">
        <f>IFERROR(SUM(L13:L284),"")</f>
        <v>84000</v>
      </c>
      <c r="D4" s="58"/>
      <c r="E4" s="160" t="s">
        <v>28</v>
      </c>
      <c r="F4" s="161">
        <f>IFERROR(COUNTIFS(I13:I287, "Deposit"),"")</f>
        <v>0</v>
      </c>
      <c r="G4" s="13"/>
      <c r="H4" s="46" t="s">
        <v>18</v>
      </c>
      <c r="I4" s="47">
        <f>IFERROR(I9/I8,"")</f>
        <v>1</v>
      </c>
      <c r="J4" s="12"/>
      <c r="K4" s="162" t="s">
        <v>49</v>
      </c>
      <c r="L4" s="49">
        <f>iferror(F10/I6,"")</f>
        <v>0</v>
      </c>
      <c r="M4" s="12"/>
      <c r="N4" s="50" t="s">
        <v>50</v>
      </c>
      <c r="O4" s="51">
        <f>IFERROR(COUNTIFS(N13:N286, "time"),"")</f>
        <v>0</v>
      </c>
      <c r="P4" s="13"/>
      <c r="Q4" s="52" t="s">
        <v>51</v>
      </c>
      <c r="R4" s="53">
        <f>IFERROR(COUNTIF(H13:H286,Q4),"")</f>
        <v>0</v>
      </c>
      <c r="S4" s="52" t="s">
        <v>52</v>
      </c>
      <c r="T4" s="54">
        <f>IFERROR(COUNTIF(H13:H286,S4),"")</f>
        <v>0</v>
      </c>
      <c r="U4" s="35"/>
      <c r="V4" s="35"/>
    </row>
    <row r="5">
      <c r="A5" s="35"/>
      <c r="B5" s="39"/>
      <c r="C5" s="39"/>
      <c r="D5" s="13"/>
      <c r="E5" s="160" t="s">
        <v>53</v>
      </c>
      <c r="F5" s="161">
        <f>IFERROR(COUNTIFS(I13:I287, "Offer &amp; Didn't Buy"),"")</f>
        <v>10</v>
      </c>
      <c r="G5" s="13"/>
      <c r="H5" s="46" t="s">
        <v>54</v>
      </c>
      <c r="I5" s="47">
        <f>IFERROR(F7/(C6+F7+F8),"")</f>
        <v>0</v>
      </c>
      <c r="J5" s="13"/>
      <c r="K5" s="162" t="s">
        <v>54</v>
      </c>
      <c r="L5" s="49">
        <f>iferror(F7/I6,"")</f>
        <v>0</v>
      </c>
      <c r="M5" s="12"/>
      <c r="N5" s="50" t="s">
        <v>55</v>
      </c>
      <c r="O5" s="51">
        <f>IFERROR(COUNTIFS(N13:N286, "partner"),"")</f>
        <v>0</v>
      </c>
      <c r="P5" s="13"/>
      <c r="Q5" s="52" t="s">
        <v>56</v>
      </c>
      <c r="R5" s="53">
        <f>IFERROR(COUNTIF(H13:H286,Q5),"")</f>
        <v>0</v>
      </c>
      <c r="S5" s="52" t="s">
        <v>57</v>
      </c>
      <c r="T5" s="54">
        <f>IFERROR(COUNTIF(H13:H286,S5),"")</f>
        <v>0</v>
      </c>
      <c r="U5" s="35"/>
      <c r="V5" s="55"/>
    </row>
    <row r="6">
      <c r="A6" s="13"/>
      <c r="B6" s="165" t="s">
        <v>58</v>
      </c>
      <c r="C6" s="63">
        <f>IFERROR(SUM(F2:F6),"")</f>
        <v>24</v>
      </c>
      <c r="D6" s="13"/>
      <c r="E6" s="160" t="s">
        <v>59</v>
      </c>
      <c r="F6" s="161">
        <f>IFERROR(COUNTIFS(I13:I287, "Bad Fit &amp; No Offer"),"")</f>
        <v>0</v>
      </c>
      <c r="G6" s="13"/>
      <c r="H6" s="46" t="s">
        <v>21</v>
      </c>
      <c r="I6" s="64">
        <f>IFERROR(SUM(F2:F10),"")</f>
        <v>27</v>
      </c>
      <c r="J6" s="13"/>
      <c r="K6" s="166" t="s">
        <v>29</v>
      </c>
      <c r="L6" s="49">
        <f>iferror(I7/I6,"")</f>
        <v>0.8888888889</v>
      </c>
      <c r="M6" s="12"/>
      <c r="N6" s="50" t="s">
        <v>60</v>
      </c>
      <c r="O6" s="51">
        <f>IFERROR(COUNTIFS(N13:N286, "fear"),"")</f>
        <v>8</v>
      </c>
      <c r="P6" s="13"/>
      <c r="Q6" s="52" t="s">
        <v>61</v>
      </c>
      <c r="R6" s="53">
        <f>IFERROR(COUNTIF(H13:H286,Q6),"")</f>
        <v>0</v>
      </c>
      <c r="S6" s="52" t="s">
        <v>62</v>
      </c>
      <c r="T6" s="54">
        <f>IFERROR(COUNTIF(H13:H286,S6),"")</f>
        <v>0</v>
      </c>
      <c r="U6" s="35"/>
      <c r="V6" s="55"/>
    </row>
    <row r="7">
      <c r="A7" s="13"/>
      <c r="B7" s="165" t="s">
        <v>63</v>
      </c>
      <c r="C7" s="66">
        <f>IFERROR(F2+F3,"")</f>
        <v>14</v>
      </c>
      <c r="D7" s="13"/>
      <c r="E7" s="160" t="s">
        <v>64</v>
      </c>
      <c r="F7" s="161">
        <f>IFERROR(COUNTIFS(I13:I287, "Drag Over &amp; Show"),"")</f>
        <v>0</v>
      </c>
      <c r="G7" s="13"/>
      <c r="H7" s="46" t="s">
        <v>22</v>
      </c>
      <c r="I7" s="64">
        <f>IFERROR(SUM(F2:F7),"")</f>
        <v>24</v>
      </c>
      <c r="J7" s="13"/>
      <c r="K7" s="167" t="s">
        <v>30</v>
      </c>
      <c r="L7" s="68">
        <f>IFERROR(I8/I6,"")</f>
        <v>0.8888888889</v>
      </c>
      <c r="M7" s="12"/>
      <c r="N7" s="69" t="s">
        <v>65</v>
      </c>
      <c r="O7" s="70">
        <f>IFERROR(COUNTIFS(N14:N287, "value"),"")</f>
        <v>0</v>
      </c>
      <c r="P7" s="13"/>
      <c r="Q7" s="52" t="s">
        <v>66</v>
      </c>
      <c r="R7" s="53">
        <f>IFERROR(COUNTIF(H13:H286,Q7),"")</f>
        <v>0</v>
      </c>
      <c r="S7" s="52" t="s">
        <v>67</v>
      </c>
      <c r="T7" s="54">
        <f>IFERROR(COUNTIF(H13:H286,S7),"")</f>
        <v>0</v>
      </c>
      <c r="U7" s="35"/>
      <c r="V7" s="35"/>
    </row>
    <row r="8">
      <c r="A8" s="13"/>
      <c r="B8" s="165" t="s">
        <v>68</v>
      </c>
      <c r="C8" s="71">
        <f>COUNTIF(I13:I286,"offer &amp; didn't buy")+countif(I13:I286,"deposit")+countif(I13:I286,"bad fit &amp; no offer")</f>
        <v>10</v>
      </c>
      <c r="D8" s="72"/>
      <c r="E8" s="160" t="s">
        <v>69</v>
      </c>
      <c r="F8" s="161">
        <f>IFERROR(COUNTIFS(I13:I287, "Rescheduled"),"")</f>
        <v>0</v>
      </c>
      <c r="G8" s="13"/>
      <c r="H8" s="46" t="s">
        <v>23</v>
      </c>
      <c r="I8" s="64">
        <f>IFERROR(SUM(F2:F6),"")</f>
        <v>24</v>
      </c>
      <c r="J8" s="35"/>
      <c r="K8" s="35"/>
      <c r="L8" s="35"/>
      <c r="M8" s="35"/>
      <c r="N8" s="35"/>
      <c r="O8" s="74"/>
      <c r="P8" s="13"/>
      <c r="Q8" s="75" t="s">
        <v>70</v>
      </c>
      <c r="R8" s="76">
        <f>IFERROR(COUNTIF(H13:H286,Q8),"")</f>
        <v>0</v>
      </c>
      <c r="S8" s="75" t="s">
        <v>71</v>
      </c>
      <c r="T8" s="77">
        <f>IFERROR(COUNTIF(H13:H286,S8),"")</f>
        <v>0</v>
      </c>
      <c r="U8" s="35"/>
      <c r="V8" s="35"/>
    </row>
    <row r="9">
      <c r="A9" s="13"/>
      <c r="B9" s="165" t="s">
        <v>72</v>
      </c>
      <c r="C9" s="78">
        <f>iferror(SUM(C7/C6),"")</f>
        <v>0.5833333333</v>
      </c>
      <c r="D9" s="12"/>
      <c r="E9" s="160" t="s">
        <v>73</v>
      </c>
      <c r="F9" s="161">
        <f>IFERROR(COUNTIFS(I13:I287, "Cancelled"),"")</f>
        <v>3</v>
      </c>
      <c r="G9" s="13"/>
      <c r="H9" s="46" t="s">
        <v>24</v>
      </c>
      <c r="I9" s="64">
        <f>IFERROR(sum(F2:F5),"")</f>
        <v>24</v>
      </c>
      <c r="J9" s="35"/>
      <c r="K9" s="35"/>
      <c r="L9" s="35"/>
      <c r="M9" s="35"/>
      <c r="N9" s="35"/>
      <c r="O9" s="74"/>
      <c r="P9" s="35"/>
      <c r="Q9" s="35"/>
      <c r="R9" s="35"/>
      <c r="S9" s="35"/>
      <c r="T9" s="35"/>
      <c r="V9" s="35"/>
    </row>
    <row r="10">
      <c r="A10" s="35"/>
      <c r="B10" s="35"/>
      <c r="C10" s="35"/>
      <c r="D10" s="13"/>
      <c r="E10" s="168" t="s">
        <v>74</v>
      </c>
      <c r="F10" s="169">
        <f>IFERROR(COUNTIFS(I13:I287, "No-Show"),"")</f>
        <v>0</v>
      </c>
      <c r="G10" s="13"/>
      <c r="H10" s="81" t="s">
        <v>75</v>
      </c>
      <c r="I10" s="82">
        <f>F2+F3</f>
        <v>14</v>
      </c>
      <c r="J10" s="35"/>
      <c r="K10" s="35"/>
      <c r="L10" s="35"/>
      <c r="M10" s="35"/>
      <c r="N10" s="35"/>
      <c r="O10" s="74"/>
      <c r="P10" s="35"/>
      <c r="Q10" s="35"/>
      <c r="R10" s="35"/>
      <c r="S10" s="35"/>
      <c r="T10" s="35"/>
      <c r="V10" s="35"/>
    </row>
    <row r="11" ht="6.0" customHeight="1">
      <c r="A11" s="35"/>
      <c r="B11" s="35"/>
      <c r="C11" s="35"/>
      <c r="D11" s="35"/>
      <c r="E11" s="35"/>
      <c r="F11" s="35"/>
      <c r="G11" s="35"/>
      <c r="H11" s="35"/>
      <c r="I11" s="35"/>
      <c r="J11" s="35"/>
      <c r="K11" s="35"/>
      <c r="L11" s="35"/>
      <c r="M11" s="35"/>
      <c r="N11" s="35"/>
      <c r="O11" s="74"/>
      <c r="P11" s="35"/>
      <c r="Q11" s="35"/>
      <c r="R11" s="35"/>
      <c r="S11" s="35"/>
      <c r="T11" s="35"/>
      <c r="V11" s="35"/>
    </row>
    <row r="12">
      <c r="A12" s="35"/>
      <c r="B12" s="85" t="s">
        <v>76</v>
      </c>
      <c r="C12" s="85" t="s">
        <v>77</v>
      </c>
      <c r="D12" s="35"/>
      <c r="E12" s="87" t="s">
        <v>78</v>
      </c>
      <c r="F12" s="87" t="s">
        <v>56</v>
      </c>
      <c r="G12" s="35"/>
      <c r="H12" s="87" t="s">
        <v>37</v>
      </c>
      <c r="I12" s="87" t="s">
        <v>33</v>
      </c>
      <c r="J12" s="35"/>
      <c r="K12" s="87" t="s">
        <v>79</v>
      </c>
      <c r="L12" s="87" t="s">
        <v>48</v>
      </c>
      <c r="M12" s="35"/>
      <c r="N12" s="87" t="s">
        <v>80</v>
      </c>
      <c r="O12" s="88" t="s">
        <v>81</v>
      </c>
      <c r="P12" s="35"/>
      <c r="Q12" s="87" t="s">
        <v>82</v>
      </c>
      <c r="R12" s="87" t="s">
        <v>83</v>
      </c>
      <c r="S12" s="87" t="s">
        <v>84</v>
      </c>
      <c r="T12" s="87" t="s">
        <v>85</v>
      </c>
      <c r="V12" s="55"/>
    </row>
    <row r="13" ht="15.75" customHeight="1">
      <c r="A13" s="89"/>
      <c r="B13" s="96" t="s">
        <v>1650</v>
      </c>
      <c r="C13" s="184" t="s">
        <v>1651</v>
      </c>
      <c r="D13" s="92"/>
      <c r="E13" s="130" t="s">
        <v>1652</v>
      </c>
      <c r="F13" s="194" t="s">
        <v>1653</v>
      </c>
      <c r="G13" s="95"/>
      <c r="H13" s="96" t="s">
        <v>89</v>
      </c>
      <c r="I13" s="97" t="s">
        <v>1566</v>
      </c>
      <c r="J13" s="95"/>
      <c r="K13" s="99">
        <v>10500.0</v>
      </c>
      <c r="L13" s="99">
        <v>3000.0</v>
      </c>
      <c r="M13" s="100"/>
      <c r="N13" s="101"/>
      <c r="O13" s="102"/>
      <c r="P13" s="95"/>
      <c r="Q13" s="103">
        <v>6.0</v>
      </c>
      <c r="R13" s="171" t="s">
        <v>1654</v>
      </c>
      <c r="S13" s="103" t="s">
        <v>113</v>
      </c>
      <c r="T13" s="105" t="s">
        <v>1655</v>
      </c>
      <c r="U13" s="106"/>
      <c r="V13" s="107"/>
    </row>
    <row r="14" ht="15.75" customHeight="1">
      <c r="A14" s="89"/>
      <c r="B14" s="96" t="s">
        <v>1650</v>
      </c>
      <c r="C14" s="184" t="s">
        <v>1656</v>
      </c>
      <c r="D14" s="92"/>
      <c r="E14" s="130" t="s">
        <v>1657</v>
      </c>
      <c r="F14" s="194" t="s">
        <v>1658</v>
      </c>
      <c r="G14" s="95"/>
      <c r="H14" s="96" t="s">
        <v>89</v>
      </c>
      <c r="I14" s="97" t="s">
        <v>1566</v>
      </c>
      <c r="J14" s="95"/>
      <c r="K14" s="99">
        <v>10500.0</v>
      </c>
      <c r="L14" s="99">
        <v>3000.0</v>
      </c>
      <c r="M14" s="100"/>
      <c r="N14" s="101" t="s">
        <v>91</v>
      </c>
      <c r="O14" s="102" t="s">
        <v>1659</v>
      </c>
      <c r="P14" s="95"/>
      <c r="Q14" s="103">
        <v>6.0</v>
      </c>
      <c r="R14" s="170" t="s">
        <v>1660</v>
      </c>
      <c r="S14" s="103" t="s">
        <v>113</v>
      </c>
      <c r="T14" s="105" t="s">
        <v>1661</v>
      </c>
      <c r="U14" s="106"/>
      <c r="V14" s="107"/>
    </row>
    <row r="15" ht="15.75" customHeight="1">
      <c r="A15" s="95"/>
      <c r="B15" s="96" t="s">
        <v>1662</v>
      </c>
      <c r="C15" s="210" t="s">
        <v>1663</v>
      </c>
      <c r="D15" s="95"/>
      <c r="E15" s="130" t="s">
        <v>1664</v>
      </c>
      <c r="F15" s="194" t="s">
        <v>1665</v>
      </c>
      <c r="G15" s="95"/>
      <c r="H15" s="96" t="s">
        <v>89</v>
      </c>
      <c r="I15" s="97" t="s">
        <v>1566</v>
      </c>
      <c r="J15" s="95"/>
      <c r="K15" s="99">
        <v>10500.0</v>
      </c>
      <c r="L15" s="99">
        <v>3000.0</v>
      </c>
      <c r="M15" s="100"/>
      <c r="N15" s="101"/>
      <c r="O15" s="102"/>
      <c r="P15" s="95"/>
      <c r="Q15" s="103">
        <v>6.0</v>
      </c>
      <c r="R15" s="170" t="s">
        <v>1666</v>
      </c>
      <c r="S15" s="103" t="s">
        <v>113</v>
      </c>
      <c r="T15" s="110" t="s">
        <v>1667</v>
      </c>
      <c r="U15" s="103"/>
      <c r="V15" s="107"/>
    </row>
    <row r="16" ht="15.75" customHeight="1">
      <c r="A16" s="95"/>
      <c r="B16" s="96" t="s">
        <v>1662</v>
      </c>
      <c r="C16" s="172" t="s">
        <v>1668</v>
      </c>
      <c r="D16" s="103"/>
      <c r="E16" s="130" t="s">
        <v>1669</v>
      </c>
      <c r="F16" s="194" t="s">
        <v>1670</v>
      </c>
      <c r="G16" s="95"/>
      <c r="H16" s="96" t="s">
        <v>89</v>
      </c>
      <c r="I16" s="97" t="s">
        <v>849</v>
      </c>
      <c r="J16" s="95"/>
      <c r="K16" s="99"/>
      <c r="L16" s="99"/>
      <c r="M16" s="100"/>
      <c r="N16" s="101"/>
      <c r="O16" s="102"/>
      <c r="P16" s="95"/>
      <c r="Q16" s="103"/>
      <c r="R16" s="115"/>
      <c r="S16" s="103"/>
      <c r="T16" s="116"/>
      <c r="U16" s="103"/>
      <c r="V16" s="107"/>
    </row>
    <row r="17" ht="15.75" customHeight="1">
      <c r="A17" s="95"/>
      <c r="B17" s="96" t="s">
        <v>1671</v>
      </c>
      <c r="C17" s="172" t="s">
        <v>1672</v>
      </c>
      <c r="D17" s="95"/>
      <c r="E17" s="130" t="s">
        <v>1673</v>
      </c>
      <c r="F17" s="194" t="s">
        <v>1674</v>
      </c>
      <c r="G17" s="95"/>
      <c r="H17" s="96" t="s">
        <v>89</v>
      </c>
      <c r="I17" s="97" t="s">
        <v>90</v>
      </c>
      <c r="J17" s="95"/>
      <c r="K17" s="99"/>
      <c r="L17" s="99"/>
      <c r="M17" s="100"/>
      <c r="N17" s="101" t="s">
        <v>60</v>
      </c>
      <c r="O17" s="102" t="s">
        <v>1675</v>
      </c>
      <c r="P17" s="95"/>
      <c r="Q17" s="103">
        <v>6.0</v>
      </c>
      <c r="R17" s="170" t="s">
        <v>1676</v>
      </c>
      <c r="S17" s="103" t="s">
        <v>94</v>
      </c>
      <c r="T17" s="103" t="s">
        <v>1677</v>
      </c>
      <c r="V17" s="107"/>
    </row>
    <row r="18" ht="15.75" customHeight="1">
      <c r="A18" s="95"/>
      <c r="B18" s="96" t="s">
        <v>1678</v>
      </c>
      <c r="C18" s="130" t="s">
        <v>1679</v>
      </c>
      <c r="D18" s="95"/>
      <c r="E18" s="130" t="s">
        <v>1680</v>
      </c>
      <c r="F18" s="194" t="s">
        <v>1681</v>
      </c>
      <c r="G18" s="95"/>
      <c r="H18" s="96" t="s">
        <v>89</v>
      </c>
      <c r="I18" s="97" t="s">
        <v>1566</v>
      </c>
      <c r="J18" s="95"/>
      <c r="K18" s="99">
        <v>10500.0</v>
      </c>
      <c r="L18" s="99">
        <v>3000.0</v>
      </c>
      <c r="M18" s="100"/>
      <c r="N18" s="127"/>
      <c r="O18" s="102"/>
      <c r="P18" s="95"/>
      <c r="Q18" s="103">
        <v>6.0</v>
      </c>
      <c r="R18" s="171" t="s">
        <v>1682</v>
      </c>
      <c r="S18" s="103" t="s">
        <v>113</v>
      </c>
      <c r="T18" s="119" t="s">
        <v>1683</v>
      </c>
      <c r="U18" s="95"/>
      <c r="V18" s="107"/>
    </row>
    <row r="19" ht="15.75" customHeight="1">
      <c r="A19" s="95"/>
      <c r="B19" s="96" t="s">
        <v>1684</v>
      </c>
      <c r="C19" s="130" t="s">
        <v>1685</v>
      </c>
      <c r="D19" s="95"/>
      <c r="E19" s="130" t="s">
        <v>1686</v>
      </c>
      <c r="F19" s="194" t="s">
        <v>1687</v>
      </c>
      <c r="G19" s="95"/>
      <c r="H19" s="96" t="s">
        <v>89</v>
      </c>
      <c r="I19" s="97" t="s">
        <v>110</v>
      </c>
      <c r="J19" s="95"/>
      <c r="K19" s="99">
        <v>9000.0</v>
      </c>
      <c r="L19" s="99">
        <v>9000.0</v>
      </c>
      <c r="M19" s="100"/>
      <c r="N19" s="101"/>
      <c r="O19" s="128"/>
      <c r="P19" s="95"/>
      <c r="Q19" s="103">
        <v>6.0</v>
      </c>
      <c r="R19" s="171" t="s">
        <v>1688</v>
      </c>
      <c r="S19" s="103" t="s">
        <v>113</v>
      </c>
      <c r="T19" s="119" t="s">
        <v>1689</v>
      </c>
      <c r="U19" s="95"/>
      <c r="V19" s="107"/>
    </row>
    <row r="20" ht="15.75" customHeight="1">
      <c r="A20" s="95"/>
      <c r="B20" s="119" t="s">
        <v>1684</v>
      </c>
      <c r="C20" s="130" t="s">
        <v>1690</v>
      </c>
      <c r="D20" s="95"/>
      <c r="E20" s="130" t="s">
        <v>1691</v>
      </c>
      <c r="F20" s="194" t="s">
        <v>1692</v>
      </c>
      <c r="G20" s="95"/>
      <c r="H20" s="96" t="s">
        <v>89</v>
      </c>
      <c r="I20" s="97" t="s">
        <v>110</v>
      </c>
      <c r="J20" s="95"/>
      <c r="K20" s="99">
        <v>9000.0</v>
      </c>
      <c r="L20" s="99">
        <v>9000.0</v>
      </c>
      <c r="M20" s="100"/>
      <c r="N20" s="101" t="s">
        <v>60</v>
      </c>
      <c r="O20" s="102" t="s">
        <v>1693</v>
      </c>
      <c r="P20" s="95"/>
      <c r="Q20" s="103">
        <v>6.0</v>
      </c>
      <c r="R20" s="171" t="s">
        <v>1694</v>
      </c>
      <c r="S20" s="103" t="s">
        <v>113</v>
      </c>
      <c r="T20" s="119" t="s">
        <v>1695</v>
      </c>
      <c r="U20" s="95"/>
      <c r="V20" s="107"/>
    </row>
    <row r="21" ht="15.75" customHeight="1">
      <c r="A21" s="89"/>
      <c r="B21" s="96" t="s">
        <v>1696</v>
      </c>
      <c r="C21" s="108" t="s">
        <v>1697</v>
      </c>
      <c r="D21" s="95"/>
      <c r="E21" s="130" t="s">
        <v>1698</v>
      </c>
      <c r="F21" s="194" t="s">
        <v>1699</v>
      </c>
      <c r="G21" s="95"/>
      <c r="H21" s="96" t="s">
        <v>89</v>
      </c>
      <c r="I21" s="97" t="s">
        <v>90</v>
      </c>
      <c r="J21" s="95"/>
      <c r="K21" s="99"/>
      <c r="L21" s="99"/>
      <c r="M21" s="100"/>
      <c r="N21" s="101" t="s">
        <v>45</v>
      </c>
      <c r="O21" s="102" t="s">
        <v>1700</v>
      </c>
      <c r="P21" s="95"/>
      <c r="Q21" s="103">
        <v>6.0</v>
      </c>
      <c r="R21" s="175" t="s">
        <v>1701</v>
      </c>
      <c r="S21" s="103" t="s">
        <v>94</v>
      </c>
      <c r="T21" s="103" t="s">
        <v>1702</v>
      </c>
      <c r="V21" s="107"/>
    </row>
    <row r="22" ht="15.75" customHeight="1">
      <c r="A22" s="89"/>
      <c r="B22" s="96" t="s">
        <v>1703</v>
      </c>
      <c r="C22" s="97" t="s">
        <v>1704</v>
      </c>
      <c r="D22" s="95"/>
      <c r="E22" s="130" t="s">
        <v>1705</v>
      </c>
      <c r="F22" s="194" t="s">
        <v>1706</v>
      </c>
      <c r="G22" s="95"/>
      <c r="H22" s="96" t="s">
        <v>89</v>
      </c>
      <c r="I22" s="97" t="s">
        <v>110</v>
      </c>
      <c r="J22" s="95"/>
      <c r="K22" s="99">
        <v>9000.0</v>
      </c>
      <c r="L22" s="99">
        <v>9000.0</v>
      </c>
      <c r="M22" s="100"/>
      <c r="N22" s="127"/>
      <c r="O22" s="102"/>
      <c r="P22" s="95"/>
      <c r="Q22" s="103">
        <v>6.0</v>
      </c>
      <c r="R22" s="171" t="s">
        <v>1707</v>
      </c>
      <c r="S22" s="103" t="s">
        <v>113</v>
      </c>
      <c r="T22" s="103" t="s">
        <v>1708</v>
      </c>
      <c r="V22" s="107"/>
    </row>
    <row r="23" ht="15.75" customHeight="1">
      <c r="A23" s="89"/>
      <c r="B23" s="96" t="s">
        <v>1703</v>
      </c>
      <c r="C23" s="122" t="s">
        <v>1709</v>
      </c>
      <c r="D23" s="95"/>
      <c r="E23" s="130" t="s">
        <v>1710</v>
      </c>
      <c r="F23" s="194" t="s">
        <v>1711</v>
      </c>
      <c r="G23" s="95"/>
      <c r="H23" s="96" t="s">
        <v>89</v>
      </c>
      <c r="I23" s="103" t="s">
        <v>90</v>
      </c>
      <c r="J23" s="95"/>
      <c r="K23" s="99"/>
      <c r="L23" s="99"/>
      <c r="M23" s="100"/>
      <c r="N23" s="101" t="s">
        <v>45</v>
      </c>
      <c r="O23" s="102" t="s">
        <v>189</v>
      </c>
      <c r="P23" s="95"/>
      <c r="Q23" s="103">
        <v>6.0</v>
      </c>
      <c r="R23" s="171" t="s">
        <v>1712</v>
      </c>
      <c r="S23" s="103" t="s">
        <v>94</v>
      </c>
      <c r="T23" s="103" t="s">
        <v>1713</v>
      </c>
      <c r="V23" s="107"/>
    </row>
    <row r="24" ht="15.75" customHeight="1">
      <c r="A24" s="89"/>
      <c r="B24" s="96" t="s">
        <v>1714</v>
      </c>
      <c r="C24" s="97" t="s">
        <v>1715</v>
      </c>
      <c r="D24" s="95"/>
      <c r="E24" s="130" t="s">
        <v>1716</v>
      </c>
      <c r="F24" s="194" t="s">
        <v>1717</v>
      </c>
      <c r="G24" s="95"/>
      <c r="H24" s="96" t="s">
        <v>89</v>
      </c>
      <c r="I24" s="103" t="s">
        <v>1566</v>
      </c>
      <c r="J24" s="95"/>
      <c r="K24" s="99">
        <v>10500.0</v>
      </c>
      <c r="L24" s="99">
        <v>3000.0</v>
      </c>
      <c r="M24" s="100"/>
      <c r="N24" s="101" t="s">
        <v>60</v>
      </c>
      <c r="O24" s="102" t="s">
        <v>1718</v>
      </c>
      <c r="P24" s="95"/>
      <c r="Q24" s="103">
        <v>6.0</v>
      </c>
      <c r="R24" s="171" t="s">
        <v>1719</v>
      </c>
      <c r="S24" s="103" t="s">
        <v>113</v>
      </c>
      <c r="T24" s="103" t="s">
        <v>1720</v>
      </c>
      <c r="V24" s="107"/>
    </row>
    <row r="25" ht="15.75" customHeight="1">
      <c r="A25" s="89"/>
      <c r="B25" s="96" t="s">
        <v>1721</v>
      </c>
      <c r="C25" s="97" t="s">
        <v>1722</v>
      </c>
      <c r="D25" s="95"/>
      <c r="E25" s="130" t="s">
        <v>1723</v>
      </c>
      <c r="F25" s="194" t="s">
        <v>1724</v>
      </c>
      <c r="G25" s="95"/>
      <c r="H25" s="96" t="s">
        <v>89</v>
      </c>
      <c r="I25" s="103" t="s">
        <v>110</v>
      </c>
      <c r="J25" s="95"/>
      <c r="K25" s="99">
        <v>9000.0</v>
      </c>
      <c r="L25" s="99">
        <v>9000.0</v>
      </c>
      <c r="M25" s="100"/>
      <c r="N25" s="101" t="s">
        <v>60</v>
      </c>
      <c r="O25" s="102" t="s">
        <v>1725</v>
      </c>
      <c r="P25" s="95"/>
      <c r="Q25" s="103">
        <v>6.0</v>
      </c>
      <c r="R25" s="171" t="s">
        <v>1726</v>
      </c>
      <c r="S25" s="103" t="s">
        <v>113</v>
      </c>
      <c r="T25" s="103" t="s">
        <v>1727</v>
      </c>
      <c r="V25" s="107"/>
    </row>
    <row r="26" ht="15.75" customHeight="1">
      <c r="A26" s="89"/>
      <c r="B26" s="96" t="s">
        <v>1721</v>
      </c>
      <c r="C26" s="97" t="s">
        <v>1728</v>
      </c>
      <c r="D26" s="95"/>
      <c r="E26" s="130" t="s">
        <v>1729</v>
      </c>
      <c r="F26" s="194" t="s">
        <v>1730</v>
      </c>
      <c r="G26" s="95"/>
      <c r="H26" s="96" t="s">
        <v>89</v>
      </c>
      <c r="I26" s="103" t="s">
        <v>90</v>
      </c>
      <c r="J26" s="95"/>
      <c r="K26" s="113"/>
      <c r="L26" s="113"/>
      <c r="M26" s="100"/>
      <c r="N26" s="101" t="s">
        <v>45</v>
      </c>
      <c r="O26" s="102" t="s">
        <v>1731</v>
      </c>
      <c r="P26" s="95"/>
      <c r="Q26" s="103">
        <v>5.0</v>
      </c>
      <c r="R26" s="106" t="s">
        <v>1732</v>
      </c>
      <c r="S26" s="103" t="s">
        <v>94</v>
      </c>
      <c r="T26" s="103" t="s">
        <v>1733</v>
      </c>
      <c r="V26" s="107"/>
    </row>
    <row r="27" ht="15.75" customHeight="1">
      <c r="A27" s="89"/>
      <c r="B27" s="96" t="s">
        <v>1714</v>
      </c>
      <c r="C27" s="97" t="s">
        <v>1734</v>
      </c>
      <c r="D27" s="95"/>
      <c r="E27" s="213" t="s">
        <v>1729</v>
      </c>
      <c r="F27" s="215" t="s">
        <v>1735</v>
      </c>
      <c r="G27" s="95"/>
      <c r="H27" s="96" t="s">
        <v>89</v>
      </c>
      <c r="I27" s="103" t="s">
        <v>849</v>
      </c>
      <c r="J27" s="95"/>
      <c r="K27" s="99"/>
      <c r="L27" s="99"/>
      <c r="M27" s="100"/>
      <c r="N27" s="127"/>
      <c r="O27" s="102" t="s">
        <v>1736</v>
      </c>
      <c r="P27" s="95"/>
      <c r="Q27" s="95"/>
      <c r="R27" s="129"/>
      <c r="S27" s="95"/>
      <c r="T27" s="95"/>
      <c r="V27" s="107"/>
    </row>
    <row r="28" ht="15.75" customHeight="1">
      <c r="A28" s="89"/>
      <c r="B28" s="96" t="s">
        <v>1737</v>
      </c>
      <c r="C28" s="122" t="s">
        <v>1738</v>
      </c>
      <c r="D28" s="95"/>
      <c r="E28" s="130" t="s">
        <v>1739</v>
      </c>
      <c r="F28" s="194" t="s">
        <v>1740</v>
      </c>
      <c r="G28" s="95"/>
      <c r="H28" s="96" t="s">
        <v>89</v>
      </c>
      <c r="I28" s="103" t="s">
        <v>90</v>
      </c>
      <c r="J28" s="95"/>
      <c r="K28" s="99"/>
      <c r="L28" s="99"/>
      <c r="M28" s="100"/>
      <c r="N28" s="101" t="s">
        <v>91</v>
      </c>
      <c r="O28" s="102" t="s">
        <v>1741</v>
      </c>
      <c r="P28" s="95"/>
      <c r="Q28" s="103">
        <v>6.0</v>
      </c>
      <c r="R28" s="170" t="s">
        <v>1742</v>
      </c>
      <c r="S28" s="103" t="s">
        <v>94</v>
      </c>
      <c r="T28" s="103" t="s">
        <v>1743</v>
      </c>
      <c r="V28" s="107"/>
    </row>
    <row r="29" ht="15.75" customHeight="1">
      <c r="A29" s="89"/>
      <c r="B29" s="96" t="s">
        <v>1737</v>
      </c>
      <c r="C29" s="103" t="s">
        <v>1744</v>
      </c>
      <c r="D29" s="95"/>
      <c r="E29" s="130" t="s">
        <v>1745</v>
      </c>
      <c r="F29" s="194" t="s">
        <v>1746</v>
      </c>
      <c r="G29" s="95"/>
      <c r="H29" s="96" t="s">
        <v>89</v>
      </c>
      <c r="I29" s="103"/>
      <c r="J29" s="95"/>
      <c r="K29" s="99"/>
      <c r="L29" s="99"/>
      <c r="M29" s="100"/>
      <c r="N29" s="101" t="s">
        <v>60</v>
      </c>
      <c r="O29" s="102" t="s">
        <v>1747</v>
      </c>
      <c r="P29" s="95"/>
      <c r="Q29" s="103">
        <v>6.0</v>
      </c>
      <c r="R29" s="106"/>
      <c r="S29" s="103"/>
      <c r="T29" s="103" t="s">
        <v>1748</v>
      </c>
      <c r="V29" s="107"/>
    </row>
    <row r="30" ht="15.75" customHeight="1">
      <c r="A30" s="89"/>
      <c r="B30" s="96"/>
      <c r="C30" s="97"/>
      <c r="D30" s="95"/>
      <c r="E30" s="213"/>
      <c r="F30" s="144"/>
      <c r="G30" s="95"/>
      <c r="H30" s="96"/>
      <c r="I30" s="103"/>
      <c r="J30" s="95"/>
      <c r="K30" s="113"/>
      <c r="L30" s="113"/>
      <c r="M30" s="100"/>
      <c r="N30" s="127"/>
      <c r="O30" s="128"/>
      <c r="P30" s="95"/>
      <c r="Q30" s="95"/>
      <c r="R30" s="129"/>
      <c r="S30" s="95"/>
      <c r="T30" s="95"/>
      <c r="V30" s="107"/>
    </row>
    <row r="31" ht="15.75" customHeight="1">
      <c r="A31" s="89"/>
      <c r="B31" s="177"/>
      <c r="C31" s="97"/>
      <c r="D31" s="95"/>
      <c r="E31" s="176"/>
      <c r="F31" s="144"/>
      <c r="G31" s="95"/>
      <c r="H31" s="96"/>
      <c r="I31" s="103"/>
      <c r="J31" s="95"/>
      <c r="K31" s="99"/>
      <c r="L31" s="99"/>
      <c r="M31" s="100"/>
      <c r="N31" s="101"/>
      <c r="O31" s="102"/>
      <c r="P31" s="95"/>
      <c r="Q31" s="114"/>
      <c r="R31" s="106"/>
      <c r="S31" s="103"/>
      <c r="T31" s="103"/>
      <c r="V31" s="107"/>
    </row>
    <row r="32" ht="15.75" customHeight="1">
      <c r="A32" s="89"/>
      <c r="B32" s="177"/>
      <c r="C32" s="97"/>
      <c r="D32" s="95"/>
      <c r="E32" s="176"/>
      <c r="F32" s="144"/>
      <c r="G32" s="95"/>
      <c r="H32" s="96"/>
      <c r="I32" s="103"/>
      <c r="J32" s="95"/>
      <c r="K32" s="113"/>
      <c r="L32" s="113"/>
      <c r="M32" s="100"/>
      <c r="N32" s="127"/>
      <c r="O32" s="128"/>
      <c r="P32" s="95"/>
      <c r="Q32" s="95"/>
      <c r="R32" s="129"/>
      <c r="S32" s="95"/>
      <c r="T32" s="95"/>
      <c r="V32" s="107"/>
    </row>
    <row r="33" ht="15.75" customHeight="1">
      <c r="A33" s="89"/>
      <c r="B33" s="96" t="s">
        <v>1749</v>
      </c>
      <c r="C33" s="122" t="s">
        <v>1750</v>
      </c>
      <c r="D33" s="95"/>
      <c r="E33" s="176">
        <v>2.0101987E7</v>
      </c>
      <c r="F33" s="144" t="s">
        <v>1751</v>
      </c>
      <c r="G33" s="95"/>
      <c r="H33" s="96" t="s">
        <v>89</v>
      </c>
      <c r="I33" s="103" t="s">
        <v>849</v>
      </c>
      <c r="J33" s="95"/>
      <c r="K33" s="99"/>
      <c r="L33" s="99"/>
      <c r="M33" s="100"/>
      <c r="N33" s="101"/>
      <c r="O33" s="102"/>
      <c r="P33" s="95"/>
      <c r="Q33" s="114"/>
      <c r="R33" s="106"/>
      <c r="S33" s="103"/>
      <c r="T33" s="103"/>
      <c r="V33" s="107"/>
    </row>
    <row r="34" ht="15.75" customHeight="1">
      <c r="A34" s="89"/>
      <c r="B34" s="96" t="s">
        <v>1749</v>
      </c>
      <c r="C34" s="97" t="s">
        <v>1752</v>
      </c>
      <c r="D34" s="95"/>
      <c r="E34" s="130" t="s">
        <v>1753</v>
      </c>
      <c r="F34" s="194" t="s">
        <v>1754</v>
      </c>
      <c r="G34" s="95"/>
      <c r="H34" s="96" t="s">
        <v>89</v>
      </c>
      <c r="I34" s="103" t="s">
        <v>90</v>
      </c>
      <c r="J34" s="95"/>
      <c r="K34" s="113"/>
      <c r="L34" s="113"/>
      <c r="M34" s="100"/>
      <c r="N34" s="101" t="s">
        <v>45</v>
      </c>
      <c r="O34" s="102" t="s">
        <v>1755</v>
      </c>
      <c r="P34" s="95"/>
      <c r="Q34" s="103">
        <v>6.0</v>
      </c>
      <c r="R34" s="171" t="s">
        <v>1756</v>
      </c>
      <c r="S34" s="103" t="s">
        <v>94</v>
      </c>
      <c r="T34" s="103" t="s">
        <v>1757</v>
      </c>
      <c r="V34" s="107"/>
    </row>
    <row r="35" ht="15.75" customHeight="1">
      <c r="A35" s="89"/>
      <c r="B35" s="96" t="s">
        <v>1758</v>
      </c>
      <c r="C35" s="103" t="s">
        <v>1759</v>
      </c>
      <c r="D35" s="95"/>
      <c r="E35" s="130" t="s">
        <v>1760</v>
      </c>
      <c r="F35" s="194" t="s">
        <v>1761</v>
      </c>
      <c r="G35" s="95"/>
      <c r="H35" s="96" t="s">
        <v>89</v>
      </c>
      <c r="I35" s="103" t="s">
        <v>1566</v>
      </c>
      <c r="J35" s="95"/>
      <c r="K35" s="99">
        <v>10500.0</v>
      </c>
      <c r="L35" s="99">
        <v>3000.0</v>
      </c>
      <c r="M35" s="100"/>
      <c r="N35" s="101" t="s">
        <v>60</v>
      </c>
      <c r="O35" s="102" t="s">
        <v>1762</v>
      </c>
      <c r="P35" s="95"/>
      <c r="Q35" s="103">
        <v>6.0</v>
      </c>
      <c r="R35" s="171" t="s">
        <v>1763</v>
      </c>
      <c r="S35" s="103" t="s">
        <v>113</v>
      </c>
      <c r="T35" s="103" t="s">
        <v>1764</v>
      </c>
      <c r="V35" s="107"/>
    </row>
    <row r="36" ht="15.75" customHeight="1">
      <c r="A36" s="89"/>
      <c r="B36" s="96" t="s">
        <v>1765</v>
      </c>
      <c r="C36" s="103" t="s">
        <v>1766</v>
      </c>
      <c r="D36" s="95"/>
      <c r="E36" s="130" t="s">
        <v>1767</v>
      </c>
      <c r="F36" s="194" t="s">
        <v>1768</v>
      </c>
      <c r="G36" s="95"/>
      <c r="H36" s="96" t="s">
        <v>89</v>
      </c>
      <c r="I36" s="103" t="s">
        <v>110</v>
      </c>
      <c r="J36" s="95"/>
      <c r="K36" s="99">
        <v>9000.0</v>
      </c>
      <c r="L36" s="99">
        <v>9000.0</v>
      </c>
      <c r="M36" s="100"/>
      <c r="N36" s="127"/>
      <c r="O36" s="128"/>
      <c r="P36" s="95"/>
      <c r="Q36" s="103">
        <v>6.0</v>
      </c>
      <c r="R36" s="171" t="s">
        <v>1769</v>
      </c>
      <c r="S36" s="103" t="s">
        <v>113</v>
      </c>
      <c r="T36" s="103" t="s">
        <v>1770</v>
      </c>
      <c r="V36" s="107"/>
    </row>
    <row r="37" ht="15.75" customHeight="1">
      <c r="A37" s="89"/>
      <c r="B37" s="96" t="s">
        <v>1765</v>
      </c>
      <c r="C37" s="122" t="s">
        <v>1771</v>
      </c>
      <c r="D37" s="95"/>
      <c r="E37" s="130" t="s">
        <v>1772</v>
      </c>
      <c r="F37" s="194" t="s">
        <v>1773</v>
      </c>
      <c r="G37" s="95"/>
      <c r="H37" s="96" t="s">
        <v>89</v>
      </c>
      <c r="I37" s="103" t="s">
        <v>90</v>
      </c>
      <c r="J37" s="95"/>
      <c r="K37" s="99"/>
      <c r="L37" s="99"/>
      <c r="M37" s="100"/>
      <c r="N37" s="101" t="s">
        <v>45</v>
      </c>
      <c r="O37" s="102" t="s">
        <v>1774</v>
      </c>
      <c r="P37" s="95"/>
      <c r="Q37" s="103">
        <v>6.0</v>
      </c>
      <c r="R37" s="171" t="s">
        <v>1775</v>
      </c>
      <c r="S37" s="103" t="s">
        <v>94</v>
      </c>
      <c r="T37" s="103" t="s">
        <v>1776</v>
      </c>
      <c r="V37" s="107"/>
    </row>
    <row r="38" ht="15.75" customHeight="1">
      <c r="A38" s="89"/>
      <c r="B38" s="96" t="s">
        <v>1777</v>
      </c>
      <c r="C38" s="97" t="s">
        <v>1778</v>
      </c>
      <c r="D38" s="95"/>
      <c r="E38" s="130" t="s">
        <v>1779</v>
      </c>
      <c r="F38" s="194" t="s">
        <v>1780</v>
      </c>
      <c r="G38" s="95"/>
      <c r="H38" s="96" t="s">
        <v>89</v>
      </c>
      <c r="I38" s="103" t="s">
        <v>110</v>
      </c>
      <c r="J38" s="95"/>
      <c r="K38" s="99">
        <v>9000.0</v>
      </c>
      <c r="L38" s="99">
        <v>9000.0</v>
      </c>
      <c r="M38" s="100"/>
      <c r="N38" s="127"/>
      <c r="O38" s="128"/>
      <c r="P38" s="95"/>
      <c r="Q38" s="103">
        <v>6.0</v>
      </c>
      <c r="R38" s="171" t="s">
        <v>1781</v>
      </c>
      <c r="S38" s="103" t="s">
        <v>113</v>
      </c>
      <c r="T38" s="124" t="s">
        <v>1782</v>
      </c>
      <c r="V38" s="107"/>
    </row>
    <row r="39" ht="15.75" customHeight="1">
      <c r="A39" s="89"/>
      <c r="B39" s="96" t="s">
        <v>1783</v>
      </c>
      <c r="C39" s="97" t="s">
        <v>1784</v>
      </c>
      <c r="D39" s="95"/>
      <c r="E39" s="130" t="s">
        <v>1785</v>
      </c>
      <c r="F39" s="194" t="s">
        <v>1786</v>
      </c>
      <c r="G39" s="95"/>
      <c r="H39" s="96" t="s">
        <v>89</v>
      </c>
      <c r="I39" s="103" t="s">
        <v>110</v>
      </c>
      <c r="J39" s="95"/>
      <c r="K39" s="99">
        <v>9000.0</v>
      </c>
      <c r="L39" s="99">
        <v>9000.0</v>
      </c>
      <c r="M39" s="100"/>
      <c r="N39" s="127"/>
      <c r="O39" s="128"/>
      <c r="P39" s="95"/>
      <c r="Q39" s="103">
        <v>6.0</v>
      </c>
      <c r="R39" s="171" t="s">
        <v>1787</v>
      </c>
      <c r="S39" s="103" t="s">
        <v>113</v>
      </c>
      <c r="T39" s="103" t="s">
        <v>1788</v>
      </c>
      <c r="V39" s="107"/>
    </row>
    <row r="40" ht="15.75" customHeight="1">
      <c r="A40" s="89"/>
      <c r="B40" s="96" t="s">
        <v>1789</v>
      </c>
      <c r="C40" s="172" t="s">
        <v>1790</v>
      </c>
      <c r="D40" s="95"/>
      <c r="E40" s="130" t="s">
        <v>1791</v>
      </c>
      <c r="F40" s="194" t="s">
        <v>1792</v>
      </c>
      <c r="G40" s="95"/>
      <c r="H40" s="96" t="s">
        <v>89</v>
      </c>
      <c r="I40" s="103" t="s">
        <v>90</v>
      </c>
      <c r="J40" s="95"/>
      <c r="K40" s="113"/>
      <c r="L40" s="113"/>
      <c r="M40" s="100"/>
      <c r="N40" s="101" t="s">
        <v>45</v>
      </c>
      <c r="O40" s="102" t="s">
        <v>1793</v>
      </c>
      <c r="P40" s="95"/>
      <c r="Q40" s="103">
        <v>6.0</v>
      </c>
      <c r="R40" s="171" t="s">
        <v>1794</v>
      </c>
      <c r="S40" s="103" t="s">
        <v>94</v>
      </c>
      <c r="T40" s="103" t="s">
        <v>1795</v>
      </c>
      <c r="V40" s="107"/>
    </row>
    <row r="41" ht="15.75" customHeight="1">
      <c r="A41" s="89"/>
      <c r="B41" s="96" t="s">
        <v>1789</v>
      </c>
      <c r="C41" s="97" t="s">
        <v>1796</v>
      </c>
      <c r="D41" s="95"/>
      <c r="E41" s="130" t="s">
        <v>1797</v>
      </c>
      <c r="F41" s="194" t="s">
        <v>1798</v>
      </c>
      <c r="G41" s="95"/>
      <c r="H41" s="96" t="s">
        <v>89</v>
      </c>
      <c r="I41" s="103" t="s">
        <v>1566</v>
      </c>
      <c r="J41" s="95"/>
      <c r="K41" s="99">
        <v>10500.0</v>
      </c>
      <c r="L41" s="99">
        <v>3000.0</v>
      </c>
      <c r="M41" s="100"/>
      <c r="N41" s="101" t="s">
        <v>60</v>
      </c>
      <c r="O41" s="102" t="s">
        <v>1799</v>
      </c>
      <c r="P41" s="95"/>
      <c r="Q41" s="103">
        <v>6.0</v>
      </c>
      <c r="R41" s="171" t="s">
        <v>1800</v>
      </c>
      <c r="S41" s="103" t="s">
        <v>113</v>
      </c>
      <c r="T41" s="103" t="s">
        <v>1801</v>
      </c>
      <c r="V41" s="107"/>
    </row>
    <row r="42" ht="15.75" customHeight="1">
      <c r="A42" s="89"/>
      <c r="B42" s="96" t="s">
        <v>1789</v>
      </c>
      <c r="C42" s="103" t="s">
        <v>1802</v>
      </c>
      <c r="D42" s="95"/>
      <c r="E42" s="213" t="s">
        <v>1803</v>
      </c>
      <c r="F42" s="96" t="s">
        <v>1804</v>
      </c>
      <c r="G42" s="95"/>
      <c r="H42" s="96" t="s">
        <v>89</v>
      </c>
      <c r="I42" s="103" t="s">
        <v>90</v>
      </c>
      <c r="J42" s="95"/>
      <c r="K42" s="113"/>
      <c r="L42" s="113"/>
      <c r="M42" s="100"/>
      <c r="N42" s="101" t="s">
        <v>60</v>
      </c>
      <c r="O42" s="102" t="s">
        <v>1805</v>
      </c>
      <c r="P42" s="95"/>
      <c r="Q42" s="103">
        <v>6.0</v>
      </c>
      <c r="R42" s="171" t="s">
        <v>1806</v>
      </c>
      <c r="S42" s="103" t="s">
        <v>94</v>
      </c>
      <c r="T42" s="103" t="s">
        <v>1807</v>
      </c>
      <c r="V42" s="107"/>
    </row>
    <row r="43" ht="15.75" customHeight="1">
      <c r="A43" s="89"/>
      <c r="B43" s="96" t="s">
        <v>1808</v>
      </c>
      <c r="C43" s="230" t="s">
        <v>1809</v>
      </c>
      <c r="D43" s="95"/>
      <c r="E43" s="130" t="s">
        <v>1810</v>
      </c>
      <c r="F43" s="194" t="s">
        <v>1811</v>
      </c>
      <c r="G43" s="95"/>
      <c r="H43" s="96" t="s">
        <v>89</v>
      </c>
      <c r="I43" s="103" t="s">
        <v>90</v>
      </c>
      <c r="J43" s="95"/>
      <c r="K43" s="99"/>
      <c r="L43" s="99"/>
      <c r="M43" s="100"/>
      <c r="N43" s="101" t="s">
        <v>45</v>
      </c>
      <c r="O43" s="102" t="s">
        <v>1812</v>
      </c>
      <c r="P43" s="95"/>
      <c r="Q43" s="103">
        <v>6.0</v>
      </c>
      <c r="R43" s="171" t="s">
        <v>1813</v>
      </c>
      <c r="S43" s="103" t="s">
        <v>94</v>
      </c>
      <c r="T43" s="103" t="s">
        <v>1814</v>
      </c>
      <c r="V43" s="107"/>
    </row>
    <row r="44" ht="15.75" customHeight="1">
      <c r="A44" s="89"/>
      <c r="B44" s="177"/>
      <c r="C44" s="103"/>
      <c r="D44" s="95"/>
      <c r="E44" s="176"/>
      <c r="F44" s="144"/>
      <c r="G44" s="95"/>
      <c r="H44" s="96"/>
      <c r="I44" s="103"/>
      <c r="J44" s="95"/>
      <c r="K44" s="113"/>
      <c r="L44" s="113"/>
      <c r="M44" s="100"/>
      <c r="N44" s="127"/>
      <c r="O44" s="128"/>
      <c r="P44" s="95"/>
      <c r="Q44" s="95"/>
      <c r="R44" s="129"/>
      <c r="S44" s="95"/>
      <c r="T44" s="95"/>
      <c r="V44" s="107"/>
    </row>
    <row r="45" ht="15.75" customHeight="1">
      <c r="A45" s="89"/>
      <c r="B45" s="177"/>
      <c r="C45" s="97"/>
      <c r="D45" s="95"/>
      <c r="E45" s="176"/>
      <c r="F45" s="144"/>
      <c r="G45" s="95"/>
      <c r="H45" s="96"/>
      <c r="I45" s="103"/>
      <c r="J45" s="95"/>
      <c r="K45" s="99"/>
      <c r="L45" s="99"/>
      <c r="M45" s="100"/>
      <c r="N45" s="127"/>
      <c r="O45" s="128"/>
      <c r="P45" s="95"/>
      <c r="Q45" s="95"/>
      <c r="R45" s="129"/>
      <c r="S45" s="95"/>
      <c r="T45" s="95"/>
      <c r="V45" s="107"/>
    </row>
    <row r="46" ht="15.75" customHeight="1">
      <c r="A46" s="89"/>
      <c r="B46" s="177"/>
      <c r="C46" s="97"/>
      <c r="D46" s="95"/>
      <c r="E46" s="176"/>
      <c r="F46" s="144"/>
      <c r="G46" s="95"/>
      <c r="H46" s="96"/>
      <c r="I46" s="103"/>
      <c r="J46" s="95"/>
      <c r="K46" s="113"/>
      <c r="L46" s="113"/>
      <c r="M46" s="100"/>
      <c r="N46" s="127"/>
      <c r="O46" s="128"/>
      <c r="P46" s="95"/>
      <c r="Q46" s="95"/>
      <c r="R46" s="129"/>
      <c r="S46" s="95"/>
      <c r="T46" s="95"/>
      <c r="V46" s="107"/>
    </row>
    <row r="47" ht="15.75" customHeight="1">
      <c r="A47" s="89"/>
      <c r="B47" s="177"/>
      <c r="C47" s="97"/>
      <c r="D47" s="95"/>
      <c r="E47" s="176"/>
      <c r="F47" s="144"/>
      <c r="G47" s="95"/>
      <c r="H47" s="96"/>
      <c r="I47" s="103"/>
      <c r="J47" s="95"/>
      <c r="K47" s="99"/>
      <c r="L47" s="99"/>
      <c r="M47" s="100"/>
      <c r="N47" s="101"/>
      <c r="O47" s="102"/>
      <c r="P47" s="95"/>
      <c r="Q47" s="114"/>
      <c r="R47" s="115"/>
      <c r="S47" s="103"/>
      <c r="T47" s="103"/>
      <c r="V47" s="107"/>
    </row>
    <row r="48" ht="15.75" customHeight="1">
      <c r="A48" s="89"/>
      <c r="B48" s="177"/>
      <c r="C48" s="97"/>
      <c r="D48" s="95"/>
      <c r="E48" s="176"/>
      <c r="F48" s="144"/>
      <c r="G48" s="95"/>
      <c r="H48" s="96"/>
      <c r="I48" s="103"/>
      <c r="J48" s="95"/>
      <c r="K48" s="113"/>
      <c r="L48" s="113"/>
      <c r="M48" s="100"/>
      <c r="N48" s="101"/>
      <c r="O48" s="102"/>
      <c r="P48" s="95"/>
      <c r="Q48" s="135"/>
      <c r="R48" s="106"/>
      <c r="S48" s="103"/>
      <c r="T48" s="103"/>
      <c r="V48" s="107"/>
    </row>
    <row r="49" ht="15.75" customHeight="1">
      <c r="A49" s="89"/>
      <c r="B49" s="177"/>
      <c r="C49" s="97"/>
      <c r="D49" s="95"/>
      <c r="E49" s="176"/>
      <c r="F49" s="144"/>
      <c r="G49" s="95"/>
      <c r="H49" s="96"/>
      <c r="I49" s="103"/>
      <c r="J49" s="95"/>
      <c r="K49" s="99"/>
      <c r="L49" s="99"/>
      <c r="M49" s="100"/>
      <c r="N49" s="101"/>
      <c r="O49" s="102"/>
      <c r="P49" s="95"/>
      <c r="Q49" s="135"/>
      <c r="R49" s="106"/>
      <c r="S49" s="103"/>
      <c r="T49" s="103"/>
      <c r="V49" s="107"/>
    </row>
    <row r="50" ht="15.75" customHeight="1">
      <c r="A50" s="89"/>
      <c r="B50" s="177"/>
      <c r="C50" s="103"/>
      <c r="D50" s="95"/>
      <c r="E50" s="176"/>
      <c r="F50" s="146"/>
      <c r="G50" s="95"/>
      <c r="H50" s="96"/>
      <c r="I50" s="103"/>
      <c r="J50" s="95"/>
      <c r="K50" s="113"/>
      <c r="L50" s="113"/>
      <c r="M50" s="100"/>
      <c r="N50" s="127"/>
      <c r="O50" s="128"/>
      <c r="P50" s="95"/>
      <c r="Q50" s="95"/>
      <c r="R50" s="129"/>
      <c r="S50" s="95"/>
      <c r="T50" s="103"/>
      <c r="V50" s="107"/>
    </row>
    <row r="51" ht="15.75" customHeight="1">
      <c r="A51" s="89"/>
      <c r="B51" s="177"/>
      <c r="C51" s="103"/>
      <c r="D51" s="95"/>
      <c r="E51" s="176"/>
      <c r="F51" s="179"/>
      <c r="G51" s="95"/>
      <c r="H51" s="96"/>
      <c r="I51" s="103"/>
      <c r="J51" s="95"/>
      <c r="K51" s="99"/>
      <c r="L51" s="99"/>
      <c r="M51" s="100"/>
      <c r="N51" s="101"/>
      <c r="O51" s="102"/>
      <c r="P51" s="95"/>
      <c r="Q51" s="137"/>
      <c r="R51" s="129"/>
      <c r="S51" s="103"/>
      <c r="T51" s="103"/>
      <c r="V51" s="107"/>
    </row>
    <row r="52" ht="15.75" customHeight="1">
      <c r="A52" s="89"/>
      <c r="B52" s="177"/>
      <c r="C52" s="103"/>
      <c r="D52" s="95"/>
      <c r="E52" s="176"/>
      <c r="F52" s="144"/>
      <c r="G52" s="95"/>
      <c r="H52" s="96"/>
      <c r="I52" s="103"/>
      <c r="J52" s="95"/>
      <c r="K52" s="113"/>
      <c r="L52" s="113"/>
      <c r="M52" s="100"/>
      <c r="N52" s="127"/>
      <c r="O52" s="128"/>
      <c r="P52" s="95"/>
      <c r="Q52" s="137"/>
      <c r="R52" s="129"/>
      <c r="S52" s="95"/>
      <c r="T52" s="95"/>
      <c r="V52" s="107"/>
    </row>
    <row r="53" ht="15.75" customHeight="1">
      <c r="A53" s="89"/>
      <c r="B53" s="177"/>
      <c r="C53" s="97"/>
      <c r="D53" s="95"/>
      <c r="E53" s="176"/>
      <c r="F53" s="144"/>
      <c r="G53" s="95"/>
      <c r="H53" s="96"/>
      <c r="I53" s="103"/>
      <c r="J53" s="95"/>
      <c r="K53" s="99"/>
      <c r="L53" s="99"/>
      <c r="M53" s="100"/>
      <c r="N53" s="127"/>
      <c r="O53" s="128"/>
      <c r="P53" s="95"/>
      <c r="Q53" s="135"/>
      <c r="R53" s="106"/>
      <c r="S53" s="95"/>
      <c r="T53" s="103"/>
      <c r="V53" s="107"/>
    </row>
    <row r="54" ht="15.75" customHeight="1">
      <c r="A54" s="89"/>
      <c r="B54" s="177"/>
      <c r="C54" s="96"/>
      <c r="D54" s="95"/>
      <c r="E54" s="176"/>
      <c r="F54" s="144"/>
      <c r="G54" s="95"/>
      <c r="H54" s="96"/>
      <c r="I54" s="103"/>
      <c r="J54" s="95"/>
      <c r="K54" s="113"/>
      <c r="L54" s="113"/>
      <c r="M54" s="100"/>
      <c r="N54" s="101"/>
      <c r="O54" s="102"/>
      <c r="P54" s="95"/>
      <c r="Q54" s="135"/>
      <c r="R54" s="139"/>
      <c r="S54" s="103"/>
      <c r="T54" s="103"/>
      <c r="V54" s="107"/>
    </row>
    <row r="55" ht="15.75" customHeight="1">
      <c r="A55" s="89"/>
      <c r="B55" s="177"/>
      <c r="C55" s="96"/>
      <c r="D55" s="95"/>
      <c r="E55" s="176"/>
      <c r="F55" s="146"/>
      <c r="G55" s="95"/>
      <c r="H55" s="96"/>
      <c r="I55" s="103"/>
      <c r="J55" s="95"/>
      <c r="K55" s="99"/>
      <c r="L55" s="99"/>
      <c r="M55" s="100"/>
      <c r="N55" s="101"/>
      <c r="O55" s="102"/>
      <c r="P55" s="95"/>
      <c r="Q55" s="135"/>
      <c r="R55" s="106"/>
      <c r="S55" s="103"/>
      <c r="T55" s="103"/>
      <c r="V55" s="107"/>
    </row>
    <row r="56" ht="15.75" customHeight="1">
      <c r="A56" s="89"/>
      <c r="B56" s="177"/>
      <c r="C56" s="96"/>
      <c r="D56" s="95"/>
      <c r="E56" s="176"/>
      <c r="F56" s="144"/>
      <c r="G56" s="95"/>
      <c r="H56" s="96"/>
      <c r="I56" s="103"/>
      <c r="J56" s="95"/>
      <c r="K56" s="113"/>
      <c r="L56" s="113"/>
      <c r="M56" s="100"/>
      <c r="N56" s="127"/>
      <c r="O56" s="128"/>
      <c r="P56" s="95"/>
      <c r="Q56" s="114"/>
      <c r="R56" s="106"/>
      <c r="S56" s="95"/>
      <c r="T56" s="103"/>
      <c r="V56" s="107"/>
    </row>
    <row r="57" ht="15.75" customHeight="1">
      <c r="A57" s="89"/>
      <c r="B57" s="177"/>
      <c r="C57" s="96"/>
      <c r="D57" s="95"/>
      <c r="E57" s="176"/>
      <c r="F57" s="144"/>
      <c r="G57" s="95"/>
      <c r="H57" s="96"/>
      <c r="I57" s="103"/>
      <c r="J57" s="95"/>
      <c r="K57" s="99"/>
      <c r="L57" s="99"/>
      <c r="M57" s="100"/>
      <c r="N57" s="127"/>
      <c r="O57" s="128"/>
      <c r="P57" s="95"/>
      <c r="Q57" s="137"/>
      <c r="R57" s="129"/>
      <c r="S57" s="95"/>
      <c r="T57" s="103"/>
      <c r="V57" s="107"/>
    </row>
    <row r="58" ht="15.75" customHeight="1">
      <c r="A58" s="89"/>
      <c r="B58" s="177"/>
      <c r="C58" s="106"/>
      <c r="D58" s="95"/>
      <c r="E58" s="176"/>
      <c r="F58" s="144"/>
      <c r="G58" s="95"/>
      <c r="H58" s="96"/>
      <c r="I58" s="103"/>
      <c r="J58" s="95"/>
      <c r="K58" s="113"/>
      <c r="L58" s="113"/>
      <c r="M58" s="100"/>
      <c r="N58" s="101"/>
      <c r="O58" s="102"/>
      <c r="P58" s="95"/>
      <c r="Q58" s="114"/>
      <c r="R58" s="106"/>
      <c r="S58" s="103"/>
      <c r="T58" s="103"/>
      <c r="V58" s="107"/>
    </row>
    <row r="59" ht="15.75" customHeight="1">
      <c r="A59" s="89"/>
      <c r="B59" s="177"/>
      <c r="C59" s="106"/>
      <c r="D59" s="95"/>
      <c r="E59" s="176"/>
      <c r="F59" s="144"/>
      <c r="G59" s="95"/>
      <c r="H59" s="96"/>
      <c r="I59" s="103"/>
      <c r="J59" s="95"/>
      <c r="K59" s="99"/>
      <c r="L59" s="99"/>
      <c r="M59" s="100"/>
      <c r="N59" s="127"/>
      <c r="O59" s="128"/>
      <c r="P59" s="95"/>
      <c r="Q59" s="95"/>
      <c r="R59" s="129"/>
      <c r="S59" s="95"/>
      <c r="T59" s="95"/>
      <c r="V59" s="107"/>
    </row>
    <row r="60" ht="15.75" customHeight="1">
      <c r="A60" s="89"/>
      <c r="B60" s="177"/>
      <c r="C60" s="106"/>
      <c r="D60" s="95"/>
      <c r="E60" s="96"/>
      <c r="F60" s="144"/>
      <c r="G60" s="95"/>
      <c r="H60" s="96"/>
      <c r="I60" s="103"/>
      <c r="J60" s="95"/>
      <c r="K60" s="113"/>
      <c r="L60" s="113"/>
      <c r="M60" s="100"/>
      <c r="N60" s="127"/>
      <c r="O60" s="128"/>
      <c r="P60" s="95"/>
      <c r="Q60" s="114"/>
      <c r="R60" s="106"/>
      <c r="S60" s="95"/>
      <c r="T60" s="103"/>
      <c r="V60" s="107"/>
    </row>
    <row r="61" ht="15.75" customHeight="1">
      <c r="A61" s="89"/>
      <c r="B61" s="177"/>
      <c r="C61" s="96"/>
      <c r="D61" s="95"/>
      <c r="E61" s="176"/>
      <c r="F61" s="146"/>
      <c r="G61" s="95"/>
      <c r="H61" s="96"/>
      <c r="I61" s="103"/>
      <c r="J61" s="95"/>
      <c r="K61" s="99"/>
      <c r="L61" s="99"/>
      <c r="M61" s="100"/>
      <c r="N61" s="127"/>
      <c r="O61" s="128"/>
      <c r="P61" s="95"/>
      <c r="Q61" s="95"/>
      <c r="R61" s="129"/>
      <c r="S61" s="95"/>
      <c r="T61" s="95"/>
      <c r="V61" s="107"/>
    </row>
    <row r="62" ht="15.75" customHeight="1">
      <c r="A62" s="89"/>
      <c r="B62" s="177"/>
      <c r="C62" s="96"/>
      <c r="D62" s="95"/>
      <c r="E62" s="176"/>
      <c r="F62" s="144"/>
      <c r="G62" s="95"/>
      <c r="H62" s="96"/>
      <c r="I62" s="103"/>
      <c r="J62" s="95"/>
      <c r="K62" s="113"/>
      <c r="L62" s="113"/>
      <c r="M62" s="100"/>
      <c r="N62" s="127"/>
      <c r="O62" s="128"/>
      <c r="P62" s="95"/>
      <c r="Q62" s="95"/>
      <c r="R62" s="129"/>
      <c r="S62" s="95"/>
      <c r="T62" s="95"/>
      <c r="V62" s="107"/>
    </row>
    <row r="63" ht="15.75" customHeight="1">
      <c r="A63" s="89"/>
      <c r="B63" s="177"/>
      <c r="C63" s="140"/>
      <c r="D63" s="95"/>
      <c r="E63" s="176"/>
      <c r="F63" s="146"/>
      <c r="G63" s="95"/>
      <c r="H63" s="96"/>
      <c r="I63" s="103"/>
      <c r="J63" s="95"/>
      <c r="K63" s="99"/>
      <c r="L63" s="99"/>
      <c r="M63" s="100"/>
      <c r="N63" s="127"/>
      <c r="O63" s="128"/>
      <c r="P63" s="95"/>
      <c r="Q63" s="95"/>
      <c r="R63" s="129"/>
      <c r="S63" s="95"/>
      <c r="T63" s="95"/>
      <c r="V63" s="107"/>
    </row>
    <row r="64" ht="15.75" customHeight="1">
      <c r="A64" s="89"/>
      <c r="B64" s="177"/>
      <c r="C64" s="141"/>
      <c r="D64" s="95"/>
      <c r="E64" s="176"/>
      <c r="F64" s="144"/>
      <c r="G64" s="95"/>
      <c r="H64" s="96"/>
      <c r="I64" s="103"/>
      <c r="J64" s="95"/>
      <c r="K64" s="113"/>
      <c r="L64" s="113"/>
      <c r="M64" s="100"/>
      <c r="N64" s="101"/>
      <c r="O64" s="102"/>
      <c r="P64" s="95"/>
      <c r="Q64" s="114"/>
      <c r="R64" s="115"/>
      <c r="S64" s="103"/>
      <c r="T64" s="103"/>
      <c r="V64" s="107"/>
    </row>
    <row r="65" ht="15.75" customHeight="1">
      <c r="A65" s="89"/>
      <c r="B65" s="177"/>
      <c r="C65" s="97"/>
      <c r="D65" s="95"/>
      <c r="E65" s="176"/>
      <c r="F65" s="144"/>
      <c r="G65" s="95"/>
      <c r="H65" s="96"/>
      <c r="I65" s="103"/>
      <c r="J65" s="95"/>
      <c r="K65" s="99"/>
      <c r="L65" s="99"/>
      <c r="M65" s="100"/>
      <c r="N65" s="101"/>
      <c r="O65" s="102"/>
      <c r="P65" s="95"/>
      <c r="Q65" s="135"/>
      <c r="R65" s="115"/>
      <c r="S65" s="103"/>
      <c r="T65" s="103"/>
      <c r="V65" s="107"/>
    </row>
    <row r="66" ht="15.75" customHeight="1">
      <c r="A66" s="89"/>
      <c r="B66" s="177"/>
      <c r="C66" s="106"/>
      <c r="D66" s="95"/>
      <c r="E66" s="176"/>
      <c r="F66" s="144"/>
      <c r="G66" s="95"/>
      <c r="H66" s="96"/>
      <c r="I66" s="103"/>
      <c r="J66" s="95"/>
      <c r="K66" s="113"/>
      <c r="L66" s="113"/>
      <c r="M66" s="100"/>
      <c r="N66" s="127"/>
      <c r="O66" s="128"/>
      <c r="P66" s="95"/>
      <c r="Q66" s="95"/>
      <c r="R66" s="129"/>
      <c r="S66" s="95"/>
      <c r="T66" s="95"/>
      <c r="V66" s="107"/>
    </row>
    <row r="67" ht="15.75" customHeight="1">
      <c r="A67" s="89"/>
      <c r="B67" s="177"/>
      <c r="C67" s="106"/>
      <c r="D67" s="95"/>
      <c r="E67" s="96"/>
      <c r="F67" s="144"/>
      <c r="G67" s="95"/>
      <c r="H67" s="96"/>
      <c r="I67" s="103"/>
      <c r="J67" s="95"/>
      <c r="K67" s="99"/>
      <c r="L67" s="99"/>
      <c r="M67" s="100"/>
      <c r="N67" s="127"/>
      <c r="O67" s="128"/>
      <c r="P67" s="95"/>
      <c r="Q67" s="135"/>
      <c r="R67" s="106"/>
      <c r="S67" s="103"/>
      <c r="T67" s="103"/>
      <c r="V67" s="107"/>
    </row>
    <row r="68" ht="15.75" customHeight="1">
      <c r="A68" s="89"/>
      <c r="B68" s="177"/>
      <c r="C68" s="106"/>
      <c r="D68" s="95"/>
      <c r="E68" s="96"/>
      <c r="F68" s="144"/>
      <c r="G68" s="95"/>
      <c r="H68" s="96"/>
      <c r="I68" s="103"/>
      <c r="J68" s="95"/>
      <c r="K68" s="113"/>
      <c r="L68" s="113"/>
      <c r="M68" s="100"/>
      <c r="N68" s="127"/>
      <c r="O68" s="128"/>
      <c r="P68" s="95"/>
      <c r="Q68" s="135"/>
      <c r="R68" s="129"/>
      <c r="S68" s="95"/>
      <c r="T68" s="103"/>
      <c r="V68" s="107"/>
    </row>
    <row r="69" ht="15.75" customHeight="1">
      <c r="A69" s="89"/>
      <c r="B69" s="177"/>
      <c r="C69" s="96"/>
      <c r="D69" s="95"/>
      <c r="E69" s="96"/>
      <c r="F69" s="146"/>
      <c r="G69" s="95"/>
      <c r="H69" s="96"/>
      <c r="I69" s="103"/>
      <c r="J69" s="95"/>
      <c r="K69" s="99"/>
      <c r="L69" s="99"/>
      <c r="M69" s="100"/>
      <c r="N69" s="127"/>
      <c r="O69" s="128"/>
      <c r="P69" s="95"/>
      <c r="Q69" s="114"/>
      <c r="R69" s="106"/>
      <c r="S69" s="103"/>
      <c r="T69" s="103"/>
      <c r="V69" s="107"/>
    </row>
    <row r="70" ht="15.75" customHeight="1">
      <c r="A70" s="89"/>
      <c r="B70" s="177"/>
      <c r="C70" s="96"/>
      <c r="D70" s="95"/>
      <c r="E70" s="96"/>
      <c r="F70" s="144"/>
      <c r="G70" s="95"/>
      <c r="H70" s="96"/>
      <c r="I70" s="103"/>
      <c r="J70" s="95"/>
      <c r="K70" s="113"/>
      <c r="L70" s="113"/>
      <c r="M70" s="100"/>
      <c r="N70" s="127"/>
      <c r="O70" s="128"/>
      <c r="P70" s="95"/>
      <c r="Q70" s="137"/>
      <c r="R70" s="129"/>
      <c r="S70" s="95"/>
      <c r="T70" s="95"/>
      <c r="V70" s="107"/>
    </row>
    <row r="71" ht="15.75" customHeight="1">
      <c r="A71" s="89"/>
      <c r="B71" s="177"/>
      <c r="C71" s="96"/>
      <c r="D71" s="95"/>
      <c r="E71" s="96"/>
      <c r="F71" s="144"/>
      <c r="G71" s="95"/>
      <c r="H71" s="96"/>
      <c r="I71" s="103"/>
      <c r="J71" s="95"/>
      <c r="K71" s="99"/>
      <c r="L71" s="99"/>
      <c r="M71" s="100"/>
      <c r="N71" s="127"/>
      <c r="O71" s="128"/>
      <c r="P71" s="95"/>
      <c r="Q71" s="135"/>
      <c r="R71" s="106"/>
      <c r="S71" s="103"/>
      <c r="T71" s="103"/>
      <c r="V71" s="107"/>
    </row>
    <row r="72" ht="15.75" customHeight="1">
      <c r="A72" s="89"/>
      <c r="B72" s="177"/>
      <c r="C72" s="96"/>
      <c r="D72" s="95"/>
      <c r="E72" s="176"/>
      <c r="F72" s="144"/>
      <c r="G72" s="95"/>
      <c r="H72" s="96"/>
      <c r="I72" s="103"/>
      <c r="J72" s="95"/>
      <c r="K72" s="113"/>
      <c r="L72" s="113"/>
      <c r="M72" s="100"/>
      <c r="N72" s="101"/>
      <c r="O72" s="128"/>
      <c r="P72" s="95"/>
      <c r="Q72" s="135"/>
      <c r="R72" s="106"/>
      <c r="S72" s="103"/>
      <c r="T72" s="103"/>
      <c r="V72" s="107"/>
    </row>
    <row r="73" ht="15.75" customHeight="1">
      <c r="A73" s="89"/>
      <c r="B73" s="177"/>
      <c r="C73" s="96"/>
      <c r="D73" s="95"/>
      <c r="E73" s="176"/>
      <c r="F73" s="146"/>
      <c r="G73" s="95"/>
      <c r="H73" s="96"/>
      <c r="I73" s="103"/>
      <c r="J73" s="95"/>
      <c r="K73" s="99"/>
      <c r="L73" s="99"/>
      <c r="M73" s="100"/>
      <c r="N73" s="101"/>
      <c r="O73" s="128"/>
      <c r="P73" s="95"/>
      <c r="Q73" s="114"/>
      <c r="R73" s="106"/>
      <c r="S73" s="103"/>
      <c r="T73" s="103"/>
      <c r="V73" s="107"/>
    </row>
    <row r="74" ht="15.75" customHeight="1">
      <c r="A74" s="89"/>
      <c r="B74" s="177"/>
      <c r="C74" s="106"/>
      <c r="D74" s="95"/>
      <c r="E74" s="176"/>
      <c r="F74" s="144"/>
      <c r="G74" s="95"/>
      <c r="H74" s="96"/>
      <c r="I74" s="103"/>
      <c r="J74" s="95"/>
      <c r="K74" s="113"/>
      <c r="L74" s="113"/>
      <c r="M74" s="100"/>
      <c r="N74" s="101"/>
      <c r="O74" s="128"/>
      <c r="P74" s="95"/>
      <c r="Q74" s="114"/>
      <c r="R74" s="106"/>
      <c r="S74" s="103"/>
      <c r="T74" s="103"/>
      <c r="V74" s="107"/>
    </row>
    <row r="75" ht="15.75" customHeight="1">
      <c r="A75" s="89"/>
      <c r="B75" s="177"/>
      <c r="C75" s="106"/>
      <c r="D75" s="95"/>
      <c r="E75" s="176"/>
      <c r="F75" s="144"/>
      <c r="G75" s="95"/>
      <c r="H75" s="96"/>
      <c r="I75" s="103"/>
      <c r="J75" s="95"/>
      <c r="K75" s="99"/>
      <c r="L75" s="99"/>
      <c r="M75" s="100"/>
      <c r="N75" s="127"/>
      <c r="O75" s="128"/>
      <c r="P75" s="95"/>
      <c r="Q75" s="137"/>
      <c r="R75" s="129"/>
      <c r="S75" s="95"/>
      <c r="T75" s="95"/>
      <c r="V75" s="107"/>
    </row>
    <row r="76" ht="15.75" customHeight="1">
      <c r="A76" s="89"/>
      <c r="B76" s="177"/>
      <c r="C76" s="96"/>
      <c r="D76" s="95"/>
      <c r="E76" s="176"/>
      <c r="F76" s="144"/>
      <c r="G76" s="95"/>
      <c r="H76" s="96"/>
      <c r="I76" s="103"/>
      <c r="J76" s="95"/>
      <c r="K76" s="113"/>
      <c r="L76" s="113"/>
      <c r="M76" s="100"/>
      <c r="N76" s="101"/>
      <c r="O76" s="128"/>
      <c r="P76" s="95"/>
      <c r="Q76" s="114"/>
      <c r="R76" s="106"/>
      <c r="S76" s="103"/>
      <c r="T76" s="103"/>
      <c r="V76" s="107"/>
    </row>
    <row r="77" ht="15.75" customHeight="1">
      <c r="A77" s="89"/>
      <c r="B77" s="177"/>
      <c r="C77" s="96"/>
      <c r="D77" s="95"/>
      <c r="E77" s="96"/>
      <c r="F77" s="144"/>
      <c r="G77" s="95"/>
      <c r="H77" s="96"/>
      <c r="I77" s="103"/>
      <c r="J77" s="95"/>
      <c r="K77" s="99"/>
      <c r="L77" s="99"/>
      <c r="M77" s="100"/>
      <c r="N77" s="127"/>
      <c r="O77" s="128"/>
      <c r="P77" s="95"/>
      <c r="Q77" s="137"/>
      <c r="R77" s="129"/>
      <c r="S77" s="95"/>
      <c r="T77" s="95"/>
      <c r="V77" s="107"/>
    </row>
    <row r="78" ht="15.75" customHeight="1">
      <c r="A78" s="89"/>
      <c r="B78" s="177"/>
      <c r="C78" s="96"/>
      <c r="D78" s="95"/>
      <c r="E78" s="176"/>
      <c r="F78" s="144"/>
      <c r="G78" s="95"/>
      <c r="H78" s="96"/>
      <c r="I78" s="103"/>
      <c r="J78" s="95"/>
      <c r="K78" s="113"/>
      <c r="L78" s="113"/>
      <c r="M78" s="100"/>
      <c r="N78" s="101"/>
      <c r="O78" s="128"/>
      <c r="P78" s="95"/>
      <c r="Q78" s="114"/>
      <c r="R78" s="106"/>
      <c r="S78" s="103"/>
      <c r="T78" s="103"/>
      <c r="V78" s="107"/>
    </row>
    <row r="79" ht="15.75" customHeight="1">
      <c r="A79" s="89"/>
      <c r="B79" s="177"/>
      <c r="C79" s="96"/>
      <c r="D79" s="95"/>
      <c r="E79" s="176"/>
      <c r="F79" s="144"/>
      <c r="G79" s="95"/>
      <c r="H79" s="96"/>
      <c r="I79" s="103"/>
      <c r="J79" s="95"/>
      <c r="K79" s="99"/>
      <c r="L79" s="99"/>
      <c r="M79" s="100"/>
      <c r="N79" s="127"/>
      <c r="O79" s="128"/>
      <c r="P79" s="95"/>
      <c r="Q79" s="137"/>
      <c r="R79" s="129"/>
      <c r="S79" s="95"/>
      <c r="T79" s="95"/>
      <c r="V79" s="107"/>
    </row>
    <row r="80" ht="15.75" customHeight="1">
      <c r="A80" s="89"/>
      <c r="B80" s="177"/>
      <c r="C80" s="96"/>
      <c r="D80" s="95"/>
      <c r="E80" s="176"/>
      <c r="F80" s="144"/>
      <c r="G80" s="95"/>
      <c r="H80" s="96"/>
      <c r="I80" s="103"/>
      <c r="J80" s="95"/>
      <c r="K80" s="113"/>
      <c r="L80" s="113"/>
      <c r="M80" s="100"/>
      <c r="N80" s="101"/>
      <c r="O80" s="102"/>
      <c r="P80" s="95"/>
      <c r="Q80" s="135"/>
      <c r="R80" s="106"/>
      <c r="S80" s="103"/>
      <c r="T80" s="103"/>
      <c r="V80" s="107"/>
    </row>
    <row r="81" ht="15.75" customHeight="1">
      <c r="A81" s="89"/>
      <c r="B81" s="177"/>
      <c r="C81" s="106"/>
      <c r="D81" s="95"/>
      <c r="E81" s="176"/>
      <c r="F81" s="144"/>
      <c r="G81" s="95"/>
      <c r="H81" s="96"/>
      <c r="I81" s="103"/>
      <c r="J81" s="95"/>
      <c r="K81" s="99"/>
      <c r="L81" s="99"/>
      <c r="M81" s="100"/>
      <c r="N81" s="101"/>
      <c r="O81" s="102"/>
      <c r="P81" s="95"/>
      <c r="Q81" s="114"/>
      <c r="R81" s="142"/>
      <c r="S81" s="103"/>
      <c r="T81" s="103"/>
      <c r="V81" s="107"/>
    </row>
    <row r="82" ht="15.75" customHeight="1">
      <c r="A82" s="89"/>
      <c r="B82" s="177"/>
      <c r="C82" s="106"/>
      <c r="D82" s="95"/>
      <c r="E82" s="176"/>
      <c r="F82" s="144"/>
      <c r="G82" s="95"/>
      <c r="H82" s="96"/>
      <c r="I82" s="103"/>
      <c r="J82" s="95"/>
      <c r="K82" s="113"/>
      <c r="L82" s="113"/>
      <c r="M82" s="100"/>
      <c r="N82" s="101"/>
      <c r="O82" s="102"/>
      <c r="P82" s="95"/>
      <c r="Q82" s="114"/>
      <c r="R82" s="106"/>
      <c r="S82" s="103"/>
      <c r="T82" s="103"/>
      <c r="V82" s="107"/>
    </row>
    <row r="83" ht="15.75" customHeight="1">
      <c r="A83" s="89"/>
      <c r="B83" s="177"/>
      <c r="C83" s="96"/>
      <c r="D83" s="95"/>
      <c r="E83" s="176"/>
      <c r="F83" s="144"/>
      <c r="G83" s="95"/>
      <c r="H83" s="96"/>
      <c r="I83" s="103"/>
      <c r="J83" s="95"/>
      <c r="K83" s="99"/>
      <c r="L83" s="99"/>
      <c r="M83" s="100"/>
      <c r="N83" s="127"/>
      <c r="O83" s="128"/>
      <c r="P83" s="95"/>
      <c r="Q83" s="137"/>
      <c r="R83" s="129"/>
      <c r="S83" s="95"/>
      <c r="T83" s="95"/>
      <c r="V83" s="107"/>
    </row>
    <row r="84" ht="15.75" customHeight="1">
      <c r="A84" s="89"/>
      <c r="B84" s="177"/>
      <c r="C84" s="96"/>
      <c r="D84" s="95"/>
      <c r="E84" s="176"/>
      <c r="F84" s="144"/>
      <c r="G84" s="95"/>
      <c r="H84" s="96"/>
      <c r="I84" s="103"/>
      <c r="J84" s="95"/>
      <c r="K84" s="113"/>
      <c r="L84" s="113"/>
      <c r="M84" s="100"/>
      <c r="N84" s="127"/>
      <c r="O84" s="128"/>
      <c r="P84" s="95"/>
      <c r="Q84" s="95"/>
      <c r="R84" s="129"/>
      <c r="S84" s="95"/>
      <c r="T84" s="95"/>
      <c r="V84" s="107"/>
    </row>
    <row r="85" ht="15.75" customHeight="1">
      <c r="A85" s="89"/>
      <c r="B85" s="177"/>
      <c r="C85" s="143"/>
      <c r="D85" s="95"/>
      <c r="E85" s="176"/>
      <c r="F85" s="144"/>
      <c r="G85" s="95"/>
      <c r="H85" s="96"/>
      <c r="I85" s="103"/>
      <c r="J85" s="95"/>
      <c r="K85" s="99"/>
      <c r="L85" s="99"/>
      <c r="M85" s="100"/>
      <c r="N85" s="127"/>
      <c r="O85" s="128"/>
      <c r="P85" s="95"/>
      <c r="Q85" s="137"/>
      <c r="R85" s="129"/>
      <c r="S85" s="95"/>
      <c r="T85" s="95"/>
      <c r="V85" s="107"/>
    </row>
    <row r="86" ht="15.75" customHeight="1">
      <c r="A86" s="89"/>
      <c r="B86" s="177"/>
      <c r="C86" s="97"/>
      <c r="D86" s="95"/>
      <c r="E86" s="176"/>
      <c r="F86" s="144"/>
      <c r="G86" s="95"/>
      <c r="H86" s="96"/>
      <c r="I86" s="103"/>
      <c r="J86" s="95"/>
      <c r="K86" s="113"/>
      <c r="L86" s="113"/>
      <c r="M86" s="100"/>
      <c r="N86" s="101"/>
      <c r="O86" s="102"/>
      <c r="P86" s="95"/>
      <c r="Q86" s="135"/>
      <c r="R86" s="115"/>
      <c r="S86" s="103"/>
      <c r="T86" s="103"/>
      <c r="V86" s="107"/>
    </row>
    <row r="87" ht="15.75" customHeight="1">
      <c r="A87" s="89"/>
      <c r="B87" s="177"/>
      <c r="C87" s="96"/>
      <c r="D87" s="95"/>
      <c r="E87" s="176"/>
      <c r="F87" s="144"/>
      <c r="G87" s="95"/>
      <c r="H87" s="96"/>
      <c r="I87" s="103"/>
      <c r="J87" s="95"/>
      <c r="K87" s="99"/>
      <c r="L87" s="99"/>
      <c r="M87" s="100"/>
      <c r="N87" s="127"/>
      <c r="O87" s="102"/>
      <c r="P87" s="95"/>
      <c r="Q87" s="137"/>
      <c r="R87" s="106"/>
      <c r="S87" s="103"/>
      <c r="T87" s="103"/>
      <c r="V87" s="107"/>
    </row>
    <row r="88" ht="15.75" customHeight="1">
      <c r="A88" s="89"/>
      <c r="B88" s="177"/>
      <c r="C88" s="96"/>
      <c r="D88" s="95"/>
      <c r="E88" s="176"/>
      <c r="F88" s="144"/>
      <c r="G88" s="95"/>
      <c r="H88" s="96"/>
      <c r="I88" s="103"/>
      <c r="J88" s="95"/>
      <c r="K88" s="113"/>
      <c r="L88" s="113"/>
      <c r="M88" s="100"/>
      <c r="N88" s="101"/>
      <c r="O88" s="102"/>
      <c r="P88" s="95"/>
      <c r="Q88" s="114"/>
      <c r="R88" s="106"/>
      <c r="S88" s="103"/>
      <c r="T88" s="103"/>
      <c r="V88" s="107"/>
    </row>
    <row r="89" ht="15.75" customHeight="1">
      <c r="A89" s="89"/>
      <c r="B89" s="177"/>
      <c r="C89" s="96"/>
      <c r="D89" s="95"/>
      <c r="E89" s="176"/>
      <c r="F89" s="144"/>
      <c r="G89" s="95"/>
      <c r="H89" s="96"/>
      <c r="I89" s="103"/>
      <c r="J89" s="95"/>
      <c r="K89" s="99"/>
      <c r="L89" s="99"/>
      <c r="M89" s="100"/>
      <c r="N89" s="127"/>
      <c r="O89" s="128"/>
      <c r="P89" s="95"/>
      <c r="Q89" s="95"/>
      <c r="R89" s="129"/>
      <c r="S89" s="95"/>
      <c r="T89" s="95"/>
      <c r="V89" s="107"/>
    </row>
    <row r="90" ht="15.75" customHeight="1">
      <c r="A90" s="89"/>
      <c r="B90" s="177"/>
      <c r="C90" s="144"/>
      <c r="D90" s="95"/>
      <c r="E90" s="176"/>
      <c r="F90" s="180"/>
      <c r="G90" s="95"/>
      <c r="H90" s="96"/>
      <c r="I90" s="103"/>
      <c r="J90" s="95"/>
      <c r="K90" s="113"/>
      <c r="L90" s="113"/>
      <c r="M90" s="100"/>
      <c r="N90" s="101"/>
      <c r="O90" s="102"/>
      <c r="P90" s="95"/>
      <c r="Q90" s="103"/>
      <c r="R90" s="106"/>
      <c r="S90" s="103"/>
      <c r="T90" s="103"/>
      <c r="V90" s="107"/>
    </row>
    <row r="91" ht="15.75" customHeight="1">
      <c r="A91" s="89"/>
      <c r="B91" s="177"/>
      <c r="C91" s="146"/>
      <c r="D91" s="95"/>
      <c r="E91" s="176"/>
      <c r="F91" s="144"/>
      <c r="G91" s="95"/>
      <c r="H91" s="96"/>
      <c r="I91" s="103"/>
      <c r="J91" s="95"/>
      <c r="K91" s="99"/>
      <c r="L91" s="99"/>
      <c r="M91" s="100"/>
      <c r="N91" s="127"/>
      <c r="O91" s="128"/>
      <c r="P91" s="95"/>
      <c r="Q91" s="95"/>
      <c r="R91" s="129"/>
      <c r="S91" s="95"/>
      <c r="T91" s="95"/>
      <c r="V91" s="107"/>
    </row>
    <row r="92" ht="15.75" customHeight="1">
      <c r="A92" s="89"/>
      <c r="B92" s="177"/>
      <c r="C92" s="144"/>
      <c r="D92" s="95"/>
      <c r="E92" s="176"/>
      <c r="F92" s="144"/>
      <c r="G92" s="95"/>
      <c r="H92" s="96"/>
      <c r="I92" s="103"/>
      <c r="J92" s="95"/>
      <c r="K92" s="113"/>
      <c r="L92" s="113"/>
      <c r="M92" s="100"/>
      <c r="N92" s="101"/>
      <c r="O92" s="102"/>
      <c r="P92" s="95"/>
      <c r="Q92" s="135"/>
      <c r="R92" s="106"/>
      <c r="S92" s="103"/>
      <c r="T92" s="103"/>
      <c r="V92" s="107"/>
    </row>
    <row r="93" ht="15.75" customHeight="1">
      <c r="A93" s="89"/>
      <c r="B93" s="177"/>
      <c r="C93" s="146"/>
      <c r="D93" s="95"/>
      <c r="E93" s="144"/>
      <c r="F93" s="144"/>
      <c r="G93" s="95"/>
      <c r="H93" s="96"/>
      <c r="I93" s="103"/>
      <c r="J93" s="95"/>
      <c r="K93" s="99"/>
      <c r="L93" s="99"/>
      <c r="M93" s="100"/>
      <c r="N93" s="127"/>
      <c r="O93" s="128"/>
      <c r="P93" s="95"/>
      <c r="Q93" s="137"/>
      <c r="R93" s="129"/>
      <c r="S93" s="95"/>
      <c r="T93" s="95"/>
      <c r="V93" s="107"/>
    </row>
    <row r="94" ht="15.75" customHeight="1">
      <c r="A94" s="89"/>
      <c r="B94" s="177"/>
      <c r="C94" s="96"/>
      <c r="D94" s="95"/>
      <c r="E94" s="176"/>
      <c r="F94" s="144"/>
      <c r="G94" s="95"/>
      <c r="H94" s="96"/>
      <c r="I94" s="103"/>
      <c r="J94" s="95"/>
      <c r="K94" s="113"/>
      <c r="L94" s="113"/>
      <c r="M94" s="100"/>
      <c r="N94" s="127"/>
      <c r="O94" s="128"/>
      <c r="P94" s="95"/>
      <c r="Q94" s="95"/>
      <c r="R94" s="129"/>
      <c r="S94" s="95"/>
      <c r="T94" s="95"/>
      <c r="V94" s="107"/>
    </row>
    <row r="95" ht="15.75" customHeight="1">
      <c r="A95" s="89"/>
      <c r="B95" s="177"/>
      <c r="C95" s="96"/>
      <c r="D95" s="95"/>
      <c r="E95" s="176"/>
      <c r="F95" s="144"/>
      <c r="G95" s="95"/>
      <c r="H95" s="96"/>
      <c r="I95" s="103"/>
      <c r="J95" s="95"/>
      <c r="K95" s="99"/>
      <c r="L95" s="99"/>
      <c r="M95" s="100"/>
      <c r="N95" s="101"/>
      <c r="O95" s="102"/>
      <c r="P95" s="95"/>
      <c r="Q95" s="114"/>
      <c r="R95" s="106"/>
      <c r="S95" s="103"/>
      <c r="T95" s="103"/>
      <c r="V95" s="107"/>
    </row>
    <row r="96" ht="15.75" customHeight="1">
      <c r="A96" s="89"/>
      <c r="B96" s="177"/>
      <c r="C96" s="96"/>
      <c r="D96" s="95"/>
      <c r="E96" s="176"/>
      <c r="F96" s="144"/>
      <c r="G96" s="95"/>
      <c r="H96" s="96"/>
      <c r="I96" s="103"/>
      <c r="J96" s="95"/>
      <c r="K96" s="113"/>
      <c r="L96" s="113"/>
      <c r="M96" s="100"/>
      <c r="N96" s="127"/>
      <c r="O96" s="128"/>
      <c r="P96" s="95"/>
      <c r="Q96" s="95"/>
      <c r="R96" s="129"/>
      <c r="S96" s="95"/>
      <c r="T96" s="95"/>
      <c r="V96" s="107"/>
    </row>
    <row r="97" ht="15.75" customHeight="1">
      <c r="A97" s="89"/>
      <c r="B97" s="177"/>
      <c r="C97" s="96"/>
      <c r="D97" s="95"/>
      <c r="E97" s="181"/>
      <c r="F97" s="144"/>
      <c r="G97" s="95"/>
      <c r="H97" s="96"/>
      <c r="I97" s="103"/>
      <c r="J97" s="95"/>
      <c r="K97" s="99"/>
      <c r="L97" s="99"/>
      <c r="M97" s="100"/>
      <c r="N97" s="127"/>
      <c r="O97" s="128"/>
      <c r="P97" s="95"/>
      <c r="Q97" s="137"/>
      <c r="R97" s="129"/>
      <c r="S97" s="95"/>
      <c r="T97" s="95"/>
      <c r="V97" s="107"/>
    </row>
    <row r="98" ht="15.75" customHeight="1">
      <c r="A98" s="89"/>
      <c r="B98" s="177"/>
      <c r="C98" s="106"/>
      <c r="D98" s="95"/>
      <c r="E98" s="176"/>
      <c r="F98" s="144"/>
      <c r="G98" s="95"/>
      <c r="H98" s="96"/>
      <c r="I98" s="103"/>
      <c r="J98" s="95"/>
      <c r="K98" s="113"/>
      <c r="L98" s="113"/>
      <c r="M98" s="100"/>
      <c r="N98" s="127"/>
      <c r="O98" s="128"/>
      <c r="P98" s="95"/>
      <c r="Q98" s="135"/>
      <c r="R98" s="106"/>
      <c r="S98" s="95"/>
      <c r="T98" s="103"/>
      <c r="V98" s="107"/>
    </row>
    <row r="99" ht="15.75" customHeight="1">
      <c r="A99" s="89"/>
      <c r="B99" s="177"/>
      <c r="C99" s="106"/>
      <c r="D99" s="95"/>
      <c r="E99" s="176"/>
      <c r="F99" s="144"/>
      <c r="G99" s="95"/>
      <c r="H99" s="96"/>
      <c r="I99" s="103"/>
      <c r="J99" s="95"/>
      <c r="K99" s="99"/>
      <c r="L99" s="99"/>
      <c r="M99" s="100"/>
      <c r="N99" s="127"/>
      <c r="O99" s="128"/>
      <c r="P99" s="95"/>
      <c r="Q99" s="135"/>
      <c r="R99" s="106"/>
      <c r="S99" s="95"/>
      <c r="T99" s="103"/>
      <c r="V99" s="107"/>
    </row>
    <row r="100" ht="15.75" customHeight="1">
      <c r="A100" s="89"/>
      <c r="B100" s="177"/>
      <c r="C100" s="96"/>
      <c r="D100" s="95"/>
      <c r="E100" s="96"/>
      <c r="F100" s="146"/>
      <c r="G100" s="95"/>
      <c r="H100" s="96"/>
      <c r="I100" s="103"/>
      <c r="J100" s="95"/>
      <c r="K100" s="113"/>
      <c r="L100" s="113"/>
      <c r="M100" s="100"/>
      <c r="N100" s="127"/>
      <c r="O100" s="128"/>
      <c r="P100" s="95"/>
      <c r="Q100" s="137"/>
      <c r="R100" s="129"/>
      <c r="S100" s="95"/>
      <c r="T100" s="95"/>
      <c r="V100" s="107"/>
    </row>
    <row r="101" ht="15.75" customHeight="1">
      <c r="A101" s="89"/>
      <c r="B101" s="177"/>
      <c r="C101" s="96"/>
      <c r="D101" s="95"/>
      <c r="E101" s="176"/>
      <c r="F101" s="144"/>
      <c r="G101" s="95"/>
      <c r="H101" s="96"/>
      <c r="I101" s="103"/>
      <c r="J101" s="95"/>
      <c r="K101" s="99"/>
      <c r="L101" s="99"/>
      <c r="M101" s="100"/>
      <c r="N101" s="127"/>
      <c r="O101" s="128"/>
      <c r="P101" s="95"/>
      <c r="Q101" s="95"/>
      <c r="R101" s="129"/>
      <c r="S101" s="95"/>
      <c r="T101" s="95"/>
      <c r="V101" s="107"/>
    </row>
    <row r="102" ht="15.75" customHeight="1">
      <c r="A102" s="89"/>
      <c r="B102" s="177"/>
      <c r="C102" s="96"/>
      <c r="D102" s="95"/>
      <c r="E102" s="176"/>
      <c r="F102" s="144"/>
      <c r="G102" s="95"/>
      <c r="H102" s="96"/>
      <c r="I102" s="103"/>
      <c r="J102" s="95"/>
      <c r="K102" s="113"/>
      <c r="L102" s="113"/>
      <c r="M102" s="100"/>
      <c r="N102" s="101"/>
      <c r="O102" s="102"/>
      <c r="P102" s="95"/>
      <c r="Q102" s="114"/>
      <c r="R102" s="115"/>
      <c r="S102" s="103"/>
      <c r="T102" s="103"/>
      <c r="V102" s="107"/>
    </row>
    <row r="103" ht="15.75" customHeight="1">
      <c r="A103" s="89"/>
      <c r="B103" s="182"/>
      <c r="C103" s="149"/>
      <c r="D103" s="95"/>
      <c r="E103" s="149"/>
      <c r="F103" s="180"/>
      <c r="G103" s="95"/>
      <c r="H103" s="96"/>
      <c r="I103" s="103"/>
      <c r="J103" s="95"/>
      <c r="K103" s="99"/>
      <c r="L103" s="99"/>
      <c r="M103" s="100"/>
      <c r="N103" s="101"/>
      <c r="O103" s="128"/>
      <c r="P103" s="95"/>
      <c r="Q103" s="137"/>
      <c r="R103" s="129"/>
      <c r="S103" s="103"/>
      <c r="T103" s="95"/>
      <c r="V103" s="107"/>
    </row>
    <row r="104" ht="15.75" customHeight="1">
      <c r="A104" s="89"/>
      <c r="B104" s="182"/>
      <c r="C104" s="149"/>
      <c r="D104" s="95"/>
      <c r="E104" s="149"/>
      <c r="F104" s="149"/>
      <c r="G104" s="95"/>
      <c r="H104" s="96"/>
      <c r="I104" s="103"/>
      <c r="J104" s="95"/>
      <c r="K104" s="113"/>
      <c r="L104" s="113"/>
      <c r="M104" s="100"/>
      <c r="N104" s="101"/>
      <c r="O104" s="128"/>
      <c r="P104" s="95"/>
      <c r="Q104" s="95"/>
      <c r="R104" s="129"/>
      <c r="S104" s="103"/>
      <c r="T104" s="95"/>
      <c r="V104" s="107"/>
    </row>
    <row r="105" ht="15.75" customHeight="1">
      <c r="A105" s="89"/>
      <c r="B105" s="182"/>
      <c r="C105" s="107"/>
      <c r="D105" s="95"/>
      <c r="E105" s="149"/>
      <c r="F105" s="149"/>
      <c r="G105" s="95"/>
      <c r="H105" s="96"/>
      <c r="I105" s="103"/>
      <c r="J105" s="95"/>
      <c r="K105" s="99"/>
      <c r="L105" s="99"/>
      <c r="M105" s="100"/>
      <c r="N105" s="101"/>
      <c r="O105" s="128"/>
      <c r="P105" s="95"/>
      <c r="Q105" s="137"/>
      <c r="R105" s="129"/>
      <c r="S105" s="103"/>
      <c r="T105" s="95"/>
      <c r="V105" s="107"/>
    </row>
    <row r="106" ht="15.75" customHeight="1">
      <c r="A106" s="89"/>
      <c r="B106" s="182"/>
      <c r="C106" s="107"/>
      <c r="D106" s="95"/>
      <c r="E106" s="149"/>
      <c r="F106" s="149"/>
      <c r="G106" s="95"/>
      <c r="H106" s="96"/>
      <c r="I106" s="103"/>
      <c r="J106" s="95"/>
      <c r="K106" s="113"/>
      <c r="L106" s="113"/>
      <c r="M106" s="100"/>
      <c r="N106" s="101"/>
      <c r="O106" s="128"/>
      <c r="P106" s="95"/>
      <c r="Q106" s="137"/>
      <c r="R106" s="129"/>
      <c r="S106" s="103"/>
      <c r="T106" s="95"/>
      <c r="V106" s="107"/>
    </row>
    <row r="107" ht="15.75" customHeight="1">
      <c r="A107" s="89"/>
      <c r="B107" s="182"/>
      <c r="C107" s="149"/>
      <c r="D107" s="95"/>
      <c r="E107" s="149"/>
      <c r="F107" s="149"/>
      <c r="G107" s="95"/>
      <c r="H107" s="96"/>
      <c r="I107" s="103"/>
      <c r="J107" s="95"/>
      <c r="K107" s="99"/>
      <c r="L107" s="99"/>
      <c r="M107" s="100"/>
      <c r="N107" s="101"/>
      <c r="O107" s="128"/>
      <c r="P107" s="95"/>
      <c r="Q107" s="137"/>
      <c r="R107" s="129"/>
      <c r="S107" s="103"/>
      <c r="T107" s="95"/>
      <c r="V107" s="107"/>
    </row>
    <row r="108" ht="15.75" customHeight="1">
      <c r="A108" s="89"/>
      <c r="B108" s="182"/>
      <c r="C108" s="149"/>
      <c r="D108" s="95"/>
      <c r="E108" s="149"/>
      <c r="F108" s="149"/>
      <c r="G108" s="95"/>
      <c r="H108" s="96"/>
      <c r="I108" s="103"/>
      <c r="J108" s="95"/>
      <c r="K108" s="113"/>
      <c r="L108" s="113"/>
      <c r="M108" s="100"/>
      <c r="N108" s="101"/>
      <c r="O108" s="128"/>
      <c r="P108" s="95"/>
      <c r="Q108" s="95"/>
      <c r="R108" s="129"/>
      <c r="S108" s="103"/>
      <c r="T108" s="95"/>
      <c r="V108" s="107"/>
    </row>
    <row r="109" ht="15.75" customHeight="1">
      <c r="A109" s="89"/>
      <c r="B109" s="182"/>
      <c r="C109" s="149"/>
      <c r="D109" s="95"/>
      <c r="E109" s="149"/>
      <c r="F109" s="149"/>
      <c r="G109" s="95"/>
      <c r="H109" s="96"/>
      <c r="I109" s="103"/>
      <c r="J109" s="95"/>
      <c r="K109" s="99"/>
      <c r="L109" s="99"/>
      <c r="M109" s="100"/>
      <c r="N109" s="101"/>
      <c r="O109" s="128"/>
      <c r="P109" s="95"/>
      <c r="Q109" s="137"/>
      <c r="R109" s="129"/>
      <c r="S109" s="103"/>
      <c r="T109" s="95"/>
      <c r="V109" s="107"/>
    </row>
    <row r="110" ht="15.75" customHeight="1">
      <c r="A110" s="89"/>
      <c r="B110" s="182"/>
      <c r="C110" s="149"/>
      <c r="D110" s="95"/>
      <c r="E110" s="149"/>
      <c r="F110" s="149"/>
      <c r="G110" s="95"/>
      <c r="H110" s="149"/>
      <c r="I110" s="151"/>
      <c r="J110" s="95"/>
      <c r="K110" s="113"/>
      <c r="L110" s="113"/>
      <c r="M110" s="100"/>
      <c r="N110" s="127"/>
      <c r="O110" s="128"/>
      <c r="P110" s="95"/>
      <c r="Q110" s="95"/>
      <c r="R110" s="129"/>
      <c r="S110" s="95"/>
      <c r="T110" s="95"/>
      <c r="V110" s="107"/>
    </row>
    <row r="111" ht="15.75" customHeight="1">
      <c r="A111" s="89"/>
      <c r="B111" s="182"/>
      <c r="C111" s="149"/>
      <c r="D111" s="95"/>
      <c r="E111" s="149"/>
      <c r="F111" s="149"/>
      <c r="G111" s="95"/>
      <c r="H111" s="149"/>
      <c r="I111" s="95"/>
      <c r="J111" s="95"/>
      <c r="K111" s="99"/>
      <c r="L111" s="99"/>
      <c r="M111" s="100"/>
      <c r="N111" s="127"/>
      <c r="O111" s="128"/>
      <c r="P111" s="95"/>
      <c r="Q111" s="137"/>
      <c r="R111" s="129"/>
      <c r="S111" s="95"/>
      <c r="T111" s="95"/>
      <c r="V111" s="107"/>
    </row>
    <row r="112" ht="15.75" customHeight="1">
      <c r="A112" s="89"/>
      <c r="B112" s="182"/>
      <c r="C112" s="107"/>
      <c r="D112" s="95"/>
      <c r="E112" s="149"/>
      <c r="F112" s="149"/>
      <c r="G112" s="95"/>
      <c r="H112" s="149"/>
      <c r="I112" s="95"/>
      <c r="J112" s="95"/>
      <c r="K112" s="113"/>
      <c r="L112" s="113"/>
      <c r="M112" s="100"/>
      <c r="N112" s="127"/>
      <c r="O112" s="128"/>
      <c r="P112" s="95"/>
      <c r="Q112" s="95"/>
      <c r="R112" s="129"/>
      <c r="S112" s="95"/>
      <c r="T112" s="95"/>
      <c r="V112" s="107"/>
    </row>
    <row r="113" ht="15.75" customHeight="1">
      <c r="A113" s="89"/>
      <c r="B113" s="182"/>
      <c r="C113" s="107"/>
      <c r="D113" s="95"/>
      <c r="E113" s="149"/>
      <c r="F113" s="149"/>
      <c r="G113" s="95"/>
      <c r="H113" s="149"/>
      <c r="I113" s="95"/>
      <c r="J113" s="95"/>
      <c r="K113" s="99"/>
      <c r="L113" s="99"/>
      <c r="M113" s="100"/>
      <c r="N113" s="127"/>
      <c r="O113" s="128"/>
      <c r="P113" s="95"/>
      <c r="Q113" s="95"/>
      <c r="R113" s="129"/>
      <c r="S113" s="95"/>
      <c r="T113" s="95"/>
      <c r="V113" s="107"/>
    </row>
    <row r="114" ht="15.75" customHeight="1">
      <c r="A114" s="89"/>
      <c r="B114" s="182"/>
      <c r="C114" s="107"/>
      <c r="D114" s="95"/>
      <c r="E114" s="149"/>
      <c r="F114" s="149"/>
      <c r="G114" s="95"/>
      <c r="H114" s="149"/>
      <c r="I114" s="95"/>
      <c r="J114" s="95"/>
      <c r="K114" s="113"/>
      <c r="L114" s="113"/>
      <c r="M114" s="100"/>
      <c r="N114" s="127"/>
      <c r="O114" s="128"/>
      <c r="P114" s="95"/>
      <c r="Q114" s="95"/>
      <c r="R114" s="129"/>
      <c r="S114" s="95"/>
      <c r="T114" s="95"/>
      <c r="V114" s="107"/>
    </row>
    <row r="115" ht="15.75" customHeight="1">
      <c r="A115" s="89"/>
      <c r="B115" s="182"/>
      <c r="C115" s="149"/>
      <c r="D115" s="95"/>
      <c r="E115" s="149"/>
      <c r="F115" s="149"/>
      <c r="G115" s="95"/>
      <c r="H115" s="149"/>
      <c r="I115" s="95"/>
      <c r="J115" s="95"/>
      <c r="K115" s="99"/>
      <c r="L115" s="99"/>
      <c r="M115" s="100"/>
      <c r="N115" s="127"/>
      <c r="O115" s="128"/>
      <c r="P115" s="95"/>
      <c r="Q115" s="95"/>
      <c r="R115" s="129"/>
      <c r="S115" s="95"/>
      <c r="T115" s="95"/>
      <c r="V115" s="107"/>
    </row>
    <row r="116" ht="15.75" customHeight="1">
      <c r="A116" s="89"/>
      <c r="B116" s="182"/>
      <c r="C116" s="149"/>
      <c r="D116" s="95"/>
      <c r="E116" s="149"/>
      <c r="F116" s="149"/>
      <c r="G116" s="95"/>
      <c r="H116" s="149"/>
      <c r="I116" s="95"/>
      <c r="J116" s="95"/>
      <c r="K116" s="113"/>
      <c r="L116" s="113"/>
      <c r="M116" s="100"/>
      <c r="N116" s="127"/>
      <c r="O116" s="128"/>
      <c r="P116" s="95"/>
      <c r="Q116" s="95"/>
      <c r="R116" s="129"/>
      <c r="S116" s="95"/>
      <c r="T116" s="95"/>
      <c r="V116" s="107"/>
    </row>
    <row r="117" ht="15.75" customHeight="1">
      <c r="A117" s="89"/>
      <c r="B117" s="182"/>
      <c r="C117" s="149"/>
      <c r="D117" s="95"/>
      <c r="E117" s="149"/>
      <c r="F117" s="149"/>
      <c r="G117" s="95"/>
      <c r="H117" s="149"/>
      <c r="I117" s="95"/>
      <c r="J117" s="95"/>
      <c r="K117" s="99"/>
      <c r="L117" s="99"/>
      <c r="M117" s="100"/>
      <c r="N117" s="127"/>
      <c r="O117" s="128"/>
      <c r="P117" s="95"/>
      <c r="Q117" s="95"/>
      <c r="R117" s="129"/>
      <c r="S117" s="95"/>
      <c r="T117" s="95"/>
      <c r="V117" s="107"/>
    </row>
    <row r="118" ht="15.75" customHeight="1">
      <c r="A118" s="89"/>
      <c r="B118" s="182"/>
      <c r="C118" s="149"/>
      <c r="D118" s="95"/>
      <c r="E118" s="149"/>
      <c r="F118" s="149"/>
      <c r="G118" s="95"/>
      <c r="H118" s="149"/>
      <c r="I118" s="95"/>
      <c r="J118" s="95"/>
      <c r="K118" s="113"/>
      <c r="L118" s="113"/>
      <c r="M118" s="100"/>
      <c r="N118" s="127"/>
      <c r="O118" s="128"/>
      <c r="P118" s="95"/>
      <c r="Q118" s="95"/>
      <c r="R118" s="129"/>
      <c r="S118" s="95"/>
      <c r="T118" s="95"/>
      <c r="V118" s="107"/>
    </row>
    <row r="119" ht="15.75" customHeight="1">
      <c r="A119" s="89"/>
      <c r="B119" s="182"/>
      <c r="C119" s="149"/>
      <c r="D119" s="95"/>
      <c r="E119" s="149"/>
      <c r="F119" s="149"/>
      <c r="G119" s="95"/>
      <c r="H119" s="149"/>
      <c r="I119" s="95"/>
      <c r="J119" s="95"/>
      <c r="K119" s="99"/>
      <c r="L119" s="99"/>
      <c r="M119" s="100"/>
      <c r="N119" s="127"/>
      <c r="O119" s="128"/>
      <c r="P119" s="95"/>
      <c r="Q119" s="137"/>
      <c r="R119" s="129"/>
      <c r="S119" s="95"/>
      <c r="T119" s="95"/>
      <c r="V119" s="107"/>
    </row>
    <row r="120" ht="15.75" customHeight="1">
      <c r="A120" s="89"/>
      <c r="B120" s="182"/>
      <c r="C120" s="107"/>
      <c r="D120" s="95"/>
      <c r="E120" s="149"/>
      <c r="F120" s="149"/>
      <c r="G120" s="95"/>
      <c r="H120" s="149"/>
      <c r="I120" s="95"/>
      <c r="J120" s="95"/>
      <c r="K120" s="113"/>
      <c r="L120" s="113"/>
      <c r="M120" s="100"/>
      <c r="N120" s="127"/>
      <c r="O120" s="128"/>
      <c r="P120" s="95"/>
      <c r="Q120" s="95"/>
      <c r="R120" s="129"/>
      <c r="S120" s="95"/>
      <c r="T120" s="95"/>
      <c r="V120" s="107"/>
    </row>
    <row r="121" ht="15.75" customHeight="1">
      <c r="A121" s="89"/>
      <c r="B121" s="182"/>
      <c r="C121" s="107"/>
      <c r="D121" s="95"/>
      <c r="E121" s="149"/>
      <c r="F121" s="149"/>
      <c r="G121" s="95"/>
      <c r="H121" s="149"/>
      <c r="I121" s="95"/>
      <c r="J121" s="95"/>
      <c r="K121" s="99"/>
      <c r="L121" s="99"/>
      <c r="M121" s="100"/>
      <c r="N121" s="127"/>
      <c r="O121" s="128"/>
      <c r="P121" s="95"/>
      <c r="Q121" s="95"/>
      <c r="R121" s="129"/>
      <c r="S121" s="95"/>
      <c r="T121" s="95"/>
      <c r="V121" s="107"/>
    </row>
    <row r="122" ht="15.75" customHeight="1">
      <c r="A122" s="89"/>
      <c r="B122" s="182"/>
      <c r="C122" s="107"/>
      <c r="D122" s="95"/>
      <c r="E122" s="149"/>
      <c r="F122" s="149"/>
      <c r="G122" s="95"/>
      <c r="H122" s="149"/>
      <c r="I122" s="95"/>
      <c r="J122" s="95"/>
      <c r="K122" s="113"/>
      <c r="L122" s="113"/>
      <c r="M122" s="100"/>
      <c r="N122" s="127"/>
      <c r="O122" s="128"/>
      <c r="P122" s="95"/>
      <c r="Q122" s="137"/>
      <c r="R122" s="129"/>
      <c r="S122" s="95"/>
      <c r="T122" s="95"/>
      <c r="V122" s="107"/>
    </row>
    <row r="123" ht="15.75" customHeight="1">
      <c r="A123" s="89"/>
      <c r="B123" s="182"/>
      <c r="C123" s="149"/>
      <c r="D123" s="95"/>
      <c r="E123" s="149"/>
      <c r="F123" s="149"/>
      <c r="G123" s="95"/>
      <c r="H123" s="149"/>
      <c r="I123" s="95"/>
      <c r="J123" s="95"/>
      <c r="K123" s="99"/>
      <c r="L123" s="99"/>
      <c r="M123" s="100"/>
      <c r="N123" s="127"/>
      <c r="O123" s="128"/>
      <c r="P123" s="95"/>
      <c r="Q123" s="137"/>
      <c r="R123" s="129"/>
      <c r="S123" s="95"/>
      <c r="T123" s="95"/>
      <c r="V123" s="107"/>
    </row>
    <row r="124" ht="15.75" customHeight="1">
      <c r="A124" s="89"/>
      <c r="B124" s="182"/>
      <c r="C124" s="149"/>
      <c r="D124" s="95"/>
      <c r="E124" s="149"/>
      <c r="F124" s="149"/>
      <c r="G124" s="95"/>
      <c r="H124" s="149"/>
      <c r="I124" s="95"/>
      <c r="J124" s="95"/>
      <c r="K124" s="113"/>
      <c r="L124" s="113"/>
      <c r="M124" s="100"/>
      <c r="N124" s="127"/>
      <c r="O124" s="128"/>
      <c r="P124" s="95"/>
      <c r="Q124" s="137"/>
      <c r="R124" s="129"/>
      <c r="S124" s="95"/>
      <c r="T124" s="95"/>
      <c r="V124" s="107"/>
    </row>
    <row r="125" ht="15.75" customHeight="1">
      <c r="A125" s="89"/>
      <c r="B125" s="182"/>
      <c r="C125" s="149"/>
      <c r="D125" s="95"/>
      <c r="E125" s="149"/>
      <c r="F125" s="149"/>
      <c r="G125" s="95"/>
      <c r="H125" s="149"/>
      <c r="I125" s="95"/>
      <c r="J125" s="95"/>
      <c r="K125" s="99"/>
      <c r="L125" s="99"/>
      <c r="M125" s="100"/>
      <c r="N125" s="127"/>
      <c r="O125" s="128"/>
      <c r="P125" s="95"/>
      <c r="Q125" s="137"/>
      <c r="R125" s="129"/>
      <c r="S125" s="95"/>
      <c r="T125" s="95"/>
      <c r="V125" s="107"/>
    </row>
    <row r="126" ht="15.75" customHeight="1">
      <c r="A126" s="89"/>
      <c r="B126" s="182"/>
      <c r="C126" s="149"/>
      <c r="D126" s="95"/>
      <c r="E126" s="149"/>
      <c r="F126" s="149"/>
      <c r="G126" s="95"/>
      <c r="H126" s="149"/>
      <c r="I126" s="95"/>
      <c r="J126" s="95"/>
      <c r="K126" s="113"/>
      <c r="L126" s="113"/>
      <c r="M126" s="100"/>
      <c r="N126" s="127"/>
      <c r="O126" s="128"/>
      <c r="P126" s="95"/>
      <c r="Q126" s="137"/>
      <c r="R126" s="129"/>
      <c r="S126" s="95"/>
      <c r="T126" s="95"/>
      <c r="V126" s="107"/>
    </row>
    <row r="127" ht="15.75" customHeight="1">
      <c r="A127" s="89"/>
      <c r="B127" s="182"/>
      <c r="C127" s="149"/>
      <c r="D127" s="95"/>
      <c r="E127" s="149"/>
      <c r="F127" s="149"/>
      <c r="G127" s="95"/>
      <c r="H127" s="149"/>
      <c r="I127" s="95"/>
      <c r="J127" s="95"/>
      <c r="K127" s="99"/>
      <c r="L127" s="99"/>
      <c r="M127" s="100"/>
      <c r="N127" s="127"/>
      <c r="O127" s="128"/>
      <c r="P127" s="95"/>
      <c r="Q127" s="137"/>
      <c r="R127" s="129"/>
      <c r="S127" s="95"/>
      <c r="T127" s="95"/>
      <c r="V127" s="107"/>
    </row>
    <row r="128" ht="15.75" customHeight="1">
      <c r="A128" s="89"/>
      <c r="B128" s="182"/>
      <c r="C128" s="107"/>
      <c r="D128" s="95"/>
      <c r="E128" s="149"/>
      <c r="F128" s="149"/>
      <c r="G128" s="95"/>
      <c r="H128" s="149"/>
      <c r="I128" s="95"/>
      <c r="J128" s="95"/>
      <c r="K128" s="113"/>
      <c r="L128" s="113"/>
      <c r="M128" s="100"/>
      <c r="N128" s="127"/>
      <c r="O128" s="128"/>
      <c r="P128" s="95"/>
      <c r="Q128" s="95"/>
      <c r="R128" s="129"/>
      <c r="S128" s="95"/>
      <c r="T128" s="95"/>
      <c r="V128" s="107"/>
    </row>
    <row r="129" ht="15.75" customHeight="1">
      <c r="A129" s="89"/>
      <c r="B129" s="182"/>
      <c r="C129" s="107"/>
      <c r="D129" s="95"/>
      <c r="E129" s="149"/>
      <c r="F129" s="149"/>
      <c r="G129" s="95"/>
      <c r="H129" s="149"/>
      <c r="I129" s="95"/>
      <c r="J129" s="95"/>
      <c r="K129" s="99"/>
      <c r="L129" s="99"/>
      <c r="M129" s="100"/>
      <c r="N129" s="127"/>
      <c r="O129" s="128"/>
      <c r="P129" s="95"/>
      <c r="Q129" s="137"/>
      <c r="R129" s="129"/>
      <c r="S129" s="95"/>
      <c r="T129" s="95"/>
      <c r="V129" s="107"/>
    </row>
    <row r="130" ht="15.75" customHeight="1">
      <c r="A130" s="89"/>
      <c r="B130" s="182"/>
      <c r="C130" s="107"/>
      <c r="D130" s="95"/>
      <c r="E130" s="149"/>
      <c r="F130" s="149"/>
      <c r="G130" s="95"/>
      <c r="H130" s="149"/>
      <c r="I130" s="95"/>
      <c r="J130" s="95"/>
      <c r="K130" s="113"/>
      <c r="L130" s="113"/>
      <c r="M130" s="100"/>
      <c r="N130" s="127"/>
      <c r="O130" s="128"/>
      <c r="P130" s="95"/>
      <c r="Q130" s="95"/>
      <c r="R130" s="129"/>
      <c r="S130" s="95"/>
      <c r="T130" s="95"/>
      <c r="V130" s="107"/>
    </row>
    <row r="131" ht="15.75" customHeight="1">
      <c r="A131" s="89"/>
      <c r="B131" s="182"/>
      <c r="C131" s="149"/>
      <c r="D131" s="95"/>
      <c r="E131" s="149"/>
      <c r="F131" s="149"/>
      <c r="G131" s="95"/>
      <c r="H131" s="149"/>
      <c r="I131" s="95"/>
      <c r="J131" s="95"/>
      <c r="K131" s="99"/>
      <c r="L131" s="99"/>
      <c r="M131" s="100"/>
      <c r="N131" s="127"/>
      <c r="O131" s="128"/>
      <c r="P131" s="95"/>
      <c r="Q131" s="95"/>
      <c r="R131" s="129"/>
      <c r="S131" s="95"/>
      <c r="T131" s="95"/>
      <c r="V131" s="107"/>
    </row>
    <row r="132" ht="15.75" customHeight="1">
      <c r="A132" s="89"/>
      <c r="B132" s="182"/>
      <c r="C132" s="149"/>
      <c r="D132" s="95"/>
      <c r="E132" s="149"/>
      <c r="F132" s="149"/>
      <c r="G132" s="95"/>
      <c r="H132" s="149"/>
      <c r="I132" s="95"/>
      <c r="J132" s="95"/>
      <c r="K132" s="113"/>
      <c r="L132" s="113"/>
      <c r="M132" s="100"/>
      <c r="N132" s="127"/>
      <c r="O132" s="128"/>
      <c r="P132" s="95"/>
      <c r="Q132" s="137"/>
      <c r="R132" s="129"/>
      <c r="S132" s="95"/>
      <c r="T132" s="95"/>
      <c r="V132" s="107"/>
    </row>
    <row r="133" ht="15.75" customHeight="1">
      <c r="A133" s="89"/>
      <c r="B133" s="182"/>
      <c r="C133" s="149"/>
      <c r="D133" s="95"/>
      <c r="E133" s="149"/>
      <c r="F133" s="149"/>
      <c r="G133" s="95"/>
      <c r="H133" s="149"/>
      <c r="I133" s="95"/>
      <c r="J133" s="95"/>
      <c r="K133" s="99"/>
      <c r="L133" s="99"/>
      <c r="M133" s="100"/>
      <c r="N133" s="127"/>
      <c r="O133" s="128"/>
      <c r="P133" s="95"/>
      <c r="Q133" s="95"/>
      <c r="R133" s="129"/>
      <c r="S133" s="95"/>
      <c r="T133" s="95"/>
      <c r="V133" s="107"/>
    </row>
    <row r="134" ht="15.75" customHeight="1">
      <c r="A134" s="89"/>
      <c r="B134" s="182"/>
      <c r="C134" s="149"/>
      <c r="D134" s="95"/>
      <c r="E134" s="149"/>
      <c r="F134" s="149"/>
      <c r="G134" s="95"/>
      <c r="H134" s="149"/>
      <c r="I134" s="95"/>
      <c r="J134" s="95"/>
      <c r="K134" s="113"/>
      <c r="L134" s="113"/>
      <c r="M134" s="100"/>
      <c r="N134" s="127"/>
      <c r="O134" s="128"/>
      <c r="P134" s="95"/>
      <c r="Q134" s="95"/>
      <c r="R134" s="129"/>
      <c r="S134" s="95"/>
      <c r="T134" s="95"/>
      <c r="V134" s="107"/>
    </row>
    <row r="135" ht="15.75" customHeight="1">
      <c r="A135" s="89"/>
      <c r="B135" s="182"/>
      <c r="C135" s="149"/>
      <c r="D135" s="95"/>
      <c r="E135" s="149"/>
      <c r="F135" s="149"/>
      <c r="G135" s="95"/>
      <c r="H135" s="149"/>
      <c r="I135" s="95"/>
      <c r="J135" s="95"/>
      <c r="K135" s="99"/>
      <c r="L135" s="99"/>
      <c r="M135" s="100"/>
      <c r="N135" s="127"/>
      <c r="O135" s="128"/>
      <c r="P135" s="95"/>
      <c r="Q135" s="137"/>
      <c r="R135" s="129"/>
      <c r="S135" s="95"/>
      <c r="T135" s="95"/>
      <c r="V135" s="107"/>
    </row>
    <row r="136" ht="15.75" customHeight="1">
      <c r="A136" s="89"/>
      <c r="B136" s="182"/>
      <c r="C136" s="107"/>
      <c r="D136" s="95"/>
      <c r="E136" s="149"/>
      <c r="F136" s="149"/>
      <c r="G136" s="95"/>
      <c r="H136" s="149"/>
      <c r="I136" s="95"/>
      <c r="J136" s="95"/>
      <c r="K136" s="113"/>
      <c r="L136" s="113"/>
      <c r="M136" s="100"/>
      <c r="N136" s="127"/>
      <c r="O136" s="128"/>
      <c r="P136" s="95"/>
      <c r="Q136" s="95"/>
      <c r="R136" s="129"/>
      <c r="S136" s="95"/>
      <c r="T136" s="95"/>
      <c r="V136" s="107"/>
    </row>
    <row r="137" ht="15.75" customHeight="1">
      <c r="A137" s="89"/>
      <c r="B137" s="182"/>
      <c r="C137" s="107"/>
      <c r="D137" s="95"/>
      <c r="E137" s="149"/>
      <c r="F137" s="149"/>
      <c r="G137" s="95"/>
      <c r="H137" s="149"/>
      <c r="I137" s="95"/>
      <c r="J137" s="95"/>
      <c r="K137" s="99"/>
      <c r="L137" s="99"/>
      <c r="M137" s="100"/>
      <c r="N137" s="127"/>
      <c r="O137" s="128"/>
      <c r="P137" s="95"/>
      <c r="Q137" s="137"/>
      <c r="R137" s="129"/>
      <c r="S137" s="95"/>
      <c r="T137" s="95"/>
      <c r="V137" s="107"/>
    </row>
    <row r="138" ht="15.75" customHeight="1">
      <c r="A138" s="89"/>
      <c r="B138" s="182"/>
      <c r="C138" s="107"/>
      <c r="D138" s="95"/>
      <c r="E138" s="149"/>
      <c r="F138" s="149"/>
      <c r="G138" s="95"/>
      <c r="H138" s="149"/>
      <c r="I138" s="95"/>
      <c r="J138" s="95"/>
      <c r="K138" s="113"/>
      <c r="L138" s="113"/>
      <c r="M138" s="100"/>
      <c r="N138" s="127"/>
      <c r="O138" s="128"/>
      <c r="P138" s="95"/>
      <c r="Q138" s="137"/>
      <c r="R138" s="129"/>
      <c r="S138" s="95"/>
      <c r="T138" s="95"/>
      <c r="V138" s="107"/>
    </row>
    <row r="139" ht="15.75" customHeight="1">
      <c r="A139" s="89"/>
      <c r="B139" s="182"/>
      <c r="C139" s="149"/>
      <c r="D139" s="95"/>
      <c r="E139" s="149"/>
      <c r="F139" s="149"/>
      <c r="G139" s="95"/>
      <c r="H139" s="149"/>
      <c r="I139" s="95"/>
      <c r="J139" s="95"/>
      <c r="K139" s="99"/>
      <c r="L139" s="99"/>
      <c r="M139" s="100"/>
      <c r="N139" s="127"/>
      <c r="O139" s="128"/>
      <c r="P139" s="95"/>
      <c r="Q139" s="137"/>
      <c r="R139" s="129"/>
      <c r="S139" s="95"/>
      <c r="T139" s="95"/>
      <c r="V139" s="107"/>
    </row>
    <row r="140" ht="15.75" customHeight="1">
      <c r="A140" s="89"/>
      <c r="B140" s="182"/>
      <c r="C140" s="149"/>
      <c r="D140" s="95"/>
      <c r="E140" s="149"/>
      <c r="F140" s="149"/>
      <c r="G140" s="95"/>
      <c r="H140" s="149"/>
      <c r="I140" s="95"/>
      <c r="J140" s="95"/>
      <c r="K140" s="113"/>
      <c r="L140" s="113"/>
      <c r="M140" s="100"/>
      <c r="N140" s="127"/>
      <c r="O140" s="128"/>
      <c r="P140" s="95"/>
      <c r="Q140" s="95"/>
      <c r="R140" s="129"/>
      <c r="S140" s="95"/>
      <c r="T140" s="95"/>
      <c r="V140" s="107"/>
    </row>
    <row r="141" ht="15.75" customHeight="1">
      <c r="A141" s="89"/>
      <c r="B141" s="182"/>
      <c r="C141" s="149"/>
      <c r="D141" s="95"/>
      <c r="E141" s="149"/>
      <c r="F141" s="149"/>
      <c r="G141" s="95"/>
      <c r="H141" s="149"/>
      <c r="I141" s="95"/>
      <c r="J141" s="95"/>
      <c r="K141" s="99"/>
      <c r="L141" s="99"/>
      <c r="M141" s="100"/>
      <c r="N141" s="127"/>
      <c r="O141" s="128"/>
      <c r="P141" s="95"/>
      <c r="Q141" s="137"/>
      <c r="R141" s="129"/>
      <c r="S141" s="95"/>
      <c r="T141" s="95"/>
      <c r="V141" s="107"/>
    </row>
    <row r="142" ht="15.75" customHeight="1">
      <c r="A142" s="89"/>
      <c r="B142" s="182"/>
      <c r="C142" s="149"/>
      <c r="D142" s="95"/>
      <c r="E142" s="149"/>
      <c r="F142" s="149"/>
      <c r="G142" s="95"/>
      <c r="H142" s="149"/>
      <c r="I142" s="95"/>
      <c r="J142" s="95"/>
      <c r="K142" s="113"/>
      <c r="L142" s="113"/>
      <c r="M142" s="100"/>
      <c r="N142" s="127"/>
      <c r="O142" s="128"/>
      <c r="P142" s="95"/>
      <c r="Q142" s="95"/>
      <c r="R142" s="129"/>
      <c r="S142" s="95"/>
      <c r="T142" s="95"/>
      <c r="V142" s="107"/>
    </row>
    <row r="143" ht="15.75" customHeight="1">
      <c r="A143" s="89"/>
      <c r="B143" s="182"/>
      <c r="C143" s="149"/>
      <c r="D143" s="95"/>
      <c r="E143" s="149"/>
      <c r="F143" s="183"/>
      <c r="G143" s="95"/>
      <c r="H143" s="149"/>
      <c r="I143" s="95"/>
      <c r="J143" s="95"/>
      <c r="K143" s="99"/>
      <c r="L143" s="99"/>
      <c r="M143" s="100"/>
      <c r="N143" s="127"/>
      <c r="O143" s="128"/>
      <c r="P143" s="95"/>
      <c r="Q143" s="137"/>
      <c r="R143" s="129"/>
      <c r="S143" s="95"/>
      <c r="T143" s="95"/>
      <c r="V143" s="107"/>
    </row>
    <row r="144" ht="15.75" customHeight="1">
      <c r="A144" s="89"/>
      <c r="B144" s="182"/>
      <c r="C144" s="107"/>
      <c r="D144" s="95"/>
      <c r="E144" s="149"/>
      <c r="F144" s="149"/>
      <c r="G144" s="95"/>
      <c r="H144" s="149"/>
      <c r="I144" s="95"/>
      <c r="J144" s="95"/>
      <c r="K144" s="113"/>
      <c r="L144" s="113"/>
      <c r="M144" s="100"/>
      <c r="N144" s="127"/>
      <c r="O144" s="128"/>
      <c r="P144" s="95"/>
      <c r="Q144" s="95"/>
      <c r="R144" s="129"/>
      <c r="S144" s="95"/>
      <c r="T144" s="95"/>
      <c r="V144" s="107"/>
    </row>
    <row r="145" ht="15.75" customHeight="1">
      <c r="A145" s="89"/>
      <c r="B145" s="182"/>
      <c r="C145" s="107"/>
      <c r="D145" s="95"/>
      <c r="E145" s="149"/>
      <c r="F145" s="149"/>
      <c r="G145" s="95"/>
      <c r="H145" s="149"/>
      <c r="I145" s="95"/>
      <c r="J145" s="95"/>
      <c r="K145" s="99"/>
      <c r="L145" s="99"/>
      <c r="M145" s="100"/>
      <c r="N145" s="127"/>
      <c r="O145" s="128"/>
      <c r="P145" s="95"/>
      <c r="Q145" s="137"/>
      <c r="R145" s="129"/>
      <c r="S145" s="95"/>
      <c r="T145" s="95"/>
      <c r="V145" s="107"/>
    </row>
    <row r="146" ht="15.75" customHeight="1">
      <c r="A146" s="89"/>
      <c r="B146" s="182"/>
      <c r="C146" s="149"/>
      <c r="D146" s="95"/>
      <c r="E146" s="149"/>
      <c r="F146" s="149"/>
      <c r="G146" s="95"/>
      <c r="H146" s="149"/>
      <c r="I146" s="95"/>
      <c r="J146" s="95"/>
      <c r="K146" s="113"/>
      <c r="L146" s="113"/>
      <c r="M146" s="100"/>
      <c r="N146" s="127"/>
      <c r="O146" s="128"/>
      <c r="P146" s="95"/>
      <c r="Q146" s="137"/>
      <c r="R146" s="129"/>
      <c r="S146" s="95"/>
      <c r="T146" s="95"/>
      <c r="V146" s="107"/>
    </row>
    <row r="147" ht="15.75" customHeight="1">
      <c r="A147" s="89"/>
      <c r="B147" s="182"/>
      <c r="C147" s="149"/>
      <c r="D147" s="95"/>
      <c r="E147" s="149"/>
      <c r="F147" s="149"/>
      <c r="G147" s="95"/>
      <c r="H147" s="149"/>
      <c r="I147" s="95"/>
      <c r="J147" s="95"/>
      <c r="K147" s="99"/>
      <c r="L147" s="99"/>
      <c r="M147" s="100"/>
      <c r="N147" s="127"/>
      <c r="O147" s="128"/>
      <c r="P147" s="95"/>
      <c r="Q147" s="137"/>
      <c r="R147" s="129"/>
      <c r="S147" s="95"/>
      <c r="T147" s="95"/>
      <c r="V147" s="107"/>
    </row>
    <row r="148" ht="15.75" customHeight="1">
      <c r="A148" s="89"/>
      <c r="B148" s="182"/>
      <c r="C148" s="149"/>
      <c r="D148" s="95"/>
      <c r="E148" s="149"/>
      <c r="F148" s="149"/>
      <c r="G148" s="95"/>
      <c r="H148" s="149"/>
      <c r="I148" s="95"/>
      <c r="J148" s="95"/>
      <c r="K148" s="113"/>
      <c r="L148" s="113"/>
      <c r="M148" s="100"/>
      <c r="N148" s="127"/>
      <c r="O148" s="128"/>
      <c r="P148" s="95"/>
      <c r="Q148" s="137"/>
      <c r="R148" s="129"/>
      <c r="S148" s="95"/>
      <c r="T148" s="95"/>
      <c r="V148" s="107"/>
    </row>
    <row r="149" ht="15.75" customHeight="1">
      <c r="A149" s="89"/>
      <c r="B149" s="182"/>
      <c r="C149" s="149"/>
      <c r="D149" s="95"/>
      <c r="E149" s="149"/>
      <c r="F149" s="149"/>
      <c r="G149" s="95"/>
      <c r="H149" s="149"/>
      <c r="I149" s="95"/>
      <c r="J149" s="95"/>
      <c r="K149" s="99"/>
      <c r="L149" s="99"/>
      <c r="M149" s="100"/>
      <c r="N149" s="127"/>
      <c r="O149" s="128"/>
      <c r="P149" s="95"/>
      <c r="Q149" s="137"/>
      <c r="R149" s="129"/>
      <c r="S149" s="95"/>
      <c r="T149" s="95"/>
      <c r="V149" s="107"/>
    </row>
    <row r="150" ht="15.75" customHeight="1">
      <c r="A150" s="89"/>
      <c r="B150" s="182"/>
      <c r="C150" s="149"/>
      <c r="D150" s="95"/>
      <c r="E150" s="149"/>
      <c r="F150" s="149"/>
      <c r="G150" s="95"/>
      <c r="H150" s="149"/>
      <c r="I150" s="95"/>
      <c r="J150" s="95"/>
      <c r="K150" s="113"/>
      <c r="L150" s="113"/>
      <c r="M150" s="100"/>
      <c r="N150" s="127"/>
      <c r="O150" s="128"/>
      <c r="P150" s="95"/>
      <c r="Q150" s="137"/>
      <c r="R150" s="129"/>
      <c r="S150" s="95"/>
      <c r="T150" s="95"/>
      <c r="V150" s="107"/>
    </row>
    <row r="151" ht="15.75" customHeight="1">
      <c r="A151" s="89"/>
      <c r="B151" s="182"/>
      <c r="C151" s="107"/>
      <c r="D151" s="95"/>
      <c r="E151" s="149"/>
      <c r="F151" s="149"/>
      <c r="G151" s="95"/>
      <c r="H151" s="149"/>
      <c r="I151" s="95"/>
      <c r="J151" s="95"/>
      <c r="K151" s="99"/>
      <c r="L151" s="99"/>
      <c r="M151" s="100"/>
      <c r="N151" s="127"/>
      <c r="O151" s="128"/>
      <c r="P151" s="95"/>
      <c r="Q151" s="137"/>
      <c r="R151" s="129"/>
      <c r="S151" s="95"/>
      <c r="T151" s="95"/>
      <c r="V151" s="107"/>
    </row>
    <row r="152" ht="15.75" customHeight="1">
      <c r="A152" s="89"/>
      <c r="B152" s="182"/>
      <c r="C152" s="149"/>
      <c r="D152" s="95"/>
      <c r="E152" s="149"/>
      <c r="F152" s="149"/>
      <c r="G152" s="95"/>
      <c r="H152" s="149"/>
      <c r="I152" s="95"/>
      <c r="J152" s="95"/>
      <c r="K152" s="113"/>
      <c r="L152" s="113"/>
      <c r="M152" s="100"/>
      <c r="N152" s="127"/>
      <c r="O152" s="128"/>
      <c r="P152" s="95"/>
      <c r="Q152" s="137"/>
      <c r="R152" s="129"/>
      <c r="S152" s="95"/>
      <c r="T152" s="95"/>
      <c r="V152" s="107"/>
    </row>
    <row r="153" ht="15.75" customHeight="1">
      <c r="A153" s="89"/>
      <c r="B153" s="182"/>
      <c r="C153" s="149"/>
      <c r="D153" s="95"/>
      <c r="E153" s="149"/>
      <c r="F153" s="149"/>
      <c r="G153" s="95"/>
      <c r="H153" s="149"/>
      <c r="I153" s="95"/>
      <c r="J153" s="95"/>
      <c r="K153" s="99"/>
      <c r="L153" s="99"/>
      <c r="M153" s="100"/>
      <c r="N153" s="127"/>
      <c r="O153" s="128"/>
      <c r="P153" s="95"/>
      <c r="Q153" s="137"/>
      <c r="R153" s="129"/>
      <c r="S153" s="95"/>
      <c r="T153" s="95"/>
      <c r="V153" s="107"/>
    </row>
    <row r="154" ht="15.75" customHeight="1">
      <c r="A154" s="89"/>
      <c r="B154" s="182"/>
      <c r="C154" s="149"/>
      <c r="D154" s="95"/>
      <c r="E154" s="149"/>
      <c r="F154" s="149"/>
      <c r="G154" s="95"/>
      <c r="H154" s="149"/>
      <c r="I154" s="95"/>
      <c r="J154" s="95"/>
      <c r="K154" s="113"/>
      <c r="L154" s="113"/>
      <c r="M154" s="100"/>
      <c r="N154" s="127"/>
      <c r="O154" s="128"/>
      <c r="P154" s="95"/>
      <c r="Q154" s="137"/>
      <c r="R154" s="129"/>
      <c r="S154" s="95"/>
      <c r="T154" s="95"/>
      <c r="V154" s="107"/>
    </row>
    <row r="155" ht="15.75" customHeight="1">
      <c r="A155" s="89"/>
      <c r="B155" s="182"/>
      <c r="C155" s="149"/>
      <c r="D155" s="95"/>
      <c r="E155" s="149"/>
      <c r="F155" s="149"/>
      <c r="G155" s="95"/>
      <c r="H155" s="149"/>
      <c r="I155" s="95"/>
      <c r="J155" s="95"/>
      <c r="K155" s="99"/>
      <c r="L155" s="99"/>
      <c r="M155" s="100"/>
      <c r="N155" s="127"/>
      <c r="O155" s="128"/>
      <c r="P155" s="95"/>
      <c r="Q155" s="137"/>
      <c r="R155" s="129"/>
      <c r="S155" s="95"/>
      <c r="T155" s="95"/>
      <c r="V155" s="107"/>
    </row>
    <row r="156" ht="15.75" customHeight="1">
      <c r="A156" s="89"/>
      <c r="B156" s="182"/>
      <c r="C156" s="149"/>
      <c r="D156" s="95"/>
      <c r="E156" s="149"/>
      <c r="F156" s="149"/>
      <c r="G156" s="95"/>
      <c r="H156" s="149"/>
      <c r="I156" s="95"/>
      <c r="J156" s="95"/>
      <c r="K156" s="113"/>
      <c r="L156" s="113"/>
      <c r="M156" s="100"/>
      <c r="N156" s="127"/>
      <c r="O156" s="128"/>
      <c r="P156" s="95"/>
      <c r="Q156" s="137"/>
      <c r="R156" s="129"/>
      <c r="S156" s="95"/>
      <c r="T156" s="95"/>
      <c r="V156" s="107"/>
    </row>
    <row r="157" ht="15.75" customHeight="1">
      <c r="A157" s="89"/>
      <c r="B157" s="182"/>
      <c r="C157" s="107"/>
      <c r="D157" s="95"/>
      <c r="E157" s="149"/>
      <c r="F157" s="149"/>
      <c r="G157" s="95"/>
      <c r="H157" s="149"/>
      <c r="I157" s="95"/>
      <c r="J157" s="95"/>
      <c r="K157" s="99"/>
      <c r="L157" s="99"/>
      <c r="M157" s="100"/>
      <c r="N157" s="127"/>
      <c r="O157" s="128"/>
      <c r="P157" s="95"/>
      <c r="Q157" s="137"/>
      <c r="R157" s="129"/>
      <c r="S157" s="95"/>
      <c r="T157" s="95"/>
      <c r="V157" s="107"/>
    </row>
    <row r="158" ht="15.75" customHeight="1">
      <c r="A158" s="89"/>
      <c r="B158" s="182"/>
      <c r="C158" s="149"/>
      <c r="D158" s="95"/>
      <c r="E158" s="149"/>
      <c r="F158" s="149"/>
      <c r="G158" s="95"/>
      <c r="H158" s="149"/>
      <c r="I158" s="95"/>
      <c r="J158" s="95"/>
      <c r="K158" s="113"/>
      <c r="L158" s="113"/>
      <c r="M158" s="100"/>
      <c r="N158" s="127"/>
      <c r="O158" s="128"/>
      <c r="P158" s="95"/>
      <c r="Q158" s="137"/>
      <c r="R158" s="129"/>
      <c r="S158" s="95"/>
      <c r="T158" s="95"/>
      <c r="V158" s="107"/>
    </row>
    <row r="159" ht="15.75" customHeight="1">
      <c r="A159" s="89"/>
      <c r="B159" s="182"/>
      <c r="C159" s="149"/>
      <c r="D159" s="95"/>
      <c r="E159" s="149"/>
      <c r="F159" s="149"/>
      <c r="G159" s="95"/>
      <c r="H159" s="149"/>
      <c r="I159" s="95"/>
      <c r="J159" s="95"/>
      <c r="K159" s="99"/>
      <c r="L159" s="99"/>
      <c r="M159" s="100"/>
      <c r="N159" s="127"/>
      <c r="O159" s="128"/>
      <c r="P159" s="95"/>
      <c r="Q159" s="137"/>
      <c r="R159" s="129"/>
      <c r="S159" s="95"/>
      <c r="T159" s="95"/>
      <c r="V159" s="107"/>
    </row>
    <row r="160" ht="15.75" customHeight="1">
      <c r="A160" s="89"/>
      <c r="B160" s="182"/>
      <c r="C160" s="149"/>
      <c r="D160" s="95"/>
      <c r="E160" s="149"/>
      <c r="F160" s="149"/>
      <c r="G160" s="95"/>
      <c r="H160" s="149"/>
      <c r="I160" s="95"/>
      <c r="J160" s="95"/>
      <c r="K160" s="113"/>
      <c r="L160" s="113"/>
      <c r="M160" s="100"/>
      <c r="N160" s="127"/>
      <c r="O160" s="128"/>
      <c r="P160" s="95"/>
      <c r="Q160" s="137"/>
      <c r="R160" s="129"/>
      <c r="S160" s="95"/>
      <c r="T160" s="95"/>
      <c r="V160" s="107"/>
    </row>
    <row r="161" ht="15.75" customHeight="1">
      <c r="A161" s="89"/>
      <c r="B161" s="182"/>
      <c r="C161" s="149"/>
      <c r="D161" s="95"/>
      <c r="E161" s="149"/>
      <c r="F161" s="149"/>
      <c r="G161" s="95"/>
      <c r="H161" s="149"/>
      <c r="I161" s="95"/>
      <c r="J161" s="95"/>
      <c r="K161" s="99"/>
      <c r="L161" s="99"/>
      <c r="M161" s="100"/>
      <c r="N161" s="127"/>
      <c r="O161" s="128"/>
      <c r="P161" s="95"/>
      <c r="Q161" s="137"/>
      <c r="R161" s="129"/>
      <c r="S161" s="95"/>
      <c r="T161" s="95"/>
      <c r="V161" s="107"/>
    </row>
    <row r="162" ht="15.75" customHeight="1">
      <c r="A162" s="89"/>
      <c r="B162" s="182"/>
      <c r="C162" s="149"/>
      <c r="D162" s="95"/>
      <c r="E162" s="149"/>
      <c r="F162" s="149"/>
      <c r="G162" s="95"/>
      <c r="H162" s="149"/>
      <c r="I162" s="95"/>
      <c r="J162" s="95"/>
      <c r="K162" s="113"/>
      <c r="L162" s="113"/>
      <c r="M162" s="100"/>
      <c r="N162" s="127"/>
      <c r="O162" s="128"/>
      <c r="P162" s="95"/>
      <c r="Q162" s="137"/>
      <c r="R162" s="129"/>
      <c r="S162" s="95"/>
      <c r="T162" s="95"/>
      <c r="V162" s="107"/>
    </row>
    <row r="163" ht="15.75" customHeight="1">
      <c r="A163" s="89"/>
      <c r="B163" s="182"/>
      <c r="C163" s="107"/>
      <c r="D163" s="95"/>
      <c r="E163" s="149"/>
      <c r="F163" s="149"/>
      <c r="G163" s="95"/>
      <c r="H163" s="149"/>
      <c r="I163" s="95"/>
      <c r="J163" s="95"/>
      <c r="K163" s="99"/>
      <c r="L163" s="99"/>
      <c r="M163" s="100"/>
      <c r="N163" s="127"/>
      <c r="O163" s="128"/>
      <c r="P163" s="95"/>
      <c r="Q163" s="137"/>
      <c r="R163" s="129"/>
      <c r="S163" s="95"/>
      <c r="T163" s="95"/>
      <c r="V163" s="107"/>
    </row>
    <row r="164" ht="15.75" customHeight="1">
      <c r="A164" s="89"/>
      <c r="B164" s="182"/>
      <c r="C164" s="149"/>
      <c r="D164" s="95"/>
      <c r="E164" s="149"/>
      <c r="F164" s="149"/>
      <c r="G164" s="95"/>
      <c r="H164" s="149"/>
      <c r="I164" s="95"/>
      <c r="J164" s="95"/>
      <c r="K164" s="113"/>
      <c r="L164" s="113"/>
      <c r="M164" s="100"/>
      <c r="N164" s="127"/>
      <c r="O164" s="128"/>
      <c r="P164" s="95"/>
      <c r="Q164" s="137"/>
      <c r="R164" s="129"/>
      <c r="S164" s="95"/>
      <c r="T164" s="95"/>
      <c r="V164" s="107"/>
    </row>
    <row r="165" ht="15.75" customHeight="1">
      <c r="A165" s="89"/>
      <c r="B165" s="182"/>
      <c r="C165" s="149"/>
      <c r="D165" s="95"/>
      <c r="E165" s="149"/>
      <c r="F165" s="149"/>
      <c r="G165" s="95"/>
      <c r="H165" s="149"/>
      <c r="I165" s="95"/>
      <c r="J165" s="95"/>
      <c r="K165" s="99"/>
      <c r="L165" s="99"/>
      <c r="M165" s="100"/>
      <c r="N165" s="127"/>
      <c r="O165" s="128"/>
      <c r="P165" s="95"/>
      <c r="Q165" s="137"/>
      <c r="R165" s="129"/>
      <c r="S165" s="95"/>
      <c r="T165" s="95"/>
      <c r="V165" s="107"/>
    </row>
    <row r="166" ht="15.75" customHeight="1">
      <c r="A166" s="89"/>
      <c r="B166" s="182"/>
      <c r="C166" s="149"/>
      <c r="D166" s="95"/>
      <c r="E166" s="149"/>
      <c r="F166" s="149"/>
      <c r="G166" s="95"/>
      <c r="H166" s="149"/>
      <c r="I166" s="95"/>
      <c r="J166" s="95"/>
      <c r="K166" s="113"/>
      <c r="L166" s="113"/>
      <c r="M166" s="100"/>
      <c r="N166" s="127"/>
      <c r="O166" s="128"/>
      <c r="P166" s="95"/>
      <c r="Q166" s="137"/>
      <c r="R166" s="129"/>
      <c r="S166" s="95"/>
      <c r="T166" s="95"/>
      <c r="V166" s="107"/>
    </row>
    <row r="167" ht="15.75" customHeight="1">
      <c r="A167" s="89"/>
      <c r="B167" s="182"/>
      <c r="C167" s="149"/>
      <c r="D167" s="95"/>
      <c r="E167" s="149"/>
      <c r="F167" s="149"/>
      <c r="G167" s="95"/>
      <c r="H167" s="149"/>
      <c r="I167" s="95"/>
      <c r="J167" s="95"/>
      <c r="K167" s="99"/>
      <c r="L167" s="99"/>
      <c r="M167" s="100"/>
      <c r="N167" s="127"/>
      <c r="O167" s="128"/>
      <c r="P167" s="95"/>
      <c r="Q167" s="137"/>
      <c r="R167" s="129"/>
      <c r="S167" s="95"/>
      <c r="T167" s="95"/>
      <c r="V167" s="107"/>
    </row>
    <row r="168" ht="15.75" customHeight="1">
      <c r="A168" s="89"/>
      <c r="B168" s="182"/>
      <c r="C168" s="149"/>
      <c r="D168" s="95"/>
      <c r="E168" s="149"/>
      <c r="F168" s="149"/>
      <c r="G168" s="95"/>
      <c r="H168" s="149"/>
      <c r="I168" s="95"/>
      <c r="J168" s="95"/>
      <c r="K168" s="113"/>
      <c r="L168" s="113"/>
      <c r="M168" s="100"/>
      <c r="N168" s="127"/>
      <c r="O168" s="128"/>
      <c r="P168" s="95"/>
      <c r="Q168" s="137"/>
      <c r="R168" s="129"/>
      <c r="S168" s="95"/>
      <c r="T168" s="95"/>
      <c r="V168" s="107"/>
    </row>
    <row r="169" ht="15.75" customHeight="1">
      <c r="A169" s="89"/>
      <c r="B169" s="182"/>
      <c r="C169" s="107"/>
      <c r="D169" s="95"/>
      <c r="E169" s="149"/>
      <c r="F169" s="149"/>
      <c r="G169" s="95"/>
      <c r="H169" s="149"/>
      <c r="I169" s="95"/>
      <c r="J169" s="95"/>
      <c r="K169" s="99"/>
      <c r="L169" s="99"/>
      <c r="M169" s="100"/>
      <c r="N169" s="127"/>
      <c r="O169" s="128"/>
      <c r="P169" s="95"/>
      <c r="Q169" s="137"/>
      <c r="R169" s="129"/>
      <c r="S169" s="95"/>
      <c r="T169" s="95"/>
      <c r="V169" s="107"/>
    </row>
    <row r="170" ht="15.75" customHeight="1">
      <c r="A170" s="89"/>
      <c r="B170" s="182"/>
      <c r="C170" s="149"/>
      <c r="D170" s="95"/>
      <c r="E170" s="149"/>
      <c r="F170" s="149"/>
      <c r="G170" s="95"/>
      <c r="H170" s="149"/>
      <c r="I170" s="95"/>
      <c r="J170" s="95"/>
      <c r="K170" s="113"/>
      <c r="L170" s="113"/>
      <c r="M170" s="100"/>
      <c r="N170" s="127"/>
      <c r="O170" s="128"/>
      <c r="P170" s="95"/>
      <c r="Q170" s="137"/>
      <c r="R170" s="129"/>
      <c r="S170" s="95"/>
      <c r="T170" s="95"/>
      <c r="V170" s="107"/>
    </row>
    <row r="171" ht="15.75" customHeight="1">
      <c r="A171" s="89"/>
      <c r="B171" s="182"/>
      <c r="C171" s="149"/>
      <c r="D171" s="95"/>
      <c r="E171" s="149"/>
      <c r="F171" s="149"/>
      <c r="G171" s="95"/>
      <c r="H171" s="149"/>
      <c r="I171" s="95"/>
      <c r="J171" s="95"/>
      <c r="K171" s="99"/>
      <c r="L171" s="99"/>
      <c r="M171" s="100"/>
      <c r="N171" s="127"/>
      <c r="O171" s="128"/>
      <c r="P171" s="95"/>
      <c r="Q171" s="137"/>
      <c r="R171" s="129"/>
      <c r="S171" s="95"/>
      <c r="T171" s="95"/>
      <c r="V171" s="107"/>
    </row>
    <row r="172" ht="15.75" customHeight="1">
      <c r="A172" s="89"/>
      <c r="B172" s="182"/>
      <c r="C172" s="149"/>
      <c r="D172" s="95"/>
      <c r="E172" s="149"/>
      <c r="F172" s="149"/>
      <c r="G172" s="95"/>
      <c r="H172" s="149"/>
      <c r="I172" s="95"/>
      <c r="J172" s="95"/>
      <c r="K172" s="113"/>
      <c r="L172" s="113"/>
      <c r="M172" s="100"/>
      <c r="N172" s="127"/>
      <c r="O172" s="128"/>
      <c r="P172" s="95"/>
      <c r="Q172" s="137"/>
      <c r="R172" s="129"/>
      <c r="S172" s="95"/>
      <c r="T172" s="95"/>
      <c r="V172" s="107"/>
    </row>
    <row r="173" ht="15.75" customHeight="1">
      <c r="A173" s="89"/>
      <c r="B173" s="182"/>
      <c r="C173" s="149"/>
      <c r="D173" s="95"/>
      <c r="E173" s="149"/>
      <c r="F173" s="149"/>
      <c r="G173" s="95"/>
      <c r="H173" s="149"/>
      <c r="I173" s="95"/>
      <c r="J173" s="95"/>
      <c r="K173" s="99"/>
      <c r="L173" s="99"/>
      <c r="M173" s="100"/>
      <c r="N173" s="127"/>
      <c r="O173" s="128"/>
      <c r="P173" s="95"/>
      <c r="Q173" s="137"/>
      <c r="R173" s="129"/>
      <c r="S173" s="95"/>
      <c r="T173" s="95"/>
      <c r="V173" s="107"/>
    </row>
    <row r="174" ht="15.75" customHeight="1">
      <c r="A174" s="89"/>
      <c r="B174" s="182"/>
      <c r="C174" s="149"/>
      <c r="D174" s="95"/>
      <c r="E174" s="149"/>
      <c r="F174" s="149"/>
      <c r="G174" s="95"/>
      <c r="H174" s="149"/>
      <c r="I174" s="95"/>
      <c r="J174" s="95"/>
      <c r="K174" s="113"/>
      <c r="L174" s="113"/>
      <c r="M174" s="100"/>
      <c r="N174" s="127"/>
      <c r="O174" s="128"/>
      <c r="P174" s="95"/>
      <c r="Q174" s="137"/>
      <c r="R174" s="129"/>
      <c r="S174" s="95"/>
      <c r="T174" s="95"/>
      <c r="V174" s="107"/>
    </row>
    <row r="175" ht="15.75" customHeight="1">
      <c r="A175" s="89"/>
      <c r="B175" s="182"/>
      <c r="C175" s="107"/>
      <c r="D175" s="95"/>
      <c r="E175" s="149"/>
      <c r="F175" s="149"/>
      <c r="G175" s="95"/>
      <c r="H175" s="149"/>
      <c r="I175" s="95"/>
      <c r="J175" s="95"/>
      <c r="K175" s="99"/>
      <c r="L175" s="99"/>
      <c r="M175" s="100"/>
      <c r="N175" s="127"/>
      <c r="O175" s="128"/>
      <c r="P175" s="95"/>
      <c r="Q175" s="137"/>
      <c r="R175" s="129"/>
      <c r="S175" s="95"/>
      <c r="T175" s="95"/>
      <c r="V175" s="107"/>
    </row>
    <row r="176" ht="15.75" customHeight="1">
      <c r="A176" s="89"/>
      <c r="B176" s="182"/>
      <c r="C176" s="149"/>
      <c r="D176" s="95"/>
      <c r="E176" s="149"/>
      <c r="F176" s="149"/>
      <c r="G176" s="95"/>
      <c r="H176" s="149"/>
      <c r="I176" s="95"/>
      <c r="J176" s="95"/>
      <c r="K176" s="113"/>
      <c r="L176" s="113"/>
      <c r="M176" s="100"/>
      <c r="N176" s="127"/>
      <c r="O176" s="128"/>
      <c r="P176" s="95"/>
      <c r="Q176" s="137"/>
      <c r="R176" s="129"/>
      <c r="S176" s="95"/>
      <c r="T176" s="95"/>
      <c r="V176" s="107"/>
    </row>
    <row r="177" ht="15.75" customHeight="1">
      <c r="A177" s="89"/>
      <c r="B177" s="182"/>
      <c r="C177" s="149"/>
      <c r="D177" s="95"/>
      <c r="E177" s="149"/>
      <c r="F177" s="149"/>
      <c r="G177" s="95"/>
      <c r="H177" s="149"/>
      <c r="I177" s="95"/>
      <c r="J177" s="95"/>
      <c r="K177" s="99"/>
      <c r="L177" s="99"/>
      <c r="M177" s="100"/>
      <c r="N177" s="127"/>
      <c r="O177" s="128"/>
      <c r="P177" s="95"/>
      <c r="Q177" s="137"/>
      <c r="R177" s="129"/>
      <c r="S177" s="95"/>
      <c r="T177" s="95"/>
      <c r="V177" s="107"/>
    </row>
    <row r="178" ht="15.75" customHeight="1">
      <c r="A178" s="89"/>
      <c r="B178" s="182"/>
      <c r="C178" s="149"/>
      <c r="D178" s="95"/>
      <c r="E178" s="149"/>
      <c r="F178" s="149"/>
      <c r="G178" s="95"/>
      <c r="H178" s="149"/>
      <c r="I178" s="95"/>
      <c r="J178" s="95"/>
      <c r="K178" s="113"/>
      <c r="L178" s="113"/>
      <c r="M178" s="100"/>
      <c r="N178" s="127"/>
      <c r="O178" s="128"/>
      <c r="P178" s="95"/>
      <c r="Q178" s="137"/>
      <c r="R178" s="129"/>
      <c r="S178" s="95"/>
      <c r="T178" s="95"/>
      <c r="V178" s="107"/>
    </row>
    <row r="179" ht="15.75" customHeight="1">
      <c r="A179" s="89"/>
      <c r="B179" s="182"/>
      <c r="C179" s="149"/>
      <c r="D179" s="95"/>
      <c r="E179" s="149"/>
      <c r="F179" s="149"/>
      <c r="G179" s="95"/>
      <c r="H179" s="149"/>
      <c r="I179" s="95"/>
      <c r="J179" s="95"/>
      <c r="K179" s="99"/>
      <c r="L179" s="99"/>
      <c r="M179" s="100"/>
      <c r="N179" s="127"/>
      <c r="O179" s="128"/>
      <c r="P179" s="95"/>
      <c r="Q179" s="137"/>
      <c r="R179" s="129"/>
      <c r="S179" s="95"/>
      <c r="T179" s="95"/>
      <c r="V179" s="107"/>
    </row>
    <row r="180" ht="15.75" customHeight="1">
      <c r="A180" s="89"/>
      <c r="B180" s="182"/>
      <c r="C180" s="149"/>
      <c r="D180" s="95"/>
      <c r="E180" s="149"/>
      <c r="F180" s="149"/>
      <c r="G180" s="95"/>
      <c r="H180" s="149"/>
      <c r="I180" s="95"/>
      <c r="J180" s="95"/>
      <c r="K180" s="113"/>
      <c r="L180" s="113"/>
      <c r="M180" s="100"/>
      <c r="N180" s="127"/>
      <c r="O180" s="128"/>
      <c r="P180" s="95"/>
      <c r="Q180" s="137"/>
      <c r="R180" s="129"/>
      <c r="S180" s="95"/>
      <c r="T180" s="95"/>
      <c r="V180" s="107"/>
    </row>
    <row r="181" ht="15.75" customHeight="1">
      <c r="A181" s="89"/>
      <c r="B181" s="182"/>
      <c r="C181" s="107"/>
      <c r="D181" s="95"/>
      <c r="E181" s="149"/>
      <c r="F181" s="149"/>
      <c r="G181" s="95"/>
      <c r="H181" s="149"/>
      <c r="I181" s="95"/>
      <c r="J181" s="95"/>
      <c r="K181" s="99"/>
      <c r="L181" s="99"/>
      <c r="M181" s="100"/>
      <c r="N181" s="127"/>
      <c r="O181" s="128"/>
      <c r="P181" s="95"/>
      <c r="Q181" s="137"/>
      <c r="R181" s="129"/>
      <c r="S181" s="95"/>
      <c r="T181" s="95"/>
      <c r="V181" s="107"/>
    </row>
    <row r="182" ht="15.75" customHeight="1">
      <c r="A182" s="89"/>
      <c r="B182" s="182"/>
      <c r="C182" s="149"/>
      <c r="D182" s="95"/>
      <c r="E182" s="149"/>
      <c r="F182" s="149"/>
      <c r="G182" s="95"/>
      <c r="H182" s="149"/>
      <c r="I182" s="95"/>
      <c r="J182" s="95"/>
      <c r="K182" s="113"/>
      <c r="L182" s="113"/>
      <c r="M182" s="100"/>
      <c r="N182" s="127"/>
      <c r="O182" s="128"/>
      <c r="P182" s="95"/>
      <c r="Q182" s="137"/>
      <c r="R182" s="129"/>
      <c r="S182" s="95"/>
      <c r="T182" s="95"/>
      <c r="V182" s="107"/>
    </row>
    <row r="183" ht="15.75" customHeight="1">
      <c r="A183" s="89"/>
      <c r="B183" s="182"/>
      <c r="C183" s="149"/>
      <c r="D183" s="95"/>
      <c r="E183" s="149"/>
      <c r="F183" s="149"/>
      <c r="G183" s="95"/>
      <c r="H183" s="149"/>
      <c r="I183" s="95"/>
      <c r="J183" s="95"/>
      <c r="K183" s="99"/>
      <c r="L183" s="99"/>
      <c r="M183" s="100"/>
      <c r="N183" s="127"/>
      <c r="O183" s="128"/>
      <c r="P183" s="95"/>
      <c r="Q183" s="137"/>
      <c r="R183" s="129"/>
      <c r="S183" s="95"/>
      <c r="T183" s="95"/>
      <c r="V183" s="107"/>
    </row>
    <row r="184" ht="15.75" customHeight="1">
      <c r="A184" s="89"/>
      <c r="B184" s="182"/>
      <c r="C184" s="149"/>
      <c r="D184" s="95"/>
      <c r="E184" s="149"/>
      <c r="F184" s="149"/>
      <c r="G184" s="95"/>
      <c r="H184" s="149"/>
      <c r="I184" s="95"/>
      <c r="J184" s="95"/>
      <c r="K184" s="113"/>
      <c r="L184" s="113"/>
      <c r="M184" s="100"/>
      <c r="N184" s="127"/>
      <c r="O184" s="128"/>
      <c r="P184" s="95"/>
      <c r="Q184" s="137"/>
      <c r="R184" s="129"/>
      <c r="S184" s="95"/>
      <c r="T184" s="95"/>
      <c r="V184" s="107"/>
    </row>
    <row r="185" ht="15.75" customHeight="1">
      <c r="A185" s="89"/>
      <c r="B185" s="182"/>
      <c r="C185" s="149"/>
      <c r="D185" s="95"/>
      <c r="E185" s="149"/>
      <c r="F185" s="149"/>
      <c r="G185" s="95"/>
      <c r="H185" s="149"/>
      <c r="I185" s="95"/>
      <c r="J185" s="95"/>
      <c r="K185" s="99"/>
      <c r="L185" s="99"/>
      <c r="M185" s="100"/>
      <c r="N185" s="127"/>
      <c r="O185" s="128"/>
      <c r="P185" s="95"/>
      <c r="Q185" s="137"/>
      <c r="R185" s="129"/>
      <c r="S185" s="95"/>
      <c r="T185" s="95"/>
      <c r="V185" s="107"/>
    </row>
    <row r="186" ht="15.75" customHeight="1">
      <c r="A186" s="89"/>
      <c r="B186" s="182"/>
      <c r="C186" s="149"/>
      <c r="D186" s="95"/>
      <c r="E186" s="149"/>
      <c r="F186" s="149"/>
      <c r="G186" s="95"/>
      <c r="H186" s="149"/>
      <c r="I186" s="95"/>
      <c r="J186" s="95"/>
      <c r="K186" s="113"/>
      <c r="L186" s="113"/>
      <c r="M186" s="100"/>
      <c r="N186" s="127"/>
      <c r="O186" s="128"/>
      <c r="P186" s="95"/>
      <c r="Q186" s="137"/>
      <c r="R186" s="129"/>
      <c r="S186" s="95"/>
      <c r="T186" s="95"/>
      <c r="V186" s="107"/>
    </row>
    <row r="187" ht="15.75" customHeight="1">
      <c r="A187" s="89"/>
      <c r="B187" s="182"/>
      <c r="C187" s="107"/>
      <c r="D187" s="95"/>
      <c r="E187" s="149"/>
      <c r="F187" s="149"/>
      <c r="G187" s="95"/>
      <c r="H187" s="149"/>
      <c r="I187" s="95"/>
      <c r="J187" s="95"/>
      <c r="K187" s="99"/>
      <c r="L187" s="99"/>
      <c r="M187" s="100"/>
      <c r="N187" s="127"/>
      <c r="O187" s="128"/>
      <c r="P187" s="95"/>
      <c r="Q187" s="137"/>
      <c r="R187" s="129"/>
      <c r="S187" s="95"/>
      <c r="T187" s="95"/>
      <c r="V187" s="107"/>
    </row>
    <row r="188" ht="15.75" customHeight="1">
      <c r="A188" s="89"/>
      <c r="B188" s="182"/>
      <c r="C188" s="149"/>
      <c r="D188" s="95"/>
      <c r="E188" s="149"/>
      <c r="F188" s="149"/>
      <c r="G188" s="95"/>
      <c r="H188" s="149"/>
      <c r="I188" s="95"/>
      <c r="J188" s="95"/>
      <c r="K188" s="113"/>
      <c r="L188" s="113"/>
      <c r="M188" s="100"/>
      <c r="N188" s="127"/>
      <c r="O188" s="128"/>
      <c r="P188" s="95"/>
      <c r="Q188" s="137"/>
      <c r="R188" s="129"/>
      <c r="S188" s="95"/>
      <c r="T188" s="95"/>
      <c r="V188" s="107"/>
    </row>
    <row r="189" ht="15.75" customHeight="1">
      <c r="A189" s="89"/>
      <c r="B189" s="182"/>
      <c r="C189" s="149"/>
      <c r="D189" s="95"/>
      <c r="E189" s="149"/>
      <c r="F189" s="149"/>
      <c r="G189" s="95"/>
      <c r="H189" s="149"/>
      <c r="I189" s="95"/>
      <c r="J189" s="95"/>
      <c r="K189" s="99"/>
      <c r="L189" s="99"/>
      <c r="M189" s="100"/>
      <c r="N189" s="127"/>
      <c r="O189" s="128"/>
      <c r="P189" s="95"/>
      <c r="Q189" s="137"/>
      <c r="R189" s="129"/>
      <c r="S189" s="95"/>
      <c r="T189" s="95"/>
      <c r="V189" s="107"/>
    </row>
    <row r="190" ht="15.75" customHeight="1">
      <c r="A190" s="89"/>
      <c r="B190" s="182"/>
      <c r="C190" s="149"/>
      <c r="D190" s="95"/>
      <c r="E190" s="149"/>
      <c r="F190" s="149"/>
      <c r="G190" s="95"/>
      <c r="H190" s="149"/>
      <c r="I190" s="95"/>
      <c r="J190" s="95"/>
      <c r="K190" s="113"/>
      <c r="L190" s="113"/>
      <c r="M190" s="100"/>
      <c r="N190" s="127"/>
      <c r="O190" s="128"/>
      <c r="P190" s="95"/>
      <c r="Q190" s="137"/>
      <c r="R190" s="129"/>
      <c r="S190" s="95"/>
      <c r="T190" s="95"/>
      <c r="V190" s="107"/>
    </row>
    <row r="191" ht="15.75" customHeight="1">
      <c r="A191" s="89"/>
      <c r="B191" s="182"/>
      <c r="C191" s="149"/>
      <c r="D191" s="95"/>
      <c r="E191" s="149"/>
      <c r="F191" s="149"/>
      <c r="G191" s="95"/>
      <c r="H191" s="149"/>
      <c r="I191" s="95"/>
      <c r="J191" s="95"/>
      <c r="K191" s="99"/>
      <c r="L191" s="99"/>
      <c r="M191" s="100"/>
      <c r="N191" s="127"/>
      <c r="O191" s="128"/>
      <c r="P191" s="95"/>
      <c r="Q191" s="137"/>
      <c r="R191" s="129"/>
      <c r="S191" s="95"/>
      <c r="T191" s="95"/>
      <c r="V191" s="107"/>
    </row>
    <row r="192" ht="15.75" customHeight="1">
      <c r="A192" s="89"/>
      <c r="B192" s="182"/>
      <c r="C192" s="149"/>
      <c r="D192" s="95"/>
      <c r="E192" s="149"/>
      <c r="F192" s="149"/>
      <c r="G192" s="95"/>
      <c r="H192" s="149"/>
      <c r="I192" s="95"/>
      <c r="J192" s="95"/>
      <c r="K192" s="113"/>
      <c r="L192" s="113"/>
      <c r="M192" s="100"/>
      <c r="N192" s="127"/>
      <c r="O192" s="128"/>
      <c r="P192" s="95"/>
      <c r="Q192" s="137"/>
      <c r="R192" s="129"/>
      <c r="S192" s="95"/>
      <c r="T192" s="95"/>
      <c r="V192" s="107"/>
    </row>
    <row r="193" ht="15.75" customHeight="1">
      <c r="A193" s="89"/>
      <c r="B193" s="182"/>
      <c r="C193" s="107"/>
      <c r="D193" s="95"/>
      <c r="E193" s="149"/>
      <c r="F193" s="149"/>
      <c r="G193" s="95"/>
      <c r="H193" s="149"/>
      <c r="I193" s="95"/>
      <c r="J193" s="95"/>
      <c r="K193" s="99"/>
      <c r="L193" s="99"/>
      <c r="M193" s="100"/>
      <c r="N193" s="127"/>
      <c r="O193" s="128"/>
      <c r="P193" s="95"/>
      <c r="Q193" s="137"/>
      <c r="R193" s="129"/>
      <c r="S193" s="95"/>
      <c r="T193" s="95"/>
      <c r="V193" s="107"/>
    </row>
    <row r="194" ht="15.75" customHeight="1">
      <c r="A194" s="89"/>
      <c r="B194" s="182"/>
      <c r="C194" s="149"/>
      <c r="D194" s="95"/>
      <c r="E194" s="149"/>
      <c r="F194" s="149"/>
      <c r="G194" s="95"/>
      <c r="H194" s="149"/>
      <c r="I194" s="95"/>
      <c r="J194" s="95"/>
      <c r="K194" s="113"/>
      <c r="L194" s="113"/>
      <c r="M194" s="100"/>
      <c r="N194" s="127"/>
      <c r="O194" s="128"/>
      <c r="P194" s="95"/>
      <c r="Q194" s="137"/>
      <c r="R194" s="129"/>
      <c r="S194" s="95"/>
      <c r="T194" s="95"/>
      <c r="V194" s="107"/>
    </row>
    <row r="195" ht="15.75" customHeight="1">
      <c r="A195" s="89"/>
      <c r="B195" s="182"/>
      <c r="C195" s="149"/>
      <c r="D195" s="95"/>
      <c r="E195" s="149"/>
      <c r="F195" s="149"/>
      <c r="G195" s="95"/>
      <c r="H195" s="149"/>
      <c r="I195" s="95"/>
      <c r="J195" s="95"/>
      <c r="K195" s="99"/>
      <c r="L195" s="99"/>
      <c r="M195" s="100"/>
      <c r="N195" s="127"/>
      <c r="O195" s="128"/>
      <c r="P195" s="95"/>
      <c r="Q195" s="137"/>
      <c r="R195" s="129"/>
      <c r="S195" s="95"/>
      <c r="T195" s="95"/>
      <c r="V195" s="107"/>
    </row>
    <row r="196" ht="15.75" customHeight="1">
      <c r="A196" s="89"/>
      <c r="B196" s="182"/>
      <c r="C196" s="149"/>
      <c r="D196" s="95"/>
      <c r="E196" s="149"/>
      <c r="F196" s="149"/>
      <c r="G196" s="95"/>
      <c r="H196" s="149"/>
      <c r="I196" s="95"/>
      <c r="J196" s="95"/>
      <c r="K196" s="113"/>
      <c r="L196" s="113"/>
      <c r="M196" s="100"/>
      <c r="N196" s="127"/>
      <c r="O196" s="128"/>
      <c r="P196" s="95"/>
      <c r="Q196" s="137"/>
      <c r="R196" s="129"/>
      <c r="S196" s="95"/>
      <c r="T196" s="95"/>
      <c r="V196" s="107"/>
    </row>
    <row r="197" ht="15.75" customHeight="1">
      <c r="A197" s="89"/>
      <c r="B197" s="182"/>
      <c r="C197" s="149"/>
      <c r="D197" s="95"/>
      <c r="E197" s="149"/>
      <c r="F197" s="149"/>
      <c r="G197" s="95"/>
      <c r="H197" s="149"/>
      <c r="I197" s="95"/>
      <c r="J197" s="95"/>
      <c r="K197" s="99"/>
      <c r="L197" s="99"/>
      <c r="M197" s="100"/>
      <c r="N197" s="127"/>
      <c r="O197" s="128"/>
      <c r="P197" s="95"/>
      <c r="Q197" s="137"/>
      <c r="R197" s="129"/>
      <c r="S197" s="95"/>
      <c r="T197" s="95"/>
      <c r="V197" s="107"/>
    </row>
    <row r="198" ht="15.75" customHeight="1">
      <c r="A198" s="89"/>
      <c r="B198" s="182"/>
      <c r="C198" s="149"/>
      <c r="D198" s="95"/>
      <c r="E198" s="149"/>
      <c r="F198" s="149"/>
      <c r="G198" s="95"/>
      <c r="H198" s="149"/>
      <c r="I198" s="95"/>
      <c r="J198" s="95"/>
      <c r="K198" s="113"/>
      <c r="L198" s="113"/>
      <c r="M198" s="100"/>
      <c r="N198" s="127"/>
      <c r="O198" s="128"/>
      <c r="P198" s="95"/>
      <c r="Q198" s="137"/>
      <c r="R198" s="129"/>
      <c r="S198" s="95"/>
      <c r="T198" s="95"/>
      <c r="V198" s="107"/>
    </row>
    <row r="199" ht="15.75" customHeight="1">
      <c r="A199" s="89"/>
      <c r="B199" s="182"/>
      <c r="C199" s="107"/>
      <c r="D199" s="95"/>
      <c r="E199" s="149"/>
      <c r="F199" s="149"/>
      <c r="G199" s="95"/>
      <c r="H199" s="149"/>
      <c r="I199" s="95"/>
      <c r="J199" s="95"/>
      <c r="K199" s="99"/>
      <c r="L199" s="99"/>
      <c r="M199" s="100"/>
      <c r="N199" s="127"/>
      <c r="O199" s="128"/>
      <c r="P199" s="95"/>
      <c r="Q199" s="137"/>
      <c r="R199" s="129"/>
      <c r="S199" s="95"/>
      <c r="T199" s="95"/>
      <c r="V199" s="107"/>
    </row>
    <row r="200" ht="15.75" customHeight="1">
      <c r="A200" s="89"/>
      <c r="B200" s="182"/>
      <c r="C200" s="149"/>
      <c r="D200" s="95"/>
      <c r="E200" s="149"/>
      <c r="F200" s="149"/>
      <c r="G200" s="95"/>
      <c r="H200" s="149"/>
      <c r="I200" s="95"/>
      <c r="J200" s="95"/>
      <c r="K200" s="113"/>
      <c r="L200" s="113"/>
      <c r="M200" s="100"/>
      <c r="N200" s="127"/>
      <c r="O200" s="128"/>
      <c r="P200" s="95"/>
      <c r="Q200" s="137"/>
      <c r="R200" s="129"/>
      <c r="S200" s="95"/>
      <c r="T200" s="95"/>
      <c r="V200" s="107"/>
    </row>
    <row r="201" ht="15.75" customHeight="1">
      <c r="A201" s="89"/>
      <c r="B201" s="182"/>
      <c r="C201" s="149"/>
      <c r="D201" s="95"/>
      <c r="E201" s="149"/>
      <c r="F201" s="149"/>
      <c r="G201" s="95"/>
      <c r="H201" s="149"/>
      <c r="I201" s="95"/>
      <c r="J201" s="95"/>
      <c r="K201" s="99"/>
      <c r="L201" s="99"/>
      <c r="M201" s="100"/>
      <c r="N201" s="127"/>
      <c r="O201" s="128"/>
      <c r="P201" s="95"/>
      <c r="Q201" s="137"/>
      <c r="R201" s="129"/>
      <c r="S201" s="95"/>
      <c r="T201" s="95"/>
      <c r="V201" s="107"/>
    </row>
    <row r="202" ht="15.75" customHeight="1">
      <c r="A202" s="89"/>
      <c r="B202" s="182"/>
      <c r="C202" s="149"/>
      <c r="D202" s="95"/>
      <c r="E202" s="149"/>
      <c r="F202" s="149"/>
      <c r="G202" s="95"/>
      <c r="H202" s="149"/>
      <c r="I202" s="95"/>
      <c r="J202" s="95"/>
      <c r="K202" s="113"/>
      <c r="L202" s="113"/>
      <c r="M202" s="100"/>
      <c r="N202" s="127"/>
      <c r="O202" s="128"/>
      <c r="P202" s="95"/>
      <c r="Q202" s="137"/>
      <c r="R202" s="129"/>
      <c r="S202" s="95"/>
      <c r="T202" s="95"/>
      <c r="V202" s="107"/>
    </row>
    <row r="203" ht="15.75" customHeight="1">
      <c r="A203" s="89"/>
      <c r="B203" s="182"/>
      <c r="C203" s="149"/>
      <c r="D203" s="95"/>
      <c r="E203" s="149"/>
      <c r="F203" s="149"/>
      <c r="G203" s="95"/>
      <c r="H203" s="149"/>
      <c r="I203" s="95"/>
      <c r="J203" s="95"/>
      <c r="K203" s="99"/>
      <c r="L203" s="99"/>
      <c r="M203" s="100"/>
      <c r="N203" s="127"/>
      <c r="O203" s="128"/>
      <c r="P203" s="95"/>
      <c r="Q203" s="137"/>
      <c r="R203" s="129"/>
      <c r="S203" s="95"/>
      <c r="T203" s="95"/>
      <c r="V203" s="107"/>
    </row>
    <row r="204" ht="15.75" customHeight="1">
      <c r="A204" s="89"/>
      <c r="B204" s="182"/>
      <c r="C204" s="149"/>
      <c r="D204" s="95"/>
      <c r="E204" s="149"/>
      <c r="F204" s="149"/>
      <c r="G204" s="95"/>
      <c r="H204" s="149"/>
      <c r="I204" s="95"/>
      <c r="J204" s="95"/>
      <c r="K204" s="113"/>
      <c r="L204" s="113"/>
      <c r="M204" s="100"/>
      <c r="N204" s="127"/>
      <c r="O204" s="128"/>
      <c r="P204" s="95"/>
      <c r="Q204" s="137"/>
      <c r="R204" s="129"/>
      <c r="S204" s="95"/>
      <c r="T204" s="95"/>
      <c r="V204" s="107"/>
    </row>
    <row r="205" ht="15.75" customHeight="1">
      <c r="A205" s="89"/>
      <c r="B205" s="182"/>
      <c r="C205" s="107"/>
      <c r="D205" s="95"/>
      <c r="E205" s="149"/>
      <c r="F205" s="149"/>
      <c r="G205" s="95"/>
      <c r="H205" s="149"/>
      <c r="I205" s="95"/>
      <c r="J205" s="95"/>
      <c r="K205" s="99"/>
      <c r="L205" s="99"/>
      <c r="M205" s="100"/>
      <c r="N205" s="127"/>
      <c r="O205" s="128"/>
      <c r="P205" s="95"/>
      <c r="Q205" s="137"/>
      <c r="R205" s="129"/>
      <c r="S205" s="95"/>
      <c r="T205" s="95"/>
      <c r="V205" s="107"/>
    </row>
    <row r="206" ht="15.75" customHeight="1">
      <c r="A206" s="89"/>
      <c r="B206" s="182"/>
      <c r="C206" s="149"/>
      <c r="D206" s="95"/>
      <c r="E206" s="149"/>
      <c r="F206" s="149"/>
      <c r="G206" s="95"/>
      <c r="H206" s="149"/>
      <c r="I206" s="95"/>
      <c r="J206" s="95"/>
      <c r="K206" s="113"/>
      <c r="L206" s="113"/>
      <c r="M206" s="100"/>
      <c r="N206" s="127"/>
      <c r="O206" s="128"/>
      <c r="P206" s="95"/>
      <c r="Q206" s="137"/>
      <c r="R206" s="129"/>
      <c r="S206" s="95"/>
      <c r="T206" s="95"/>
      <c r="V206" s="107"/>
    </row>
    <row r="207" ht="15.75" customHeight="1">
      <c r="A207" s="89"/>
      <c r="B207" s="182"/>
      <c r="C207" s="149"/>
      <c r="D207" s="95"/>
      <c r="E207" s="149"/>
      <c r="F207" s="149"/>
      <c r="G207" s="95"/>
      <c r="H207" s="149"/>
      <c r="I207" s="95"/>
      <c r="J207" s="95"/>
      <c r="K207" s="99"/>
      <c r="L207" s="99"/>
      <c r="M207" s="100"/>
      <c r="N207" s="127"/>
      <c r="O207" s="128"/>
      <c r="P207" s="95"/>
      <c r="Q207" s="137"/>
      <c r="R207" s="129"/>
      <c r="S207" s="95"/>
      <c r="T207" s="95"/>
      <c r="V207" s="107"/>
    </row>
    <row r="208" ht="15.75" customHeight="1">
      <c r="A208" s="89"/>
      <c r="B208" s="182"/>
      <c r="C208" s="149"/>
      <c r="D208" s="95"/>
      <c r="E208" s="149"/>
      <c r="F208" s="149"/>
      <c r="G208" s="95"/>
      <c r="H208" s="149"/>
      <c r="I208" s="95"/>
      <c r="J208" s="95"/>
      <c r="K208" s="113"/>
      <c r="L208" s="113"/>
      <c r="M208" s="100"/>
      <c r="N208" s="127"/>
      <c r="O208" s="128"/>
      <c r="P208" s="95"/>
      <c r="Q208" s="137"/>
      <c r="R208" s="129"/>
      <c r="S208" s="95"/>
      <c r="T208" s="95"/>
      <c r="V208" s="107"/>
    </row>
    <row r="209" ht="15.75" customHeight="1">
      <c r="A209" s="89"/>
      <c r="B209" s="182"/>
      <c r="C209" s="149"/>
      <c r="D209" s="95"/>
      <c r="E209" s="149"/>
      <c r="F209" s="149"/>
      <c r="G209" s="95"/>
      <c r="H209" s="149"/>
      <c r="I209" s="95"/>
      <c r="J209" s="95"/>
      <c r="K209" s="99"/>
      <c r="L209" s="99"/>
      <c r="M209" s="100"/>
      <c r="N209" s="127"/>
      <c r="O209" s="128"/>
      <c r="P209" s="95"/>
      <c r="Q209" s="137"/>
      <c r="R209" s="129"/>
      <c r="S209" s="95"/>
      <c r="T209" s="95"/>
      <c r="V209" s="107"/>
    </row>
    <row r="210" ht="15.75" customHeight="1">
      <c r="A210" s="89"/>
      <c r="B210" s="182"/>
      <c r="C210" s="149"/>
      <c r="D210" s="95"/>
      <c r="E210" s="149"/>
      <c r="F210" s="149"/>
      <c r="G210" s="95"/>
      <c r="H210" s="149"/>
      <c r="I210" s="95"/>
      <c r="J210" s="95"/>
      <c r="K210" s="113"/>
      <c r="L210" s="113"/>
      <c r="M210" s="100"/>
      <c r="N210" s="127"/>
      <c r="O210" s="128"/>
      <c r="P210" s="95"/>
      <c r="Q210" s="137"/>
      <c r="R210" s="129"/>
      <c r="S210" s="95"/>
      <c r="T210" s="95"/>
      <c r="V210" s="107"/>
    </row>
    <row r="211" ht="15.75" customHeight="1">
      <c r="A211" s="89"/>
      <c r="B211" s="182"/>
      <c r="C211" s="107"/>
      <c r="D211" s="95"/>
      <c r="E211" s="149"/>
      <c r="F211" s="149"/>
      <c r="G211" s="95"/>
      <c r="H211" s="149"/>
      <c r="I211" s="95"/>
      <c r="J211" s="95"/>
      <c r="K211" s="99"/>
      <c r="L211" s="99"/>
      <c r="M211" s="100"/>
      <c r="N211" s="127"/>
      <c r="O211" s="128"/>
      <c r="P211" s="95"/>
      <c r="Q211" s="137"/>
      <c r="R211" s="129"/>
      <c r="S211" s="95"/>
      <c r="T211" s="95"/>
      <c r="V211" s="107"/>
    </row>
    <row r="212" ht="15.75" customHeight="1">
      <c r="A212" s="89"/>
      <c r="B212" s="182"/>
      <c r="C212" s="149"/>
      <c r="D212" s="95"/>
      <c r="E212" s="149"/>
      <c r="F212" s="149"/>
      <c r="G212" s="95"/>
      <c r="H212" s="149"/>
      <c r="I212" s="95"/>
      <c r="J212" s="95"/>
      <c r="K212" s="113"/>
      <c r="L212" s="113"/>
      <c r="M212" s="100"/>
      <c r="N212" s="127"/>
      <c r="O212" s="128"/>
      <c r="P212" s="95"/>
      <c r="Q212" s="137"/>
      <c r="R212" s="129"/>
      <c r="S212" s="95"/>
      <c r="T212" s="95"/>
      <c r="V212" s="107"/>
    </row>
    <row r="213" ht="15.75" customHeight="1">
      <c r="A213" s="89"/>
      <c r="B213" s="182"/>
      <c r="C213" s="149"/>
      <c r="D213" s="95"/>
      <c r="E213" s="149"/>
      <c r="F213" s="149"/>
      <c r="G213" s="95"/>
      <c r="H213" s="149"/>
      <c r="I213" s="95"/>
      <c r="J213" s="95"/>
      <c r="K213" s="99"/>
      <c r="L213" s="99"/>
      <c r="M213" s="100"/>
      <c r="N213" s="127"/>
      <c r="O213" s="128"/>
      <c r="P213" s="95"/>
      <c r="Q213" s="137"/>
      <c r="R213" s="129"/>
      <c r="S213" s="95"/>
      <c r="T213" s="95"/>
      <c r="V213" s="107"/>
    </row>
    <row r="214" ht="15.75" customHeight="1">
      <c r="A214" s="89"/>
      <c r="B214" s="182"/>
      <c r="C214" s="149"/>
      <c r="D214" s="95"/>
      <c r="E214" s="149"/>
      <c r="F214" s="149"/>
      <c r="G214" s="95"/>
      <c r="H214" s="149"/>
      <c r="I214" s="95"/>
      <c r="J214" s="95"/>
      <c r="K214" s="113"/>
      <c r="L214" s="113"/>
      <c r="M214" s="100"/>
      <c r="N214" s="127"/>
      <c r="O214" s="128"/>
      <c r="P214" s="95"/>
      <c r="Q214" s="137"/>
      <c r="R214" s="129"/>
      <c r="S214" s="95"/>
      <c r="T214" s="95"/>
      <c r="V214" s="107"/>
    </row>
    <row r="215" ht="15.75" customHeight="1">
      <c r="A215" s="89"/>
      <c r="B215" s="182"/>
      <c r="C215" s="149"/>
      <c r="D215" s="95"/>
      <c r="E215" s="149"/>
      <c r="F215" s="149"/>
      <c r="G215" s="95"/>
      <c r="H215" s="149"/>
      <c r="I215" s="95"/>
      <c r="J215" s="95"/>
      <c r="K215" s="99"/>
      <c r="L215" s="99"/>
      <c r="M215" s="100"/>
      <c r="N215" s="127"/>
      <c r="O215" s="128"/>
      <c r="P215" s="95"/>
      <c r="Q215" s="137"/>
      <c r="R215" s="129"/>
      <c r="S215" s="95"/>
      <c r="T215" s="95"/>
      <c r="V215" s="107"/>
    </row>
    <row r="216" ht="15.75" customHeight="1">
      <c r="A216" s="89"/>
      <c r="B216" s="182"/>
      <c r="C216" s="149"/>
      <c r="D216" s="95"/>
      <c r="E216" s="149"/>
      <c r="F216" s="149"/>
      <c r="G216" s="95"/>
      <c r="H216" s="149"/>
      <c r="I216" s="95"/>
      <c r="J216" s="95"/>
      <c r="K216" s="113"/>
      <c r="L216" s="113"/>
      <c r="M216" s="100"/>
      <c r="N216" s="127"/>
      <c r="O216" s="128"/>
      <c r="P216" s="95"/>
      <c r="Q216" s="137"/>
      <c r="R216" s="129"/>
      <c r="S216" s="95"/>
      <c r="T216" s="95"/>
      <c r="V216" s="107"/>
    </row>
    <row r="217" ht="15.75" customHeight="1">
      <c r="A217" s="89"/>
      <c r="B217" s="182"/>
      <c r="C217" s="107"/>
      <c r="D217" s="95"/>
      <c r="E217" s="149"/>
      <c r="F217" s="149"/>
      <c r="G217" s="95"/>
      <c r="H217" s="149"/>
      <c r="I217" s="95"/>
      <c r="J217" s="95"/>
      <c r="K217" s="99"/>
      <c r="L217" s="99"/>
      <c r="M217" s="100"/>
      <c r="N217" s="127"/>
      <c r="O217" s="128"/>
      <c r="P217" s="95"/>
      <c r="Q217" s="137"/>
      <c r="R217" s="129"/>
      <c r="S217" s="95"/>
      <c r="T217" s="95"/>
      <c r="V217" s="107"/>
    </row>
    <row r="218" ht="15.75" customHeight="1">
      <c r="A218" s="89"/>
      <c r="B218" s="182"/>
      <c r="C218" s="149"/>
      <c r="D218" s="95"/>
      <c r="E218" s="149"/>
      <c r="F218" s="149"/>
      <c r="G218" s="95"/>
      <c r="H218" s="149"/>
      <c r="I218" s="95"/>
      <c r="J218" s="95"/>
      <c r="K218" s="113"/>
      <c r="L218" s="113"/>
      <c r="M218" s="100"/>
      <c r="N218" s="127"/>
      <c r="O218" s="128"/>
      <c r="P218" s="95"/>
      <c r="Q218" s="137"/>
      <c r="R218" s="129"/>
      <c r="S218" s="95"/>
      <c r="T218" s="95"/>
      <c r="V218" s="107"/>
    </row>
    <row r="219" ht="15.75" customHeight="1">
      <c r="A219" s="89"/>
      <c r="B219" s="182"/>
      <c r="C219" s="149"/>
      <c r="D219" s="95"/>
      <c r="E219" s="149"/>
      <c r="F219" s="149"/>
      <c r="G219" s="95"/>
      <c r="H219" s="149"/>
      <c r="I219" s="95"/>
      <c r="J219" s="95"/>
      <c r="K219" s="99"/>
      <c r="L219" s="99"/>
      <c r="M219" s="100"/>
      <c r="N219" s="127"/>
      <c r="O219" s="128"/>
      <c r="P219" s="95"/>
      <c r="Q219" s="137"/>
      <c r="R219" s="129"/>
      <c r="S219" s="95"/>
      <c r="T219" s="95"/>
      <c r="V219" s="107"/>
    </row>
    <row r="220" ht="15.75" customHeight="1">
      <c r="A220" s="89"/>
      <c r="B220" s="182"/>
      <c r="C220" s="149"/>
      <c r="D220" s="95"/>
      <c r="E220" s="149"/>
      <c r="F220" s="149"/>
      <c r="G220" s="95"/>
      <c r="H220" s="149"/>
      <c r="I220" s="95"/>
      <c r="J220" s="95"/>
      <c r="K220" s="113"/>
      <c r="L220" s="113"/>
      <c r="M220" s="100"/>
      <c r="N220" s="127"/>
      <c r="O220" s="128"/>
      <c r="P220" s="95"/>
      <c r="Q220" s="137"/>
      <c r="R220" s="129"/>
      <c r="S220" s="95"/>
      <c r="T220" s="95"/>
      <c r="V220" s="107"/>
    </row>
    <row r="221" ht="15.75" customHeight="1">
      <c r="A221" s="89"/>
      <c r="B221" s="182"/>
      <c r="C221" s="149"/>
      <c r="D221" s="95"/>
      <c r="E221" s="149"/>
      <c r="F221" s="149"/>
      <c r="G221" s="95"/>
      <c r="H221" s="149"/>
      <c r="I221" s="95"/>
      <c r="J221" s="95"/>
      <c r="K221" s="99"/>
      <c r="L221" s="99"/>
      <c r="M221" s="100"/>
      <c r="N221" s="127"/>
      <c r="O221" s="128"/>
      <c r="P221" s="95"/>
      <c r="Q221" s="137"/>
      <c r="R221" s="129"/>
      <c r="S221" s="95"/>
      <c r="T221" s="95"/>
      <c r="V221" s="107"/>
    </row>
    <row r="222" ht="15.75" customHeight="1">
      <c r="A222" s="89"/>
      <c r="B222" s="182"/>
      <c r="C222" s="149"/>
      <c r="D222" s="95"/>
      <c r="E222" s="149"/>
      <c r="F222" s="149"/>
      <c r="G222" s="95"/>
      <c r="H222" s="149"/>
      <c r="I222" s="95"/>
      <c r="J222" s="95"/>
      <c r="K222" s="113"/>
      <c r="L222" s="113"/>
      <c r="M222" s="100"/>
      <c r="N222" s="127"/>
      <c r="O222" s="128"/>
      <c r="P222" s="95"/>
      <c r="Q222" s="137"/>
      <c r="R222" s="129"/>
      <c r="S222" s="95"/>
      <c r="T222" s="95"/>
      <c r="V222" s="107"/>
    </row>
    <row r="223" ht="15.75" customHeight="1">
      <c r="A223" s="89"/>
      <c r="B223" s="182"/>
      <c r="C223" s="107"/>
      <c r="D223" s="95"/>
      <c r="E223" s="149"/>
      <c r="F223" s="149"/>
      <c r="G223" s="95"/>
      <c r="H223" s="149"/>
      <c r="I223" s="95"/>
      <c r="J223" s="95"/>
      <c r="K223" s="99"/>
      <c r="L223" s="99"/>
      <c r="M223" s="100"/>
      <c r="N223" s="127"/>
      <c r="O223" s="128"/>
      <c r="P223" s="95"/>
      <c r="Q223" s="137"/>
      <c r="R223" s="129"/>
      <c r="S223" s="95"/>
      <c r="T223" s="95"/>
      <c r="V223" s="107"/>
    </row>
    <row r="224" ht="15.75" customHeight="1">
      <c r="A224" s="89"/>
      <c r="B224" s="182"/>
      <c r="C224" s="149"/>
      <c r="D224" s="95"/>
      <c r="E224" s="149"/>
      <c r="F224" s="149"/>
      <c r="G224" s="95"/>
      <c r="H224" s="149"/>
      <c r="I224" s="95"/>
      <c r="J224" s="95"/>
      <c r="K224" s="113"/>
      <c r="L224" s="113"/>
      <c r="M224" s="100"/>
      <c r="N224" s="127"/>
      <c r="O224" s="128"/>
      <c r="P224" s="95"/>
      <c r="Q224" s="137"/>
      <c r="R224" s="129"/>
      <c r="S224" s="95"/>
      <c r="T224" s="95"/>
      <c r="V224" s="107"/>
    </row>
    <row r="225" ht="15.75" customHeight="1">
      <c r="A225" s="89"/>
      <c r="B225" s="182"/>
      <c r="C225" s="149"/>
      <c r="D225" s="95"/>
      <c r="E225" s="149"/>
      <c r="F225" s="149"/>
      <c r="G225" s="95"/>
      <c r="H225" s="149"/>
      <c r="I225" s="95"/>
      <c r="J225" s="95"/>
      <c r="K225" s="99"/>
      <c r="L225" s="99"/>
      <c r="M225" s="100"/>
      <c r="N225" s="127"/>
      <c r="O225" s="128"/>
      <c r="P225" s="95"/>
      <c r="Q225" s="137"/>
      <c r="R225" s="129"/>
      <c r="S225" s="95"/>
      <c r="T225" s="95"/>
      <c r="V225" s="107"/>
    </row>
    <row r="226" ht="15.75" customHeight="1">
      <c r="A226" s="89"/>
      <c r="B226" s="182"/>
      <c r="C226" s="149"/>
      <c r="D226" s="95"/>
      <c r="E226" s="149"/>
      <c r="F226" s="149"/>
      <c r="G226" s="95"/>
      <c r="H226" s="149"/>
      <c r="I226" s="95"/>
      <c r="J226" s="95"/>
      <c r="K226" s="113"/>
      <c r="L226" s="113"/>
      <c r="M226" s="100"/>
      <c r="N226" s="127"/>
      <c r="O226" s="128"/>
      <c r="P226" s="95"/>
      <c r="Q226" s="137"/>
      <c r="R226" s="129"/>
      <c r="S226" s="95"/>
      <c r="T226" s="95"/>
      <c r="V226" s="107"/>
    </row>
    <row r="227" ht="15.75" customHeight="1">
      <c r="A227" s="89"/>
      <c r="B227" s="182"/>
      <c r="C227" s="149"/>
      <c r="D227" s="95"/>
      <c r="E227" s="149"/>
      <c r="F227" s="149"/>
      <c r="G227" s="95"/>
      <c r="H227" s="149"/>
      <c r="I227" s="95"/>
      <c r="J227" s="95"/>
      <c r="K227" s="99"/>
      <c r="L227" s="99"/>
      <c r="M227" s="100"/>
      <c r="N227" s="127"/>
      <c r="O227" s="128"/>
      <c r="P227" s="95"/>
      <c r="Q227" s="137"/>
      <c r="R227" s="129"/>
      <c r="S227" s="95"/>
      <c r="T227" s="95"/>
      <c r="V227" s="107"/>
    </row>
    <row r="228" ht="15.75" customHeight="1">
      <c r="A228" s="89"/>
      <c r="B228" s="182"/>
      <c r="C228" s="149"/>
      <c r="D228" s="95"/>
      <c r="E228" s="149"/>
      <c r="F228" s="149"/>
      <c r="G228" s="95"/>
      <c r="H228" s="149"/>
      <c r="I228" s="95"/>
      <c r="J228" s="95"/>
      <c r="K228" s="113"/>
      <c r="L228" s="113"/>
      <c r="M228" s="100"/>
      <c r="N228" s="127"/>
      <c r="O228" s="128"/>
      <c r="P228" s="95"/>
      <c r="Q228" s="137"/>
      <c r="R228" s="129"/>
      <c r="S228" s="95"/>
      <c r="T228" s="95"/>
      <c r="V228" s="107"/>
    </row>
    <row r="229" ht="15.75" customHeight="1">
      <c r="A229" s="89"/>
      <c r="B229" s="182"/>
      <c r="C229" s="107"/>
      <c r="D229" s="95"/>
      <c r="E229" s="149"/>
      <c r="F229" s="149"/>
      <c r="G229" s="95"/>
      <c r="H229" s="149"/>
      <c r="I229" s="95"/>
      <c r="J229" s="95"/>
      <c r="K229" s="99"/>
      <c r="L229" s="99"/>
      <c r="M229" s="100"/>
      <c r="N229" s="127"/>
      <c r="O229" s="128"/>
      <c r="P229" s="95"/>
      <c r="Q229" s="137"/>
      <c r="R229" s="129"/>
      <c r="S229" s="95"/>
      <c r="T229" s="95"/>
      <c r="V229" s="107"/>
    </row>
    <row r="230" ht="15.75" customHeight="1">
      <c r="A230" s="89"/>
      <c r="B230" s="182"/>
      <c r="C230" s="149"/>
      <c r="D230" s="95"/>
      <c r="E230" s="149"/>
      <c r="F230" s="149"/>
      <c r="G230" s="95"/>
      <c r="H230" s="149"/>
      <c r="I230" s="95"/>
      <c r="J230" s="95"/>
      <c r="K230" s="113"/>
      <c r="L230" s="113"/>
      <c r="M230" s="100"/>
      <c r="N230" s="127"/>
      <c r="O230" s="128"/>
      <c r="P230" s="95"/>
      <c r="Q230" s="137"/>
      <c r="R230" s="129"/>
      <c r="S230" s="95"/>
      <c r="T230" s="95"/>
      <c r="V230" s="107"/>
    </row>
    <row r="231" ht="15.75" customHeight="1">
      <c r="A231" s="89"/>
      <c r="B231" s="182"/>
      <c r="C231" s="149"/>
      <c r="D231" s="95"/>
      <c r="E231" s="149"/>
      <c r="F231" s="149"/>
      <c r="G231" s="95"/>
      <c r="H231" s="149"/>
      <c r="I231" s="95"/>
      <c r="J231" s="95"/>
      <c r="K231" s="99"/>
      <c r="L231" s="99"/>
      <c r="M231" s="100"/>
      <c r="N231" s="127"/>
      <c r="O231" s="128"/>
      <c r="P231" s="95"/>
      <c r="Q231" s="137"/>
      <c r="R231" s="129"/>
      <c r="S231" s="95"/>
      <c r="T231" s="95"/>
      <c r="V231" s="107"/>
    </row>
    <row r="232" ht="15.75" customHeight="1">
      <c r="A232" s="89"/>
      <c r="B232" s="182"/>
      <c r="C232" s="149"/>
      <c r="D232" s="95"/>
      <c r="E232" s="149"/>
      <c r="F232" s="149"/>
      <c r="G232" s="95"/>
      <c r="H232" s="149"/>
      <c r="I232" s="95"/>
      <c r="J232" s="95"/>
      <c r="K232" s="113"/>
      <c r="L232" s="113"/>
      <c r="M232" s="100"/>
      <c r="N232" s="127"/>
      <c r="O232" s="128"/>
      <c r="P232" s="95"/>
      <c r="Q232" s="137"/>
      <c r="R232" s="129"/>
      <c r="S232" s="95"/>
      <c r="T232" s="95"/>
      <c r="V232" s="107"/>
    </row>
    <row r="233" ht="15.75" customHeight="1">
      <c r="A233" s="89"/>
      <c r="B233" s="182"/>
      <c r="C233" s="149"/>
      <c r="D233" s="95"/>
      <c r="E233" s="149"/>
      <c r="F233" s="149"/>
      <c r="G233" s="95"/>
      <c r="H233" s="149"/>
      <c r="I233" s="95"/>
      <c r="J233" s="95"/>
      <c r="K233" s="99"/>
      <c r="L233" s="99"/>
      <c r="M233" s="100"/>
      <c r="N233" s="127"/>
      <c r="O233" s="128"/>
      <c r="P233" s="95"/>
      <c r="Q233" s="137"/>
      <c r="R233" s="129"/>
      <c r="S233" s="95"/>
      <c r="T233" s="95"/>
      <c r="V233" s="107"/>
    </row>
    <row r="234" ht="15.75" customHeight="1">
      <c r="A234" s="89"/>
      <c r="B234" s="182"/>
      <c r="C234" s="149"/>
      <c r="D234" s="95"/>
      <c r="E234" s="149"/>
      <c r="F234" s="149"/>
      <c r="G234" s="95"/>
      <c r="H234" s="149"/>
      <c r="I234" s="95"/>
      <c r="J234" s="95"/>
      <c r="K234" s="113"/>
      <c r="L234" s="113"/>
      <c r="M234" s="100"/>
      <c r="N234" s="127"/>
      <c r="O234" s="128"/>
      <c r="P234" s="95"/>
      <c r="Q234" s="137"/>
      <c r="R234" s="129"/>
      <c r="S234" s="95"/>
      <c r="T234" s="95"/>
      <c r="V234" s="107"/>
    </row>
    <row r="235" ht="15.75" customHeight="1">
      <c r="A235" s="89"/>
      <c r="B235" s="182"/>
      <c r="C235" s="107"/>
      <c r="D235" s="95"/>
      <c r="E235" s="149"/>
      <c r="F235" s="149"/>
      <c r="G235" s="95"/>
      <c r="H235" s="149"/>
      <c r="I235" s="95"/>
      <c r="J235" s="95"/>
      <c r="K235" s="99"/>
      <c r="L235" s="99"/>
      <c r="M235" s="100"/>
      <c r="N235" s="127"/>
      <c r="O235" s="128"/>
      <c r="P235" s="95"/>
      <c r="Q235" s="137"/>
      <c r="R235" s="129"/>
      <c r="S235" s="95"/>
      <c r="T235" s="95"/>
      <c r="V235" s="107"/>
    </row>
    <row r="236" ht="15.75" customHeight="1">
      <c r="A236" s="89"/>
      <c r="B236" s="182"/>
      <c r="C236" s="149"/>
      <c r="D236" s="95"/>
      <c r="E236" s="149"/>
      <c r="F236" s="149"/>
      <c r="G236" s="95"/>
      <c r="H236" s="149"/>
      <c r="I236" s="95"/>
      <c r="J236" s="95"/>
      <c r="K236" s="113"/>
      <c r="L236" s="113"/>
      <c r="M236" s="100"/>
      <c r="N236" s="127"/>
      <c r="O236" s="128"/>
      <c r="P236" s="95"/>
      <c r="Q236" s="137"/>
      <c r="R236" s="129"/>
      <c r="S236" s="95"/>
      <c r="T236" s="95"/>
      <c r="V236" s="107"/>
    </row>
    <row r="237" ht="15.75" customHeight="1">
      <c r="A237" s="89"/>
      <c r="B237" s="182"/>
      <c r="C237" s="149"/>
      <c r="D237" s="95"/>
      <c r="E237" s="149"/>
      <c r="F237" s="149"/>
      <c r="G237" s="95"/>
      <c r="H237" s="149"/>
      <c r="I237" s="95"/>
      <c r="J237" s="95"/>
      <c r="K237" s="99"/>
      <c r="L237" s="99"/>
      <c r="M237" s="100"/>
      <c r="N237" s="127"/>
      <c r="O237" s="128"/>
      <c r="P237" s="95"/>
      <c r="Q237" s="137"/>
      <c r="R237" s="129"/>
      <c r="S237" s="95"/>
      <c r="T237" s="95"/>
      <c r="V237" s="107"/>
    </row>
    <row r="238" ht="15.75" customHeight="1">
      <c r="A238" s="89"/>
      <c r="B238" s="182"/>
      <c r="C238" s="149"/>
      <c r="D238" s="95"/>
      <c r="E238" s="149"/>
      <c r="F238" s="149"/>
      <c r="G238" s="95"/>
      <c r="H238" s="149"/>
      <c r="I238" s="95"/>
      <c r="J238" s="95"/>
      <c r="K238" s="113"/>
      <c r="L238" s="113"/>
      <c r="M238" s="100"/>
      <c r="N238" s="127"/>
      <c r="O238" s="128"/>
      <c r="P238" s="95"/>
      <c r="Q238" s="137"/>
      <c r="R238" s="129"/>
      <c r="S238" s="95"/>
      <c r="T238" s="95"/>
      <c r="V238" s="107"/>
    </row>
    <row r="239" ht="15.75" customHeight="1">
      <c r="A239" s="89"/>
      <c r="B239" s="182"/>
      <c r="C239" s="149"/>
      <c r="D239" s="95"/>
      <c r="E239" s="149"/>
      <c r="F239" s="149"/>
      <c r="G239" s="95"/>
      <c r="H239" s="149"/>
      <c r="I239" s="95"/>
      <c r="J239" s="95"/>
      <c r="K239" s="99"/>
      <c r="L239" s="99"/>
      <c r="M239" s="100"/>
      <c r="N239" s="127"/>
      <c r="O239" s="128"/>
      <c r="P239" s="95"/>
      <c r="Q239" s="137"/>
      <c r="R239" s="129"/>
      <c r="S239" s="95"/>
      <c r="T239" s="95"/>
      <c r="V239" s="107"/>
    </row>
    <row r="240" ht="15.75" customHeight="1">
      <c r="A240" s="89"/>
      <c r="B240" s="182"/>
      <c r="C240" s="149"/>
      <c r="D240" s="95"/>
      <c r="E240" s="149"/>
      <c r="F240" s="149"/>
      <c r="G240" s="95"/>
      <c r="H240" s="149"/>
      <c r="I240" s="95"/>
      <c r="J240" s="95"/>
      <c r="K240" s="113"/>
      <c r="L240" s="113"/>
      <c r="M240" s="100"/>
      <c r="N240" s="127"/>
      <c r="O240" s="128"/>
      <c r="P240" s="95"/>
      <c r="Q240" s="137"/>
      <c r="R240" s="129"/>
      <c r="S240" s="95"/>
      <c r="T240" s="95"/>
      <c r="V240" s="107"/>
    </row>
    <row r="241" ht="15.75" customHeight="1">
      <c r="A241" s="89"/>
      <c r="B241" s="182"/>
      <c r="C241" s="107"/>
      <c r="D241" s="95"/>
      <c r="E241" s="149"/>
      <c r="F241" s="149"/>
      <c r="G241" s="95"/>
      <c r="H241" s="149"/>
      <c r="I241" s="95"/>
      <c r="J241" s="95"/>
      <c r="K241" s="99"/>
      <c r="L241" s="99"/>
      <c r="M241" s="100"/>
      <c r="N241" s="127"/>
      <c r="O241" s="128"/>
      <c r="P241" s="95"/>
      <c r="Q241" s="137"/>
      <c r="R241" s="129"/>
      <c r="S241" s="95"/>
      <c r="T241" s="95"/>
      <c r="V241" s="107"/>
    </row>
    <row r="242" ht="15.75" customHeight="1">
      <c r="A242" s="89"/>
      <c r="B242" s="182"/>
      <c r="C242" s="149"/>
      <c r="D242" s="95"/>
      <c r="E242" s="149"/>
      <c r="F242" s="149"/>
      <c r="G242" s="95"/>
      <c r="H242" s="149"/>
      <c r="I242" s="95"/>
      <c r="J242" s="95"/>
      <c r="K242" s="113"/>
      <c r="L242" s="113"/>
      <c r="M242" s="100"/>
      <c r="N242" s="127"/>
      <c r="O242" s="128"/>
      <c r="P242" s="95"/>
      <c r="Q242" s="137"/>
      <c r="R242" s="129"/>
      <c r="S242" s="95"/>
      <c r="T242" s="95"/>
      <c r="V242" s="107"/>
    </row>
    <row r="243" ht="15.75" customHeight="1">
      <c r="A243" s="89"/>
      <c r="B243" s="182"/>
      <c r="C243" s="149"/>
      <c r="D243" s="95"/>
      <c r="E243" s="149"/>
      <c r="F243" s="149"/>
      <c r="G243" s="95"/>
      <c r="H243" s="149"/>
      <c r="I243" s="95"/>
      <c r="J243" s="95"/>
      <c r="K243" s="99"/>
      <c r="L243" s="99"/>
      <c r="M243" s="100"/>
      <c r="N243" s="127"/>
      <c r="O243" s="128"/>
      <c r="P243" s="95"/>
      <c r="Q243" s="137"/>
      <c r="R243" s="129"/>
      <c r="S243" s="95"/>
      <c r="T243" s="95"/>
      <c r="V243" s="107"/>
    </row>
    <row r="244" ht="15.75" customHeight="1">
      <c r="A244" s="89"/>
      <c r="B244" s="182"/>
      <c r="C244" s="149"/>
      <c r="D244" s="95"/>
      <c r="E244" s="149"/>
      <c r="F244" s="149"/>
      <c r="G244" s="95"/>
      <c r="H244" s="149"/>
      <c r="I244" s="95"/>
      <c r="J244" s="95"/>
      <c r="K244" s="154"/>
      <c r="L244" s="154"/>
      <c r="M244" s="100"/>
      <c r="N244" s="127"/>
      <c r="O244" s="128"/>
      <c r="P244" s="95"/>
      <c r="Q244" s="137"/>
      <c r="R244" s="129"/>
      <c r="S244" s="95"/>
      <c r="T244" s="95"/>
      <c r="V244" s="107"/>
    </row>
    <row r="245" ht="15.75" customHeight="1">
      <c r="A245" s="89"/>
      <c r="B245" s="182"/>
      <c r="C245" s="149"/>
      <c r="D245" s="95"/>
      <c r="E245" s="149"/>
      <c r="F245" s="149"/>
      <c r="G245" s="95"/>
      <c r="H245" s="149"/>
      <c r="I245" s="95"/>
      <c r="J245" s="95"/>
      <c r="K245" s="156"/>
      <c r="L245" s="156"/>
      <c r="M245" s="100"/>
      <c r="N245" s="127"/>
      <c r="O245" s="128"/>
      <c r="P245" s="95"/>
      <c r="Q245" s="137"/>
      <c r="R245" s="129"/>
      <c r="S245" s="95"/>
      <c r="T245" s="95"/>
      <c r="V245" s="107"/>
    </row>
    <row r="246" ht="15.75" customHeight="1">
      <c r="A246" s="89"/>
      <c r="B246" s="182"/>
      <c r="C246" s="149"/>
      <c r="D246" s="95"/>
      <c r="E246" s="149"/>
      <c r="F246" s="149"/>
      <c r="G246" s="95"/>
      <c r="H246" s="149"/>
      <c r="I246" s="95"/>
      <c r="J246" s="95"/>
      <c r="K246" s="154"/>
      <c r="L246" s="154"/>
      <c r="M246" s="100"/>
      <c r="N246" s="127"/>
      <c r="O246" s="128"/>
      <c r="P246" s="95"/>
      <c r="Q246" s="137"/>
      <c r="R246" s="129"/>
      <c r="S246" s="95"/>
      <c r="T246" s="95"/>
      <c r="V246" s="107"/>
    </row>
    <row r="247" ht="15.75" customHeight="1">
      <c r="A247" s="89"/>
      <c r="B247" s="182"/>
      <c r="C247" s="107"/>
      <c r="D247" s="95"/>
      <c r="E247" s="149"/>
      <c r="F247" s="149"/>
      <c r="G247" s="95"/>
      <c r="H247" s="149"/>
      <c r="I247" s="95"/>
      <c r="J247" s="95"/>
      <c r="K247" s="156"/>
      <c r="L247" s="156"/>
      <c r="M247" s="100"/>
      <c r="N247" s="127"/>
      <c r="O247" s="128"/>
      <c r="P247" s="95"/>
      <c r="Q247" s="137"/>
      <c r="R247" s="129"/>
      <c r="S247" s="95"/>
      <c r="T247" s="95"/>
      <c r="V247" s="107"/>
    </row>
    <row r="248" ht="15.75" customHeight="1">
      <c r="A248" s="89"/>
      <c r="B248" s="182"/>
      <c r="C248" s="149"/>
      <c r="D248" s="95"/>
      <c r="E248" s="149"/>
      <c r="F248" s="149"/>
      <c r="G248" s="95"/>
      <c r="H248" s="149"/>
      <c r="I248" s="95"/>
      <c r="J248" s="95"/>
      <c r="K248" s="154"/>
      <c r="L248" s="154"/>
      <c r="M248" s="100"/>
      <c r="N248" s="127"/>
      <c r="O248" s="128"/>
      <c r="P248" s="95"/>
      <c r="Q248" s="137"/>
      <c r="R248" s="129"/>
      <c r="S248" s="95"/>
      <c r="T248" s="95"/>
      <c r="V248" s="107"/>
    </row>
    <row r="249" ht="15.75" customHeight="1">
      <c r="A249" s="89"/>
      <c r="B249" s="182"/>
      <c r="C249" s="149"/>
      <c r="D249" s="95"/>
      <c r="E249" s="149"/>
      <c r="F249" s="149"/>
      <c r="G249" s="95"/>
      <c r="H249" s="149"/>
      <c r="I249" s="95"/>
      <c r="J249" s="95"/>
      <c r="K249" s="156"/>
      <c r="L249" s="156"/>
      <c r="M249" s="100"/>
      <c r="N249" s="127"/>
      <c r="O249" s="128"/>
      <c r="P249" s="95"/>
      <c r="Q249" s="137"/>
      <c r="R249" s="129"/>
      <c r="S249" s="95"/>
      <c r="T249" s="95"/>
      <c r="V249" s="107"/>
    </row>
    <row r="250" ht="15.75" customHeight="1">
      <c r="A250" s="89"/>
      <c r="B250" s="182"/>
      <c r="C250" s="149"/>
      <c r="D250" s="95"/>
      <c r="E250" s="149"/>
      <c r="F250" s="149"/>
      <c r="G250" s="95"/>
      <c r="H250" s="149"/>
      <c r="I250" s="95"/>
      <c r="J250" s="95"/>
      <c r="K250" s="154"/>
      <c r="L250" s="154"/>
      <c r="M250" s="100"/>
      <c r="N250" s="127"/>
      <c r="O250" s="128"/>
      <c r="P250" s="95"/>
      <c r="Q250" s="137"/>
      <c r="R250" s="129"/>
      <c r="S250" s="95"/>
      <c r="T250" s="95"/>
      <c r="V250" s="107"/>
    </row>
    <row r="251" ht="15.75" customHeight="1">
      <c r="A251" s="89"/>
      <c r="B251" s="182"/>
      <c r="C251" s="149"/>
      <c r="D251" s="95"/>
      <c r="E251" s="149"/>
      <c r="F251" s="149"/>
      <c r="G251" s="95"/>
      <c r="H251" s="149"/>
      <c r="I251" s="95"/>
      <c r="J251" s="95"/>
      <c r="K251" s="156"/>
      <c r="L251" s="156"/>
      <c r="M251" s="100"/>
      <c r="N251" s="127"/>
      <c r="O251" s="128"/>
      <c r="P251" s="95"/>
      <c r="Q251" s="137"/>
      <c r="R251" s="129"/>
      <c r="S251" s="95"/>
      <c r="T251" s="95"/>
      <c r="V251" s="107"/>
    </row>
    <row r="252" ht="15.75" customHeight="1">
      <c r="A252" s="89"/>
      <c r="B252" s="182"/>
      <c r="C252" s="149"/>
      <c r="D252" s="95"/>
      <c r="E252" s="149"/>
      <c r="F252" s="149"/>
      <c r="G252" s="95"/>
      <c r="H252" s="149"/>
      <c r="I252" s="95"/>
      <c r="J252" s="95"/>
      <c r="K252" s="154"/>
      <c r="L252" s="154"/>
      <c r="M252" s="100"/>
      <c r="N252" s="127"/>
      <c r="O252" s="128"/>
      <c r="P252" s="95"/>
      <c r="Q252" s="137"/>
      <c r="R252" s="129"/>
      <c r="S252" s="95"/>
      <c r="T252" s="95"/>
      <c r="V252" s="107"/>
    </row>
    <row r="253" ht="15.75" customHeight="1">
      <c r="A253" s="89"/>
      <c r="B253" s="182"/>
      <c r="C253" s="107"/>
      <c r="D253" s="95"/>
      <c r="E253" s="149"/>
      <c r="F253" s="149"/>
      <c r="G253" s="95"/>
      <c r="H253" s="149"/>
      <c r="I253" s="95"/>
      <c r="J253" s="95"/>
      <c r="K253" s="156"/>
      <c r="L253" s="156"/>
      <c r="M253" s="100"/>
      <c r="N253" s="127"/>
      <c r="O253" s="128"/>
      <c r="P253" s="95"/>
      <c r="Q253" s="137"/>
      <c r="R253" s="129"/>
      <c r="S253" s="95"/>
      <c r="T253" s="95"/>
      <c r="V253" s="107"/>
    </row>
    <row r="254" ht="15.75" customHeight="1">
      <c r="A254" s="89"/>
      <c r="B254" s="182"/>
      <c r="C254" s="149"/>
      <c r="D254" s="95"/>
      <c r="E254" s="149"/>
      <c r="F254" s="149"/>
      <c r="G254" s="95"/>
      <c r="H254" s="149"/>
      <c r="I254" s="95"/>
      <c r="J254" s="95"/>
      <c r="K254" s="154"/>
      <c r="L254" s="154"/>
      <c r="M254" s="100"/>
      <c r="N254" s="127"/>
      <c r="O254" s="128"/>
      <c r="P254" s="95"/>
      <c r="Q254" s="137"/>
      <c r="R254" s="129"/>
      <c r="S254" s="95"/>
      <c r="T254" s="95"/>
      <c r="V254" s="107"/>
    </row>
    <row r="255" ht="15.75" customHeight="1">
      <c r="A255" s="89"/>
      <c r="B255" s="182"/>
      <c r="C255" s="149"/>
      <c r="D255" s="95"/>
      <c r="E255" s="149"/>
      <c r="F255" s="149"/>
      <c r="G255" s="95"/>
      <c r="H255" s="149"/>
      <c r="I255" s="95"/>
      <c r="J255" s="95"/>
      <c r="K255" s="156"/>
      <c r="L255" s="156"/>
      <c r="M255" s="100"/>
      <c r="N255" s="127"/>
      <c r="O255" s="128"/>
      <c r="P255" s="95"/>
      <c r="Q255" s="137"/>
      <c r="R255" s="129"/>
      <c r="S255" s="95"/>
      <c r="T255" s="95"/>
      <c r="V255" s="107"/>
    </row>
    <row r="256" ht="15.75" customHeight="1">
      <c r="A256" s="89"/>
      <c r="B256" s="182"/>
      <c r="C256" s="149"/>
      <c r="D256" s="95"/>
      <c r="E256" s="149"/>
      <c r="F256" s="149"/>
      <c r="G256" s="95"/>
      <c r="H256" s="149"/>
      <c r="I256" s="95"/>
      <c r="J256" s="95"/>
      <c r="K256" s="154"/>
      <c r="L256" s="154"/>
      <c r="M256" s="100"/>
      <c r="N256" s="127"/>
      <c r="O256" s="128"/>
      <c r="P256" s="95"/>
      <c r="Q256" s="137"/>
      <c r="R256" s="129"/>
      <c r="S256" s="95"/>
      <c r="T256" s="95"/>
      <c r="V256" s="107"/>
    </row>
    <row r="257" ht="15.75" customHeight="1">
      <c r="A257" s="89"/>
      <c r="B257" s="182"/>
      <c r="C257" s="149"/>
      <c r="D257" s="95"/>
      <c r="E257" s="149"/>
      <c r="F257" s="149"/>
      <c r="G257" s="95"/>
      <c r="H257" s="149"/>
      <c r="I257" s="95"/>
      <c r="J257" s="95"/>
      <c r="K257" s="156"/>
      <c r="L257" s="156"/>
      <c r="M257" s="100"/>
      <c r="N257" s="127"/>
      <c r="O257" s="128"/>
      <c r="P257" s="95"/>
      <c r="Q257" s="137"/>
      <c r="R257" s="129"/>
      <c r="S257" s="95"/>
      <c r="T257" s="95"/>
      <c r="V257" s="107"/>
    </row>
    <row r="258" ht="15.75" customHeight="1">
      <c r="A258" s="89"/>
      <c r="B258" s="182"/>
      <c r="C258" s="149"/>
      <c r="D258" s="95"/>
      <c r="E258" s="149"/>
      <c r="F258" s="149"/>
      <c r="G258" s="95"/>
      <c r="H258" s="149"/>
      <c r="I258" s="95"/>
      <c r="J258" s="95"/>
      <c r="K258" s="154"/>
      <c r="L258" s="154"/>
      <c r="M258" s="100"/>
      <c r="N258" s="127"/>
      <c r="O258" s="128"/>
      <c r="P258" s="95"/>
      <c r="Q258" s="137"/>
      <c r="R258" s="129"/>
      <c r="S258" s="95"/>
      <c r="T258" s="95"/>
      <c r="V258" s="107"/>
    </row>
    <row r="259" ht="15.75" customHeight="1">
      <c r="A259" s="89"/>
      <c r="B259" s="182"/>
      <c r="C259" s="107"/>
      <c r="D259" s="95"/>
      <c r="E259" s="149"/>
      <c r="F259" s="149"/>
      <c r="G259" s="95"/>
      <c r="H259" s="149"/>
      <c r="I259" s="95"/>
      <c r="J259" s="95"/>
      <c r="K259" s="156"/>
      <c r="L259" s="156"/>
      <c r="M259" s="100"/>
      <c r="N259" s="127"/>
      <c r="O259" s="128"/>
      <c r="P259" s="95"/>
      <c r="Q259" s="137"/>
      <c r="R259" s="129"/>
      <c r="S259" s="95"/>
      <c r="T259" s="95"/>
      <c r="V259" s="107"/>
    </row>
    <row r="260" ht="15.75" customHeight="1">
      <c r="A260" s="89"/>
      <c r="B260" s="182"/>
      <c r="C260" s="149"/>
      <c r="D260" s="95"/>
      <c r="E260" s="149"/>
      <c r="F260" s="149"/>
      <c r="G260" s="95"/>
      <c r="H260" s="149"/>
      <c r="I260" s="95"/>
      <c r="J260" s="95"/>
      <c r="K260" s="154"/>
      <c r="L260" s="154"/>
      <c r="M260" s="100"/>
      <c r="N260" s="127"/>
      <c r="O260" s="128"/>
      <c r="P260" s="95"/>
      <c r="Q260" s="137"/>
      <c r="R260" s="129"/>
      <c r="S260" s="95"/>
      <c r="T260" s="95"/>
      <c r="V260" s="107"/>
    </row>
    <row r="261" ht="15.75" customHeight="1">
      <c r="A261" s="89"/>
      <c r="B261" s="182"/>
      <c r="C261" s="149"/>
      <c r="D261" s="95"/>
      <c r="E261" s="149"/>
      <c r="F261" s="149"/>
      <c r="G261" s="95"/>
      <c r="H261" s="149"/>
      <c r="I261" s="95"/>
      <c r="J261" s="95"/>
      <c r="K261" s="156"/>
      <c r="L261" s="156"/>
      <c r="M261" s="100"/>
      <c r="N261" s="127"/>
      <c r="O261" s="128"/>
      <c r="P261" s="95"/>
      <c r="Q261" s="137"/>
      <c r="R261" s="129"/>
      <c r="S261" s="95"/>
      <c r="T261" s="95"/>
      <c r="V261" s="107"/>
    </row>
    <row r="262" ht="15.75" customHeight="1">
      <c r="A262" s="89"/>
      <c r="B262" s="182"/>
      <c r="C262" s="149"/>
      <c r="D262" s="95"/>
      <c r="E262" s="149"/>
      <c r="F262" s="149"/>
      <c r="G262" s="95"/>
      <c r="H262" s="149"/>
      <c r="I262" s="95"/>
      <c r="J262" s="95"/>
      <c r="K262" s="154"/>
      <c r="L262" s="154"/>
      <c r="M262" s="100"/>
      <c r="N262" s="127"/>
      <c r="O262" s="128"/>
      <c r="P262" s="95"/>
      <c r="Q262" s="137"/>
      <c r="R262" s="129"/>
      <c r="S262" s="95"/>
      <c r="T262" s="95"/>
      <c r="V262" s="107"/>
    </row>
    <row r="263" ht="15.75" customHeight="1">
      <c r="A263" s="89"/>
      <c r="B263" s="182"/>
      <c r="C263" s="149"/>
      <c r="D263" s="95"/>
      <c r="E263" s="149"/>
      <c r="F263" s="149"/>
      <c r="G263" s="95"/>
      <c r="H263" s="149"/>
      <c r="I263" s="95"/>
      <c r="J263" s="95"/>
      <c r="K263" s="156"/>
      <c r="L263" s="156"/>
      <c r="M263" s="100"/>
      <c r="N263" s="127"/>
      <c r="O263" s="128"/>
      <c r="P263" s="95"/>
      <c r="Q263" s="137"/>
      <c r="R263" s="129"/>
      <c r="S263" s="95"/>
      <c r="T263" s="95"/>
      <c r="V263" s="107"/>
    </row>
    <row r="264" ht="15.75" customHeight="1">
      <c r="A264" s="89"/>
      <c r="B264" s="182"/>
      <c r="C264" s="149"/>
      <c r="D264" s="95"/>
      <c r="E264" s="149"/>
      <c r="F264" s="149"/>
      <c r="G264" s="95"/>
      <c r="H264" s="149"/>
      <c r="I264" s="95"/>
      <c r="J264" s="95"/>
      <c r="K264" s="154"/>
      <c r="L264" s="154"/>
      <c r="M264" s="100"/>
      <c r="N264" s="127"/>
      <c r="O264" s="128"/>
      <c r="P264" s="95"/>
      <c r="Q264" s="137"/>
      <c r="R264" s="129"/>
      <c r="S264" s="95"/>
      <c r="T264" s="95"/>
      <c r="V264" s="107"/>
    </row>
    <row r="265" ht="15.75" customHeight="1">
      <c r="A265" s="89"/>
      <c r="B265" s="182"/>
      <c r="C265" s="107"/>
      <c r="D265" s="95"/>
      <c r="E265" s="149"/>
      <c r="F265" s="149"/>
      <c r="G265" s="95"/>
      <c r="H265" s="149"/>
      <c r="I265" s="95"/>
      <c r="J265" s="95"/>
      <c r="K265" s="156"/>
      <c r="L265" s="156"/>
      <c r="M265" s="100"/>
      <c r="N265" s="127"/>
      <c r="O265" s="128"/>
      <c r="P265" s="95"/>
      <c r="Q265" s="137"/>
      <c r="R265" s="129"/>
      <c r="S265" s="95"/>
      <c r="T265" s="95"/>
      <c r="V265" s="107"/>
    </row>
    <row r="266" ht="15.75" customHeight="1">
      <c r="A266" s="89"/>
      <c r="B266" s="182"/>
      <c r="C266" s="149"/>
      <c r="D266" s="95"/>
      <c r="E266" s="149"/>
      <c r="F266" s="149"/>
      <c r="G266" s="95"/>
      <c r="H266" s="149"/>
      <c r="I266" s="95"/>
      <c r="J266" s="95"/>
      <c r="K266" s="154"/>
      <c r="L266" s="154"/>
      <c r="M266" s="100"/>
      <c r="N266" s="127"/>
      <c r="O266" s="128"/>
      <c r="P266" s="95"/>
      <c r="Q266" s="137"/>
      <c r="R266" s="129"/>
      <c r="S266" s="95"/>
      <c r="T266" s="95"/>
      <c r="V266" s="107"/>
    </row>
    <row r="267" ht="15.75" customHeight="1">
      <c r="A267" s="89"/>
      <c r="B267" s="182"/>
      <c r="C267" s="149"/>
      <c r="D267" s="95"/>
      <c r="E267" s="149"/>
      <c r="F267" s="149"/>
      <c r="G267" s="95"/>
      <c r="H267" s="149"/>
      <c r="I267" s="95"/>
      <c r="J267" s="95"/>
      <c r="K267" s="156"/>
      <c r="L267" s="156"/>
      <c r="M267" s="100"/>
      <c r="N267" s="127"/>
      <c r="O267" s="128"/>
      <c r="P267" s="95"/>
      <c r="Q267" s="137"/>
      <c r="R267" s="129"/>
      <c r="S267" s="95"/>
      <c r="T267" s="95"/>
      <c r="V267" s="107"/>
    </row>
    <row r="268" ht="15.75" customHeight="1">
      <c r="A268" s="89"/>
      <c r="B268" s="182"/>
      <c r="C268" s="149"/>
      <c r="D268" s="95"/>
      <c r="E268" s="149"/>
      <c r="F268" s="149"/>
      <c r="G268" s="95"/>
      <c r="H268" s="149"/>
      <c r="I268" s="95"/>
      <c r="J268" s="95"/>
      <c r="K268" s="154"/>
      <c r="L268" s="154"/>
      <c r="M268" s="100"/>
      <c r="N268" s="127"/>
      <c r="O268" s="128"/>
      <c r="P268" s="95"/>
      <c r="Q268" s="137"/>
      <c r="R268" s="129"/>
      <c r="S268" s="95"/>
      <c r="T268" s="95"/>
      <c r="V268" s="107"/>
    </row>
    <row r="269" ht="15.75" customHeight="1">
      <c r="A269" s="89"/>
      <c r="B269" s="182"/>
      <c r="C269" s="149"/>
      <c r="D269" s="95"/>
      <c r="E269" s="149"/>
      <c r="F269" s="149"/>
      <c r="G269" s="95"/>
      <c r="H269" s="149"/>
      <c r="I269" s="95"/>
      <c r="J269" s="95"/>
      <c r="K269" s="156"/>
      <c r="L269" s="156"/>
      <c r="M269" s="100"/>
      <c r="N269" s="127"/>
      <c r="O269" s="128"/>
      <c r="P269" s="95"/>
      <c r="Q269" s="137"/>
      <c r="R269" s="129"/>
      <c r="S269" s="95"/>
      <c r="T269" s="95"/>
      <c r="V269" s="107"/>
    </row>
    <row r="270" ht="15.75" customHeight="1">
      <c r="A270" s="89"/>
      <c r="B270" s="182"/>
      <c r="C270" s="149"/>
      <c r="D270" s="95"/>
      <c r="E270" s="149"/>
      <c r="F270" s="149"/>
      <c r="G270" s="95"/>
      <c r="H270" s="149"/>
      <c r="I270" s="95"/>
      <c r="J270" s="95"/>
      <c r="K270" s="154"/>
      <c r="L270" s="154"/>
      <c r="M270" s="100"/>
      <c r="N270" s="127"/>
      <c r="O270" s="128"/>
      <c r="P270" s="95"/>
      <c r="Q270" s="137"/>
      <c r="R270" s="129"/>
      <c r="S270" s="95"/>
      <c r="T270" s="95"/>
      <c r="V270" s="107"/>
    </row>
    <row r="271" ht="15.75" customHeight="1">
      <c r="A271" s="89"/>
      <c r="B271" s="182"/>
      <c r="C271" s="107"/>
      <c r="D271" s="95"/>
      <c r="E271" s="149"/>
      <c r="F271" s="149"/>
      <c r="G271" s="95"/>
      <c r="H271" s="149"/>
      <c r="I271" s="95"/>
      <c r="J271" s="95"/>
      <c r="K271" s="156"/>
      <c r="L271" s="156"/>
      <c r="M271" s="100"/>
      <c r="N271" s="127"/>
      <c r="O271" s="128"/>
      <c r="P271" s="95"/>
      <c r="Q271" s="137"/>
      <c r="R271" s="129"/>
      <c r="S271" s="95"/>
      <c r="T271" s="95"/>
      <c r="V271" s="107"/>
    </row>
    <row r="272" ht="15.75" customHeight="1">
      <c r="A272" s="89"/>
      <c r="B272" s="182"/>
      <c r="C272" s="149"/>
      <c r="D272" s="95"/>
      <c r="E272" s="149"/>
      <c r="F272" s="149"/>
      <c r="G272" s="95"/>
      <c r="H272" s="149"/>
      <c r="I272" s="95"/>
      <c r="J272" s="95"/>
      <c r="K272" s="154"/>
      <c r="L272" s="154"/>
      <c r="M272" s="100"/>
      <c r="N272" s="127"/>
      <c r="O272" s="128"/>
      <c r="P272" s="95"/>
      <c r="Q272" s="137"/>
      <c r="R272" s="129"/>
      <c r="S272" s="95"/>
      <c r="T272" s="95"/>
      <c r="V272" s="107"/>
    </row>
    <row r="273" ht="15.75" customHeight="1">
      <c r="A273" s="89"/>
      <c r="B273" s="182"/>
      <c r="C273" s="149"/>
      <c r="D273" s="95"/>
      <c r="E273" s="149"/>
      <c r="F273" s="149"/>
      <c r="G273" s="95"/>
      <c r="H273" s="149"/>
      <c r="I273" s="95"/>
      <c r="J273" s="95"/>
      <c r="K273" s="156"/>
      <c r="L273" s="156"/>
      <c r="M273" s="100"/>
      <c r="N273" s="127"/>
      <c r="O273" s="128"/>
      <c r="P273" s="95"/>
      <c r="Q273" s="137"/>
      <c r="R273" s="129"/>
      <c r="S273" s="95"/>
      <c r="T273" s="95"/>
      <c r="V273" s="107"/>
    </row>
    <row r="274" ht="15.75" customHeight="1">
      <c r="A274" s="89"/>
      <c r="B274" s="182"/>
      <c r="C274" s="149"/>
      <c r="D274" s="95"/>
      <c r="E274" s="149"/>
      <c r="F274" s="149"/>
      <c r="G274" s="95"/>
      <c r="H274" s="149"/>
      <c r="I274" s="95"/>
      <c r="J274" s="95"/>
      <c r="K274" s="154"/>
      <c r="L274" s="154"/>
      <c r="M274" s="100"/>
      <c r="N274" s="127"/>
      <c r="O274" s="128"/>
      <c r="P274" s="95"/>
      <c r="Q274" s="137"/>
      <c r="R274" s="129"/>
      <c r="S274" s="95"/>
      <c r="T274" s="95"/>
      <c r="V274" s="107"/>
    </row>
    <row r="275" ht="15.75" customHeight="1">
      <c r="A275" s="89"/>
      <c r="B275" s="182"/>
      <c r="C275" s="149"/>
      <c r="D275" s="95"/>
      <c r="E275" s="149"/>
      <c r="F275" s="149"/>
      <c r="G275" s="95"/>
      <c r="H275" s="149"/>
      <c r="I275" s="95"/>
      <c r="J275" s="95"/>
      <c r="K275" s="156"/>
      <c r="L275" s="156"/>
      <c r="M275" s="100"/>
      <c r="N275" s="127"/>
      <c r="O275" s="128"/>
      <c r="P275" s="95"/>
      <c r="Q275" s="137"/>
      <c r="R275" s="129"/>
      <c r="S275" s="95"/>
      <c r="T275" s="95"/>
      <c r="V275" s="107"/>
    </row>
    <row r="276" ht="15.75" customHeight="1">
      <c r="A276" s="89"/>
      <c r="B276" s="182"/>
      <c r="C276" s="149"/>
      <c r="D276" s="95"/>
      <c r="E276" s="149"/>
      <c r="F276" s="149"/>
      <c r="G276" s="95"/>
      <c r="H276" s="149"/>
      <c r="I276" s="95"/>
      <c r="J276" s="95"/>
      <c r="K276" s="154"/>
      <c r="L276" s="154"/>
      <c r="M276" s="100"/>
      <c r="N276" s="127"/>
      <c r="O276" s="128"/>
      <c r="P276" s="95"/>
      <c r="Q276" s="137"/>
      <c r="R276" s="129"/>
      <c r="S276" s="95"/>
      <c r="T276" s="95"/>
      <c r="V276" s="107"/>
    </row>
    <row r="277" ht="15.75" customHeight="1">
      <c r="A277" s="89"/>
      <c r="B277" s="182"/>
      <c r="C277" s="107"/>
      <c r="D277" s="95"/>
      <c r="E277" s="149"/>
      <c r="F277" s="149"/>
      <c r="G277" s="95"/>
      <c r="H277" s="149"/>
      <c r="I277" s="95"/>
      <c r="J277" s="95"/>
      <c r="K277" s="156"/>
      <c r="L277" s="156"/>
      <c r="M277" s="100"/>
      <c r="N277" s="127"/>
      <c r="O277" s="128"/>
      <c r="P277" s="95"/>
      <c r="Q277" s="137"/>
      <c r="R277" s="129"/>
      <c r="S277" s="95"/>
      <c r="T277" s="95"/>
      <c r="V277" s="107"/>
    </row>
    <row r="278" ht="15.75" customHeight="1">
      <c r="A278" s="89"/>
      <c r="B278" s="182"/>
      <c r="C278" s="149"/>
      <c r="D278" s="95"/>
      <c r="E278" s="149"/>
      <c r="F278" s="149"/>
      <c r="G278" s="95"/>
      <c r="H278" s="149"/>
      <c r="I278" s="95"/>
      <c r="J278" s="95"/>
      <c r="K278" s="154"/>
      <c r="L278" s="154"/>
      <c r="M278" s="100"/>
      <c r="N278" s="127"/>
      <c r="O278" s="128"/>
      <c r="P278" s="95"/>
      <c r="Q278" s="137"/>
      <c r="R278" s="129"/>
      <c r="S278" s="95"/>
      <c r="T278" s="95"/>
      <c r="V278" s="107"/>
    </row>
    <row r="279" ht="15.75" customHeight="1">
      <c r="A279" s="89"/>
      <c r="B279" s="182"/>
      <c r="C279" s="149"/>
      <c r="D279" s="95"/>
      <c r="E279" s="149"/>
      <c r="F279" s="149"/>
      <c r="G279" s="95"/>
      <c r="H279" s="149"/>
      <c r="I279" s="95"/>
      <c r="J279" s="95"/>
      <c r="K279" s="156"/>
      <c r="L279" s="156"/>
      <c r="M279" s="100"/>
      <c r="N279" s="127"/>
      <c r="O279" s="128"/>
      <c r="P279" s="95"/>
      <c r="Q279" s="137"/>
      <c r="R279" s="129"/>
      <c r="S279" s="95"/>
      <c r="T279" s="95"/>
      <c r="V279" s="107"/>
    </row>
    <row r="280" ht="15.75" customHeight="1">
      <c r="A280" s="89"/>
      <c r="B280" s="182"/>
      <c r="C280" s="149"/>
      <c r="D280" s="95"/>
      <c r="E280" s="149"/>
      <c r="F280" s="149"/>
      <c r="G280" s="95"/>
      <c r="H280" s="149"/>
      <c r="I280" s="95"/>
      <c r="J280" s="95"/>
      <c r="K280" s="154"/>
      <c r="L280" s="154"/>
      <c r="M280" s="100"/>
      <c r="N280" s="127"/>
      <c r="O280" s="128"/>
      <c r="P280" s="95"/>
      <c r="Q280" s="137"/>
      <c r="R280" s="129"/>
      <c r="S280" s="95"/>
      <c r="T280" s="95"/>
      <c r="V280" s="107"/>
    </row>
    <row r="281" ht="15.75" customHeight="1">
      <c r="A281" s="89"/>
      <c r="B281" s="182"/>
      <c r="C281" s="149"/>
      <c r="D281" s="95"/>
      <c r="E281" s="149"/>
      <c r="F281" s="149"/>
      <c r="G281" s="95"/>
      <c r="H281" s="149"/>
      <c r="I281" s="95"/>
      <c r="J281" s="95"/>
      <c r="K281" s="156"/>
      <c r="L281" s="156"/>
      <c r="M281" s="100"/>
      <c r="N281" s="127"/>
      <c r="O281" s="128"/>
      <c r="P281" s="95"/>
      <c r="Q281" s="137"/>
      <c r="R281" s="129"/>
      <c r="S281" s="95"/>
      <c r="T281" s="95"/>
      <c r="V281" s="107"/>
    </row>
    <row r="282" ht="15.75" customHeight="1">
      <c r="A282" s="89"/>
      <c r="B282" s="182"/>
      <c r="C282" s="149"/>
      <c r="D282" s="95"/>
      <c r="E282" s="149"/>
      <c r="F282" s="149"/>
      <c r="G282" s="95"/>
      <c r="H282" s="149"/>
      <c r="I282" s="95"/>
      <c r="J282" s="95"/>
      <c r="K282" s="154"/>
      <c r="L282" s="154"/>
      <c r="M282" s="100"/>
      <c r="N282" s="127"/>
      <c r="O282" s="128"/>
      <c r="P282" s="95"/>
      <c r="Q282" s="137"/>
      <c r="R282" s="129"/>
      <c r="S282" s="95"/>
      <c r="T282" s="95"/>
      <c r="V282" s="107"/>
    </row>
    <row r="283" ht="15.75" customHeight="1">
      <c r="A283" s="89"/>
      <c r="B283" s="182"/>
      <c r="C283" s="107"/>
      <c r="D283" s="95"/>
      <c r="E283" s="149"/>
      <c r="F283" s="149"/>
      <c r="G283" s="95"/>
      <c r="H283" s="149"/>
      <c r="I283" s="95"/>
      <c r="J283" s="95"/>
      <c r="K283" s="156"/>
      <c r="L283" s="156"/>
      <c r="M283" s="100"/>
      <c r="N283" s="127"/>
      <c r="O283" s="128"/>
      <c r="P283" s="95"/>
      <c r="Q283" s="137"/>
      <c r="R283" s="129"/>
      <c r="S283" s="95"/>
      <c r="T283" s="95"/>
      <c r="V283" s="107"/>
    </row>
    <row r="284" ht="15.75" customHeight="1">
      <c r="A284" s="89"/>
      <c r="B284" s="182"/>
      <c r="C284" s="149"/>
      <c r="D284" s="95"/>
      <c r="E284" s="149"/>
      <c r="F284" s="149"/>
      <c r="G284" s="95"/>
      <c r="H284" s="149"/>
      <c r="I284" s="95"/>
      <c r="J284" s="95"/>
      <c r="K284" s="154"/>
      <c r="L284" s="154"/>
      <c r="M284" s="100"/>
      <c r="N284" s="127"/>
      <c r="O284" s="128"/>
      <c r="P284" s="95"/>
      <c r="Q284" s="137"/>
      <c r="R284" s="129"/>
      <c r="S284" s="95"/>
      <c r="T284" s="95"/>
      <c r="V284" s="107"/>
    </row>
    <row r="285" ht="15.75" customHeight="1">
      <c r="A285" s="89"/>
      <c r="B285" s="182"/>
      <c r="C285" s="149"/>
      <c r="D285" s="95"/>
      <c r="E285" s="149"/>
      <c r="F285" s="149"/>
      <c r="G285" s="95"/>
      <c r="H285" s="149"/>
      <c r="I285" s="95"/>
      <c r="J285" s="95"/>
      <c r="K285" s="156"/>
      <c r="L285" s="156"/>
      <c r="M285" s="100"/>
      <c r="N285" s="127"/>
      <c r="O285" s="128"/>
      <c r="P285" s="95"/>
      <c r="Q285" s="137"/>
      <c r="R285" s="129"/>
      <c r="S285" s="95"/>
      <c r="T285" s="95"/>
      <c r="V285" s="107"/>
    </row>
    <row r="286" ht="15.75" customHeight="1">
      <c r="A286" s="89"/>
      <c r="B286" s="182"/>
      <c r="C286" s="149"/>
      <c r="D286" s="95"/>
      <c r="E286" s="149"/>
      <c r="F286" s="149"/>
      <c r="G286" s="95"/>
      <c r="H286" s="149"/>
      <c r="I286" s="95"/>
      <c r="J286" s="95"/>
      <c r="K286" s="154"/>
      <c r="L286" s="154"/>
      <c r="M286" s="100"/>
      <c r="N286" s="127"/>
      <c r="O286" s="128"/>
      <c r="P286" s="95"/>
      <c r="Q286" s="137"/>
      <c r="R286" s="129"/>
      <c r="S286" s="95"/>
      <c r="T286" s="95"/>
      <c r="V286" s="107"/>
    </row>
    <row r="287" ht="15.75" customHeight="1">
      <c r="A287" s="89"/>
      <c r="B287" s="182"/>
      <c r="C287" s="149"/>
      <c r="D287" s="95"/>
      <c r="E287" s="149"/>
      <c r="F287" s="149"/>
      <c r="G287" s="95"/>
      <c r="H287" s="149"/>
      <c r="I287" s="95"/>
      <c r="J287" s="95"/>
      <c r="K287" s="156"/>
      <c r="L287" s="156"/>
      <c r="M287" s="100"/>
      <c r="N287" s="127"/>
      <c r="O287" s="128"/>
      <c r="P287" s="95"/>
      <c r="Q287" s="137"/>
      <c r="R287" s="129"/>
      <c r="S287" s="95"/>
      <c r="T287" s="95"/>
      <c r="V287" s="107"/>
    </row>
    <row r="288" ht="15.75" customHeight="1">
      <c r="A288" s="89"/>
      <c r="B288" s="182"/>
      <c r="C288" s="149"/>
      <c r="D288" s="95"/>
      <c r="E288" s="149"/>
      <c r="F288" s="149"/>
      <c r="G288" s="95"/>
      <c r="H288" s="149"/>
      <c r="I288" s="95"/>
      <c r="J288" s="95"/>
      <c r="K288" s="154"/>
      <c r="L288" s="154"/>
      <c r="M288" s="100"/>
      <c r="N288" s="127"/>
      <c r="O288" s="128"/>
      <c r="P288" s="95"/>
      <c r="Q288" s="137"/>
      <c r="R288" s="129"/>
      <c r="S288" s="95"/>
      <c r="T288" s="95"/>
      <c r="V288" s="107"/>
    </row>
    <row r="289" ht="15.75" customHeight="1">
      <c r="A289" s="89"/>
      <c r="B289" s="182"/>
      <c r="C289" s="107"/>
      <c r="D289" s="95"/>
      <c r="E289" s="149"/>
      <c r="F289" s="149"/>
      <c r="G289" s="95"/>
      <c r="H289" s="149"/>
      <c r="I289" s="95"/>
      <c r="J289" s="95"/>
      <c r="K289" s="156"/>
      <c r="L289" s="156"/>
      <c r="M289" s="100"/>
      <c r="N289" s="127"/>
      <c r="O289" s="128"/>
      <c r="P289" s="95"/>
      <c r="Q289" s="137"/>
      <c r="R289" s="129"/>
      <c r="S289" s="95"/>
      <c r="T289" s="95"/>
      <c r="V289" s="107"/>
    </row>
    <row r="290" ht="15.75" customHeight="1">
      <c r="A290" s="89"/>
      <c r="B290" s="182"/>
      <c r="C290" s="149"/>
      <c r="D290" s="95"/>
      <c r="E290" s="149"/>
      <c r="F290" s="149"/>
      <c r="G290" s="95"/>
      <c r="H290" s="149"/>
      <c r="I290" s="95"/>
      <c r="J290" s="95"/>
      <c r="K290" s="154"/>
      <c r="L290" s="154"/>
      <c r="M290" s="100"/>
      <c r="N290" s="127"/>
      <c r="O290" s="128"/>
      <c r="P290" s="95"/>
      <c r="Q290" s="137"/>
      <c r="R290" s="129"/>
      <c r="S290" s="95"/>
      <c r="T290" s="95"/>
      <c r="V290" s="107"/>
    </row>
    <row r="291" ht="15.75" customHeight="1">
      <c r="A291" s="89"/>
      <c r="B291" s="182"/>
      <c r="C291" s="149"/>
      <c r="D291" s="95"/>
      <c r="E291" s="149"/>
      <c r="F291" s="149"/>
      <c r="G291" s="95"/>
      <c r="H291" s="149"/>
      <c r="I291" s="95"/>
      <c r="J291" s="95"/>
      <c r="K291" s="156"/>
      <c r="L291" s="156"/>
      <c r="M291" s="100"/>
      <c r="N291" s="127"/>
      <c r="O291" s="128"/>
      <c r="P291" s="95"/>
      <c r="Q291" s="137"/>
      <c r="R291" s="129"/>
      <c r="S291" s="95"/>
      <c r="T291" s="95"/>
      <c r="V291" s="107"/>
    </row>
    <row r="292" ht="15.75" customHeight="1">
      <c r="A292" s="89"/>
      <c r="B292" s="182"/>
      <c r="C292" s="149"/>
      <c r="D292" s="95"/>
      <c r="E292" s="149"/>
      <c r="F292" s="149"/>
      <c r="G292" s="95"/>
      <c r="H292" s="149"/>
      <c r="I292" s="95"/>
      <c r="J292" s="95"/>
      <c r="K292" s="154"/>
      <c r="L292" s="154"/>
      <c r="M292" s="100"/>
      <c r="N292" s="127"/>
      <c r="O292" s="128"/>
      <c r="P292" s="95"/>
      <c r="Q292" s="137"/>
      <c r="R292" s="129"/>
      <c r="S292" s="95"/>
      <c r="T292" s="95"/>
      <c r="V292" s="107"/>
    </row>
    <row r="293" ht="15.75" customHeight="1">
      <c r="A293" s="89"/>
      <c r="B293" s="182"/>
      <c r="C293" s="149"/>
      <c r="D293" s="95"/>
      <c r="E293" s="149"/>
      <c r="F293" s="149"/>
      <c r="G293" s="95"/>
      <c r="H293" s="149"/>
      <c r="I293" s="95"/>
      <c r="J293" s="95"/>
      <c r="K293" s="156"/>
      <c r="L293" s="156"/>
      <c r="M293" s="100"/>
      <c r="N293" s="127"/>
      <c r="O293" s="128"/>
      <c r="P293" s="95"/>
      <c r="Q293" s="137"/>
      <c r="R293" s="129"/>
      <c r="S293" s="95"/>
      <c r="T293" s="95"/>
      <c r="V293" s="107"/>
    </row>
    <row r="294" ht="15.75" customHeight="1">
      <c r="A294" s="89"/>
      <c r="B294" s="182"/>
      <c r="C294" s="149"/>
      <c r="D294" s="95"/>
      <c r="E294" s="149"/>
      <c r="F294" s="149"/>
      <c r="G294" s="95"/>
      <c r="H294" s="149"/>
      <c r="I294" s="95"/>
      <c r="J294" s="95"/>
      <c r="K294" s="154"/>
      <c r="L294" s="154"/>
      <c r="M294" s="100"/>
      <c r="N294" s="127"/>
      <c r="O294" s="128"/>
      <c r="P294" s="95"/>
      <c r="Q294" s="137"/>
      <c r="R294" s="129"/>
      <c r="S294" s="95"/>
      <c r="T294" s="95"/>
      <c r="V294" s="107"/>
    </row>
    <row r="295" ht="15.75" customHeight="1">
      <c r="A295" s="89"/>
      <c r="B295" s="182"/>
      <c r="C295" s="107"/>
      <c r="D295" s="95"/>
      <c r="E295" s="149"/>
      <c r="F295" s="149"/>
      <c r="G295" s="95"/>
      <c r="H295" s="149"/>
      <c r="I295" s="95"/>
      <c r="J295" s="95"/>
      <c r="K295" s="156"/>
      <c r="L295" s="156"/>
      <c r="M295" s="100"/>
      <c r="N295" s="127"/>
      <c r="O295" s="128"/>
      <c r="P295" s="95"/>
      <c r="Q295" s="137"/>
      <c r="R295" s="129"/>
      <c r="S295" s="95"/>
      <c r="T295" s="95"/>
      <c r="V295" s="107"/>
    </row>
    <row r="296" ht="15.75" customHeight="1">
      <c r="A296" s="89"/>
      <c r="B296" s="182"/>
      <c r="C296" s="149"/>
      <c r="D296" s="95"/>
      <c r="E296" s="149"/>
      <c r="F296" s="149"/>
      <c r="G296" s="95"/>
      <c r="H296" s="149"/>
      <c r="I296" s="95"/>
      <c r="J296" s="95"/>
      <c r="K296" s="154"/>
      <c r="L296" s="154"/>
      <c r="M296" s="100"/>
      <c r="N296" s="127"/>
      <c r="O296" s="128"/>
      <c r="P296" s="95"/>
      <c r="Q296" s="137"/>
      <c r="R296" s="129"/>
      <c r="S296" s="95"/>
      <c r="T296" s="95"/>
      <c r="V296" s="107"/>
    </row>
    <row r="297" ht="15.75" customHeight="1">
      <c r="A297" s="89"/>
      <c r="B297" s="182"/>
      <c r="C297" s="149"/>
      <c r="D297" s="95"/>
      <c r="E297" s="149"/>
      <c r="F297" s="149"/>
      <c r="G297" s="95"/>
      <c r="H297" s="149"/>
      <c r="I297" s="95"/>
      <c r="J297" s="95"/>
      <c r="K297" s="156"/>
      <c r="L297" s="156"/>
      <c r="M297" s="100"/>
      <c r="N297" s="127"/>
      <c r="O297" s="128"/>
      <c r="P297" s="95"/>
      <c r="Q297" s="137"/>
      <c r="R297" s="129"/>
      <c r="S297" s="95"/>
      <c r="T297" s="95"/>
      <c r="V297" s="107"/>
    </row>
    <row r="298" ht="15.75" customHeight="1">
      <c r="A298" s="89"/>
      <c r="B298" s="182"/>
      <c r="C298" s="149"/>
      <c r="D298" s="95"/>
      <c r="E298" s="149"/>
      <c r="F298" s="149"/>
      <c r="G298" s="95"/>
      <c r="H298" s="149"/>
      <c r="I298" s="95"/>
      <c r="J298" s="95"/>
      <c r="K298" s="154"/>
      <c r="L298" s="154"/>
      <c r="M298" s="100"/>
      <c r="N298" s="127"/>
      <c r="O298" s="128"/>
      <c r="P298" s="95"/>
      <c r="Q298" s="137"/>
      <c r="R298" s="129"/>
      <c r="S298" s="95"/>
      <c r="T298" s="95"/>
      <c r="V298" s="107"/>
    </row>
    <row r="299" ht="15.75" customHeight="1">
      <c r="A299" s="89"/>
      <c r="B299" s="182"/>
      <c r="C299" s="149"/>
      <c r="D299" s="95"/>
      <c r="E299" s="149"/>
      <c r="F299" s="149"/>
      <c r="G299" s="95"/>
      <c r="H299" s="149"/>
      <c r="I299" s="95"/>
      <c r="J299" s="95"/>
      <c r="K299" s="156"/>
      <c r="L299" s="156"/>
      <c r="M299" s="100"/>
      <c r="N299" s="127"/>
      <c r="O299" s="128"/>
      <c r="P299" s="95"/>
      <c r="Q299" s="137"/>
      <c r="R299" s="129"/>
      <c r="S299" s="95"/>
      <c r="T299" s="95"/>
      <c r="V299" s="107"/>
    </row>
    <row r="300" ht="15.75" customHeight="1">
      <c r="A300" s="89"/>
      <c r="B300" s="182"/>
      <c r="C300" s="149"/>
      <c r="D300" s="95"/>
      <c r="E300" s="149"/>
      <c r="F300" s="149"/>
      <c r="G300" s="95"/>
      <c r="H300" s="149"/>
      <c r="I300" s="95"/>
      <c r="J300" s="95"/>
      <c r="K300" s="154"/>
      <c r="L300" s="154"/>
      <c r="M300" s="100"/>
      <c r="N300" s="127"/>
      <c r="O300" s="128"/>
      <c r="P300" s="95"/>
      <c r="Q300" s="137"/>
      <c r="R300" s="129"/>
      <c r="S300" s="95"/>
      <c r="T300" s="95"/>
      <c r="V300" s="107"/>
    </row>
    <row r="301" ht="15.75" customHeight="1">
      <c r="A301" s="89"/>
      <c r="B301" s="182"/>
      <c r="C301" s="107"/>
      <c r="D301" s="95"/>
      <c r="E301" s="149"/>
      <c r="F301" s="149"/>
      <c r="G301" s="95"/>
      <c r="H301" s="149"/>
      <c r="I301" s="95"/>
      <c r="J301" s="95"/>
      <c r="K301" s="156"/>
      <c r="L301" s="156"/>
      <c r="M301" s="100"/>
      <c r="N301" s="127"/>
      <c r="O301" s="128"/>
      <c r="P301" s="95"/>
      <c r="Q301" s="137"/>
      <c r="R301" s="129"/>
      <c r="S301" s="95"/>
      <c r="T301" s="95"/>
      <c r="V301" s="107"/>
    </row>
    <row r="302" ht="15.75" customHeight="1">
      <c r="A302" s="89"/>
      <c r="B302" s="182"/>
      <c r="C302" s="149"/>
      <c r="D302" s="95"/>
      <c r="E302" s="149"/>
      <c r="F302" s="149"/>
      <c r="G302" s="95"/>
      <c r="H302" s="149"/>
      <c r="I302" s="95"/>
      <c r="J302" s="95"/>
      <c r="K302" s="154"/>
      <c r="L302" s="154"/>
      <c r="M302" s="100"/>
      <c r="N302" s="127"/>
      <c r="O302" s="128"/>
      <c r="P302" s="95"/>
      <c r="Q302" s="137"/>
      <c r="R302" s="129"/>
      <c r="S302" s="95"/>
      <c r="T302" s="95"/>
      <c r="V302" s="107"/>
    </row>
    <row r="303" ht="15.75" customHeight="1">
      <c r="A303" s="89"/>
      <c r="B303" s="182"/>
      <c r="C303" s="149"/>
      <c r="D303" s="95"/>
      <c r="E303" s="149"/>
      <c r="F303" s="149"/>
      <c r="G303" s="95"/>
      <c r="H303" s="149"/>
      <c r="I303" s="95"/>
      <c r="J303" s="95"/>
      <c r="K303" s="156"/>
      <c r="L303" s="156"/>
      <c r="M303" s="100"/>
      <c r="N303" s="127"/>
      <c r="O303" s="128"/>
      <c r="P303" s="95"/>
      <c r="Q303" s="137"/>
      <c r="R303" s="129"/>
      <c r="S303" s="95"/>
      <c r="T303" s="95"/>
      <c r="V303" s="107"/>
    </row>
    <row r="304" ht="15.75" customHeight="1">
      <c r="A304" s="89"/>
      <c r="B304" s="182"/>
      <c r="C304" s="149"/>
      <c r="D304" s="95"/>
      <c r="E304" s="149"/>
      <c r="F304" s="149"/>
      <c r="G304" s="95"/>
      <c r="H304" s="149"/>
      <c r="I304" s="95"/>
      <c r="J304" s="95"/>
      <c r="K304" s="154"/>
      <c r="L304" s="154"/>
      <c r="M304" s="100"/>
      <c r="N304" s="127"/>
      <c r="O304" s="128"/>
      <c r="P304" s="95"/>
      <c r="Q304" s="137"/>
      <c r="R304" s="129"/>
      <c r="S304" s="95"/>
      <c r="T304" s="95"/>
      <c r="V304" s="107"/>
    </row>
    <row r="305" ht="15.75" customHeight="1">
      <c r="A305" s="89"/>
      <c r="B305" s="182"/>
      <c r="C305" s="149"/>
      <c r="D305" s="95"/>
      <c r="E305" s="149"/>
      <c r="F305" s="149"/>
      <c r="G305" s="95"/>
      <c r="H305" s="149"/>
      <c r="I305" s="95"/>
      <c r="J305" s="95"/>
      <c r="K305" s="156"/>
      <c r="L305" s="156"/>
      <c r="M305" s="100"/>
      <c r="N305" s="127"/>
      <c r="O305" s="128"/>
      <c r="P305" s="95"/>
      <c r="Q305" s="137"/>
      <c r="R305" s="129"/>
      <c r="S305" s="95"/>
      <c r="T305" s="95"/>
      <c r="V305" s="107"/>
    </row>
    <row r="306" ht="15.75" customHeight="1">
      <c r="A306" s="89"/>
      <c r="B306" s="182"/>
      <c r="C306" s="149"/>
      <c r="D306" s="95"/>
      <c r="E306" s="149"/>
      <c r="F306" s="149"/>
      <c r="G306" s="95"/>
      <c r="H306" s="149"/>
      <c r="I306" s="95"/>
      <c r="J306" s="95"/>
      <c r="K306" s="154"/>
      <c r="L306" s="154"/>
      <c r="M306" s="100"/>
      <c r="N306" s="127"/>
      <c r="O306" s="128"/>
      <c r="P306" s="95"/>
      <c r="Q306" s="137"/>
      <c r="R306" s="129"/>
      <c r="S306" s="95"/>
      <c r="T306" s="95"/>
      <c r="V306" s="107"/>
    </row>
    <row r="307" ht="15.75" customHeight="1">
      <c r="A307" s="89"/>
      <c r="B307" s="182"/>
      <c r="C307" s="107"/>
      <c r="D307" s="95"/>
      <c r="E307" s="149"/>
      <c r="F307" s="149"/>
      <c r="G307" s="95"/>
      <c r="H307" s="149"/>
      <c r="I307" s="95"/>
      <c r="J307" s="95"/>
      <c r="K307" s="156"/>
      <c r="L307" s="156"/>
      <c r="M307" s="100"/>
      <c r="N307" s="127"/>
      <c r="O307" s="128"/>
      <c r="P307" s="95"/>
      <c r="Q307" s="137"/>
      <c r="R307" s="129"/>
      <c r="S307" s="95"/>
      <c r="T307" s="95"/>
      <c r="V307" s="107"/>
    </row>
    <row r="308" ht="15.75" customHeight="1">
      <c r="A308" s="89"/>
      <c r="B308" s="182"/>
      <c r="C308" s="149"/>
      <c r="D308" s="95"/>
      <c r="E308" s="149"/>
      <c r="F308" s="149"/>
      <c r="G308" s="95"/>
      <c r="H308" s="149"/>
      <c r="I308" s="95"/>
      <c r="J308" s="95"/>
      <c r="K308" s="154"/>
      <c r="L308" s="154"/>
      <c r="M308" s="100"/>
      <c r="N308" s="127"/>
      <c r="O308" s="128"/>
      <c r="P308" s="95"/>
      <c r="Q308" s="137"/>
      <c r="R308" s="129"/>
      <c r="S308" s="95"/>
      <c r="T308" s="95"/>
      <c r="V308" s="107"/>
    </row>
    <row r="309" ht="15.75" customHeight="1">
      <c r="A309" s="89"/>
      <c r="B309" s="182"/>
      <c r="C309" s="149"/>
      <c r="D309" s="95"/>
      <c r="E309" s="149"/>
      <c r="F309" s="149"/>
      <c r="G309" s="95"/>
      <c r="H309" s="149"/>
      <c r="I309" s="95"/>
      <c r="J309" s="95"/>
      <c r="K309" s="156"/>
      <c r="L309" s="156"/>
      <c r="M309" s="100"/>
      <c r="N309" s="127"/>
      <c r="O309" s="128"/>
      <c r="P309" s="95"/>
      <c r="Q309" s="137"/>
      <c r="R309" s="129"/>
      <c r="S309" s="95"/>
      <c r="T309" s="95"/>
      <c r="V309" s="107"/>
    </row>
    <row r="310" ht="15.75" customHeight="1">
      <c r="A310" s="89"/>
      <c r="B310" s="182"/>
      <c r="C310" s="149"/>
      <c r="D310" s="95"/>
      <c r="E310" s="149"/>
      <c r="F310" s="149"/>
      <c r="G310" s="95"/>
      <c r="H310" s="149"/>
      <c r="I310" s="95"/>
      <c r="J310" s="95"/>
      <c r="K310" s="154"/>
      <c r="L310" s="154"/>
      <c r="M310" s="100"/>
      <c r="N310" s="127"/>
      <c r="O310" s="128"/>
      <c r="P310" s="95"/>
      <c r="Q310" s="137"/>
      <c r="R310" s="129"/>
      <c r="S310" s="95"/>
      <c r="T310" s="95"/>
      <c r="V310" s="107"/>
    </row>
    <row r="311" ht="15.75" customHeight="1">
      <c r="A311" s="89"/>
      <c r="B311" s="182"/>
      <c r="C311" s="149"/>
      <c r="D311" s="95"/>
      <c r="E311" s="149"/>
      <c r="F311" s="149"/>
      <c r="G311" s="95"/>
      <c r="H311" s="149"/>
      <c r="I311" s="95"/>
      <c r="J311" s="95"/>
      <c r="K311" s="156"/>
      <c r="L311" s="156"/>
      <c r="M311" s="100"/>
      <c r="N311" s="127"/>
      <c r="O311" s="128"/>
      <c r="P311" s="95"/>
      <c r="Q311" s="137"/>
      <c r="R311" s="129"/>
      <c r="S311" s="95"/>
      <c r="T311" s="95"/>
      <c r="V311" s="107"/>
    </row>
    <row r="312" ht="15.75" customHeight="1">
      <c r="A312" s="89"/>
      <c r="B312" s="182"/>
      <c r="C312" s="149"/>
      <c r="D312" s="95"/>
      <c r="E312" s="149"/>
      <c r="F312" s="149"/>
      <c r="G312" s="95"/>
      <c r="H312" s="149"/>
      <c r="I312" s="95"/>
      <c r="J312" s="95"/>
      <c r="K312" s="154"/>
      <c r="L312" s="154"/>
      <c r="M312" s="100"/>
      <c r="N312" s="127"/>
      <c r="O312" s="128"/>
      <c r="P312" s="95"/>
      <c r="Q312" s="137"/>
      <c r="R312" s="129"/>
      <c r="S312" s="95"/>
      <c r="T312" s="95"/>
      <c r="V312" s="107"/>
    </row>
    <row r="313" ht="15.75" customHeight="1">
      <c r="A313" s="89"/>
      <c r="B313" s="182"/>
      <c r="C313" s="107"/>
      <c r="D313" s="95"/>
      <c r="E313" s="149"/>
      <c r="F313" s="149"/>
      <c r="G313" s="95"/>
      <c r="H313" s="149"/>
      <c r="I313" s="95"/>
      <c r="J313" s="95"/>
      <c r="K313" s="156"/>
      <c r="L313" s="156"/>
      <c r="M313" s="100"/>
      <c r="N313" s="127"/>
      <c r="O313" s="128"/>
      <c r="P313" s="95"/>
      <c r="Q313" s="137"/>
      <c r="R313" s="129"/>
      <c r="S313" s="95"/>
      <c r="T313" s="95"/>
      <c r="V313" s="107"/>
    </row>
    <row r="314" ht="15.75" customHeight="1">
      <c r="A314" s="89"/>
      <c r="B314" s="182"/>
      <c r="C314" s="149"/>
      <c r="D314" s="95"/>
      <c r="E314" s="149"/>
      <c r="F314" s="149"/>
      <c r="G314" s="95"/>
      <c r="H314" s="149"/>
      <c r="I314" s="95"/>
      <c r="J314" s="95"/>
      <c r="K314" s="154"/>
      <c r="L314" s="154"/>
      <c r="M314" s="100"/>
      <c r="N314" s="127"/>
      <c r="O314" s="128"/>
      <c r="P314" s="95"/>
      <c r="Q314" s="137"/>
      <c r="R314" s="129"/>
      <c r="S314" s="95"/>
      <c r="T314" s="95"/>
      <c r="V314" s="107"/>
    </row>
    <row r="315" ht="15.75" customHeight="1">
      <c r="A315" s="89"/>
      <c r="B315" s="182"/>
      <c r="C315" s="149"/>
      <c r="D315" s="95"/>
      <c r="E315" s="149"/>
      <c r="F315" s="149"/>
      <c r="G315" s="95"/>
      <c r="H315" s="149"/>
      <c r="I315" s="95"/>
      <c r="J315" s="95"/>
      <c r="K315" s="156"/>
      <c r="L315" s="156"/>
      <c r="M315" s="100"/>
      <c r="N315" s="127"/>
      <c r="O315" s="128"/>
      <c r="P315" s="95"/>
      <c r="Q315" s="137"/>
      <c r="R315" s="129"/>
      <c r="S315" s="95"/>
      <c r="T315" s="95"/>
      <c r="V315" s="107"/>
    </row>
    <row r="316" ht="15.75" customHeight="1">
      <c r="A316" s="89"/>
      <c r="B316" s="182"/>
      <c r="C316" s="149"/>
      <c r="D316" s="95"/>
      <c r="E316" s="149"/>
      <c r="F316" s="149"/>
      <c r="G316" s="95"/>
      <c r="H316" s="149"/>
      <c r="I316" s="95"/>
      <c r="J316" s="95"/>
      <c r="K316" s="154"/>
      <c r="L316" s="154"/>
      <c r="M316" s="100"/>
      <c r="N316" s="127"/>
      <c r="O316" s="128"/>
      <c r="P316" s="95"/>
      <c r="Q316" s="137"/>
      <c r="R316" s="129"/>
      <c r="S316" s="95"/>
      <c r="T316" s="95"/>
      <c r="V316" s="107"/>
    </row>
    <row r="317" ht="15.75" customHeight="1">
      <c r="A317" s="89"/>
      <c r="B317" s="182"/>
      <c r="C317" s="149"/>
      <c r="D317" s="95"/>
      <c r="E317" s="149"/>
      <c r="F317" s="149"/>
      <c r="G317" s="95"/>
      <c r="H317" s="149"/>
      <c r="I317" s="95"/>
      <c r="J317" s="95"/>
      <c r="K317" s="156"/>
      <c r="L317" s="156"/>
      <c r="M317" s="100"/>
      <c r="N317" s="127"/>
      <c r="O317" s="128"/>
      <c r="P317" s="95"/>
      <c r="Q317" s="137"/>
      <c r="R317" s="129"/>
      <c r="S317" s="95"/>
      <c r="T317" s="95"/>
      <c r="V317" s="107"/>
    </row>
    <row r="318" ht="15.75" customHeight="1">
      <c r="A318" s="89"/>
      <c r="B318" s="182"/>
      <c r="C318" s="149"/>
      <c r="D318" s="95"/>
      <c r="E318" s="149"/>
      <c r="F318" s="149"/>
      <c r="G318" s="95"/>
      <c r="H318" s="149"/>
      <c r="I318" s="95"/>
      <c r="J318" s="95"/>
      <c r="K318" s="154"/>
      <c r="L318" s="154"/>
      <c r="M318" s="100"/>
      <c r="N318" s="127"/>
      <c r="O318" s="128"/>
      <c r="P318" s="95"/>
      <c r="Q318" s="137"/>
      <c r="R318" s="129"/>
      <c r="S318" s="95"/>
      <c r="T318" s="95"/>
      <c r="V318" s="107"/>
    </row>
    <row r="319" ht="15.75" customHeight="1">
      <c r="A319" s="89"/>
      <c r="B319" s="182"/>
      <c r="C319" s="107"/>
      <c r="D319" s="95"/>
      <c r="E319" s="149"/>
      <c r="F319" s="149"/>
      <c r="G319" s="95"/>
      <c r="H319" s="149"/>
      <c r="I319" s="95"/>
      <c r="J319" s="95"/>
      <c r="K319" s="156"/>
      <c r="L319" s="156"/>
      <c r="M319" s="100"/>
      <c r="N319" s="127"/>
      <c r="O319" s="128"/>
      <c r="P319" s="95"/>
      <c r="Q319" s="137"/>
      <c r="R319" s="129"/>
      <c r="S319" s="95"/>
      <c r="T319" s="95"/>
      <c r="V319" s="107"/>
    </row>
    <row r="320" ht="15.75" customHeight="1">
      <c r="A320" s="89"/>
      <c r="B320" s="182"/>
      <c r="C320" s="149"/>
      <c r="D320" s="95"/>
      <c r="E320" s="149"/>
      <c r="F320" s="149"/>
      <c r="G320" s="95"/>
      <c r="H320" s="149"/>
      <c r="I320" s="95"/>
      <c r="J320" s="95"/>
      <c r="K320" s="154"/>
      <c r="L320" s="154"/>
      <c r="M320" s="100"/>
      <c r="N320" s="127"/>
      <c r="O320" s="128"/>
      <c r="P320" s="95"/>
      <c r="Q320" s="137"/>
      <c r="R320" s="129"/>
      <c r="S320" s="95"/>
      <c r="T320" s="95"/>
      <c r="V320" s="107"/>
    </row>
    <row r="321" ht="15.75" customHeight="1">
      <c r="A321" s="89"/>
      <c r="B321" s="182"/>
      <c r="C321" s="149"/>
      <c r="D321" s="95"/>
      <c r="E321" s="149"/>
      <c r="F321" s="149"/>
      <c r="G321" s="95"/>
      <c r="H321" s="149"/>
      <c r="I321" s="95"/>
      <c r="J321" s="95"/>
      <c r="K321" s="156"/>
      <c r="L321" s="156"/>
      <c r="M321" s="100"/>
      <c r="N321" s="127"/>
      <c r="O321" s="128"/>
      <c r="P321" s="95"/>
      <c r="Q321" s="137"/>
      <c r="R321" s="129"/>
      <c r="S321" s="95"/>
      <c r="T321" s="95"/>
      <c r="V321" s="107"/>
    </row>
    <row r="322" ht="15.75" customHeight="1">
      <c r="A322" s="89"/>
      <c r="B322" s="182"/>
      <c r="C322" s="149"/>
      <c r="D322" s="95"/>
      <c r="E322" s="149"/>
      <c r="F322" s="149"/>
      <c r="G322" s="95"/>
      <c r="H322" s="149"/>
      <c r="I322" s="95"/>
      <c r="J322" s="95"/>
      <c r="K322" s="154"/>
      <c r="L322" s="154"/>
      <c r="M322" s="100"/>
      <c r="N322" s="127"/>
      <c r="O322" s="128"/>
      <c r="P322" s="95"/>
      <c r="Q322" s="137"/>
      <c r="R322" s="129"/>
      <c r="S322" s="95"/>
      <c r="T322" s="95"/>
      <c r="V322" s="107"/>
    </row>
    <row r="323" ht="15.75" customHeight="1">
      <c r="A323" s="89"/>
      <c r="B323" s="182"/>
      <c r="C323" s="149"/>
      <c r="D323" s="95"/>
      <c r="E323" s="149"/>
      <c r="F323" s="149"/>
      <c r="G323" s="95"/>
      <c r="H323" s="149"/>
      <c r="I323" s="95"/>
      <c r="J323" s="95"/>
      <c r="K323" s="156"/>
      <c r="L323" s="156"/>
      <c r="M323" s="100"/>
      <c r="N323" s="127"/>
      <c r="O323" s="128"/>
      <c r="P323" s="95"/>
      <c r="Q323" s="137"/>
      <c r="R323" s="129"/>
      <c r="S323" s="95"/>
      <c r="T323" s="95"/>
      <c r="V323" s="107"/>
    </row>
    <row r="324" ht="15.75" customHeight="1">
      <c r="A324" s="89"/>
      <c r="B324" s="182"/>
      <c r="C324" s="149"/>
      <c r="D324" s="95"/>
      <c r="E324" s="149"/>
      <c r="F324" s="149"/>
      <c r="G324" s="95"/>
      <c r="H324" s="149"/>
      <c r="I324" s="95"/>
      <c r="J324" s="95"/>
      <c r="K324" s="154"/>
      <c r="L324" s="154"/>
      <c r="M324" s="100"/>
      <c r="N324" s="127"/>
      <c r="O324" s="128"/>
      <c r="P324" s="95"/>
      <c r="Q324" s="137"/>
      <c r="R324" s="129"/>
      <c r="S324" s="95"/>
      <c r="T324" s="95"/>
      <c r="V324" s="107"/>
    </row>
    <row r="325" ht="15.75" customHeight="1">
      <c r="A325" s="89"/>
      <c r="B325" s="182"/>
      <c r="C325" s="107"/>
      <c r="D325" s="95"/>
      <c r="E325" s="149"/>
      <c r="F325" s="149"/>
      <c r="G325" s="95"/>
      <c r="H325" s="149"/>
      <c r="I325" s="95"/>
      <c r="J325" s="95"/>
      <c r="K325" s="156"/>
      <c r="L325" s="156"/>
      <c r="M325" s="100"/>
      <c r="N325" s="127"/>
      <c r="O325" s="128"/>
      <c r="P325" s="95"/>
      <c r="Q325" s="137"/>
      <c r="R325" s="129"/>
      <c r="S325" s="95"/>
      <c r="T325" s="95"/>
      <c r="V325" s="107"/>
    </row>
    <row r="326" ht="15.75" customHeight="1">
      <c r="A326" s="89"/>
      <c r="B326" s="182"/>
      <c r="C326" s="149"/>
      <c r="D326" s="95"/>
      <c r="E326" s="149"/>
      <c r="F326" s="149"/>
      <c r="G326" s="95"/>
      <c r="H326" s="149"/>
      <c r="I326" s="95"/>
      <c r="J326" s="95"/>
      <c r="K326" s="154"/>
      <c r="L326" s="154"/>
      <c r="M326" s="100"/>
      <c r="N326" s="127"/>
      <c r="O326" s="128"/>
      <c r="P326" s="95"/>
      <c r="Q326" s="137"/>
      <c r="R326" s="129"/>
      <c r="S326" s="95"/>
      <c r="T326" s="95"/>
      <c r="V326" s="107"/>
    </row>
    <row r="327" ht="15.75" customHeight="1">
      <c r="A327" s="89"/>
      <c r="B327" s="182"/>
      <c r="C327" s="149"/>
      <c r="D327" s="95"/>
      <c r="E327" s="149"/>
      <c r="F327" s="149"/>
      <c r="G327" s="95"/>
      <c r="H327" s="149"/>
      <c r="I327" s="95"/>
      <c r="J327" s="95"/>
      <c r="K327" s="156"/>
      <c r="L327" s="156"/>
      <c r="M327" s="100"/>
      <c r="N327" s="127"/>
      <c r="O327" s="128"/>
      <c r="P327" s="95"/>
      <c r="Q327" s="137"/>
      <c r="R327" s="129"/>
      <c r="S327" s="95"/>
      <c r="T327" s="95"/>
      <c r="V327" s="107"/>
    </row>
    <row r="328" ht="15.75" customHeight="1">
      <c r="A328" s="89"/>
      <c r="B328" s="182"/>
      <c r="C328" s="149"/>
      <c r="D328" s="95"/>
      <c r="E328" s="149"/>
      <c r="F328" s="149"/>
      <c r="G328" s="95"/>
      <c r="H328" s="149"/>
      <c r="I328" s="95"/>
      <c r="J328" s="95"/>
      <c r="K328" s="158"/>
      <c r="L328" s="158"/>
      <c r="M328" s="100"/>
      <c r="N328" s="127"/>
      <c r="O328" s="128"/>
      <c r="P328" s="95"/>
      <c r="Q328" s="137"/>
      <c r="R328" s="129"/>
      <c r="S328" s="95"/>
      <c r="T328" s="95"/>
      <c r="V328" s="107"/>
    </row>
    <row r="329" ht="15.75" customHeight="1">
      <c r="A329" s="89"/>
      <c r="B329" s="182"/>
      <c r="C329" s="149"/>
      <c r="D329" s="95"/>
      <c r="E329" s="149"/>
      <c r="F329" s="149"/>
      <c r="G329" s="95"/>
      <c r="H329" s="149"/>
      <c r="I329" s="95"/>
      <c r="J329" s="95"/>
      <c r="K329" s="158"/>
      <c r="L329" s="158"/>
      <c r="M329" s="100"/>
      <c r="N329" s="127"/>
      <c r="O329" s="128"/>
      <c r="P329" s="95"/>
      <c r="Q329" s="137"/>
      <c r="R329" s="129"/>
      <c r="S329" s="95"/>
      <c r="T329" s="95"/>
      <c r="V329" s="107"/>
    </row>
    <row r="330" ht="15.75" customHeight="1">
      <c r="A330" s="89"/>
      <c r="B330" s="182"/>
      <c r="C330" s="149"/>
      <c r="D330" s="95"/>
      <c r="E330" s="149"/>
      <c r="F330" s="149"/>
      <c r="G330" s="95"/>
      <c r="H330" s="149"/>
      <c r="I330" s="95"/>
      <c r="J330" s="95"/>
      <c r="K330" s="158"/>
      <c r="L330" s="158"/>
      <c r="M330" s="100"/>
      <c r="N330" s="127"/>
      <c r="O330" s="128"/>
      <c r="P330" s="95"/>
      <c r="Q330" s="137"/>
      <c r="R330" s="129"/>
      <c r="S330" s="95"/>
      <c r="T330" s="95"/>
      <c r="V330" s="107"/>
    </row>
    <row r="331" ht="15.75" customHeight="1">
      <c r="A331" s="89"/>
      <c r="B331" s="182"/>
      <c r="C331" s="107"/>
      <c r="D331" s="95"/>
      <c r="E331" s="149"/>
      <c r="F331" s="149"/>
      <c r="G331" s="95"/>
      <c r="H331" s="149"/>
      <c r="I331" s="95"/>
      <c r="J331" s="95"/>
      <c r="K331" s="158"/>
      <c r="L331" s="158"/>
      <c r="M331" s="100"/>
      <c r="N331" s="127"/>
      <c r="O331" s="128"/>
      <c r="P331" s="95"/>
      <c r="Q331" s="137"/>
      <c r="R331" s="129"/>
      <c r="S331" s="95"/>
      <c r="T331" s="95"/>
      <c r="V331" s="107"/>
    </row>
    <row r="332" ht="15.75" customHeight="1">
      <c r="A332" s="89"/>
      <c r="B332" s="182"/>
      <c r="C332" s="149"/>
      <c r="D332" s="95"/>
      <c r="E332" s="149"/>
      <c r="F332" s="149"/>
      <c r="G332" s="95"/>
      <c r="H332" s="149"/>
      <c r="I332" s="95"/>
      <c r="J332" s="95"/>
      <c r="K332" s="158"/>
      <c r="L332" s="158"/>
      <c r="M332" s="100"/>
      <c r="N332" s="127"/>
      <c r="O332" s="128"/>
      <c r="P332" s="95"/>
      <c r="Q332" s="137"/>
      <c r="R332" s="129"/>
      <c r="S332" s="95"/>
      <c r="T332" s="95"/>
      <c r="V332" s="107"/>
    </row>
    <row r="333" ht="15.75" customHeight="1">
      <c r="A333" s="89"/>
      <c r="B333" s="182"/>
      <c r="C333" s="149"/>
      <c r="D333" s="95"/>
      <c r="E333" s="149"/>
      <c r="F333" s="149"/>
      <c r="G333" s="95"/>
      <c r="H333" s="149"/>
      <c r="I333" s="95"/>
      <c r="J333" s="95"/>
      <c r="K333" s="158"/>
      <c r="L333" s="158"/>
      <c r="M333" s="100"/>
      <c r="N333" s="127"/>
      <c r="O333" s="128"/>
      <c r="P333" s="95"/>
      <c r="Q333" s="137"/>
      <c r="R333" s="129"/>
      <c r="S333" s="95"/>
      <c r="T333" s="95"/>
      <c r="V333" s="107"/>
    </row>
    <row r="334" ht="15.75" customHeight="1">
      <c r="A334" s="89"/>
      <c r="B334" s="182"/>
      <c r="C334" s="149"/>
      <c r="D334" s="95"/>
      <c r="E334" s="149"/>
      <c r="F334" s="149"/>
      <c r="G334" s="95"/>
      <c r="H334" s="149"/>
      <c r="I334" s="95"/>
      <c r="J334" s="95"/>
      <c r="K334" s="158"/>
      <c r="L334" s="158"/>
      <c r="M334" s="100"/>
      <c r="N334" s="127"/>
      <c r="O334" s="128"/>
      <c r="P334" s="95"/>
      <c r="Q334" s="137"/>
      <c r="R334" s="129"/>
      <c r="S334" s="95"/>
      <c r="T334" s="95"/>
      <c r="V334" s="107"/>
    </row>
    <row r="335" ht="15.75" customHeight="1">
      <c r="A335" s="89"/>
      <c r="B335" s="182"/>
      <c r="C335" s="149"/>
      <c r="D335" s="95"/>
      <c r="E335" s="149"/>
      <c r="F335" s="149"/>
      <c r="G335" s="95"/>
      <c r="H335" s="149"/>
      <c r="I335" s="95"/>
      <c r="J335" s="95"/>
      <c r="K335" s="158"/>
      <c r="L335" s="158"/>
      <c r="M335" s="100"/>
      <c r="N335" s="127"/>
      <c r="O335" s="128"/>
      <c r="P335" s="95"/>
      <c r="Q335" s="137"/>
      <c r="R335" s="129"/>
      <c r="S335" s="95"/>
      <c r="T335" s="95"/>
      <c r="V335" s="107"/>
    </row>
    <row r="336" ht="15.75" customHeight="1">
      <c r="A336" s="89"/>
      <c r="B336" s="182"/>
      <c r="C336" s="149"/>
      <c r="D336" s="95"/>
      <c r="E336" s="149"/>
      <c r="F336" s="149"/>
      <c r="G336" s="95"/>
      <c r="H336" s="149"/>
      <c r="I336" s="95"/>
      <c r="J336" s="95"/>
      <c r="K336" s="158"/>
      <c r="L336" s="158"/>
      <c r="M336" s="100"/>
      <c r="N336" s="127"/>
      <c r="O336" s="128"/>
      <c r="P336" s="95"/>
      <c r="Q336" s="137"/>
      <c r="R336" s="129"/>
      <c r="S336" s="95"/>
      <c r="T336" s="95"/>
      <c r="V336" s="107"/>
    </row>
    <row r="337" ht="15.75" customHeight="1">
      <c r="A337" s="89"/>
      <c r="B337" s="182"/>
      <c r="C337" s="107"/>
      <c r="D337" s="95"/>
      <c r="E337" s="149"/>
      <c r="F337" s="149"/>
      <c r="G337" s="95"/>
      <c r="H337" s="149"/>
      <c r="I337" s="95"/>
      <c r="J337" s="95"/>
      <c r="K337" s="158"/>
      <c r="L337" s="158"/>
      <c r="M337" s="100"/>
      <c r="N337" s="127"/>
      <c r="O337" s="128"/>
      <c r="P337" s="95"/>
      <c r="Q337" s="137"/>
      <c r="R337" s="129"/>
      <c r="S337" s="95"/>
      <c r="T337" s="95"/>
      <c r="V337" s="107"/>
    </row>
    <row r="338" ht="15.75" customHeight="1">
      <c r="A338" s="89"/>
      <c r="B338" s="182"/>
      <c r="C338" s="149"/>
      <c r="D338" s="95"/>
      <c r="E338" s="149"/>
      <c r="F338" s="149"/>
      <c r="G338" s="95"/>
      <c r="H338" s="149"/>
      <c r="I338" s="95"/>
      <c r="J338" s="95"/>
      <c r="K338" s="158"/>
      <c r="L338" s="158"/>
      <c r="M338" s="100"/>
      <c r="N338" s="127"/>
      <c r="O338" s="128"/>
      <c r="P338" s="95"/>
      <c r="Q338" s="137"/>
      <c r="R338" s="129"/>
      <c r="S338" s="95"/>
      <c r="T338" s="95"/>
      <c r="V338" s="107"/>
    </row>
    <row r="339" ht="15.75" customHeight="1">
      <c r="A339" s="89"/>
      <c r="B339" s="182"/>
      <c r="C339" s="149"/>
      <c r="D339" s="95"/>
      <c r="E339" s="149"/>
      <c r="F339" s="149"/>
      <c r="G339" s="95"/>
      <c r="H339" s="149"/>
      <c r="I339" s="95"/>
      <c r="J339" s="95"/>
      <c r="K339" s="158"/>
      <c r="L339" s="158"/>
      <c r="M339" s="100"/>
      <c r="N339" s="127"/>
      <c r="O339" s="128"/>
      <c r="P339" s="95"/>
      <c r="Q339" s="137"/>
      <c r="R339" s="129"/>
      <c r="S339" s="95"/>
      <c r="T339" s="95"/>
      <c r="V339" s="107"/>
    </row>
    <row r="340" ht="15.75" customHeight="1">
      <c r="A340" s="89"/>
      <c r="B340" s="182"/>
      <c r="C340" s="149"/>
      <c r="D340" s="95"/>
      <c r="E340" s="149"/>
      <c r="F340" s="149"/>
      <c r="G340" s="95"/>
      <c r="H340" s="149"/>
      <c r="I340" s="95"/>
      <c r="J340" s="95"/>
      <c r="K340" s="158"/>
      <c r="L340" s="158"/>
      <c r="M340" s="100"/>
      <c r="N340" s="127"/>
      <c r="O340" s="128"/>
      <c r="P340" s="95"/>
      <c r="Q340" s="137"/>
      <c r="R340" s="129"/>
      <c r="S340" s="95"/>
      <c r="T340" s="95"/>
      <c r="V340" s="107"/>
    </row>
    <row r="341" ht="15.75" customHeight="1">
      <c r="A341" s="89"/>
      <c r="B341" s="182"/>
      <c r="C341" s="149"/>
      <c r="D341" s="95"/>
      <c r="E341" s="149"/>
      <c r="F341" s="149"/>
      <c r="G341" s="95"/>
      <c r="H341" s="149"/>
      <c r="I341" s="95"/>
      <c r="J341" s="95"/>
      <c r="K341" s="158"/>
      <c r="L341" s="158"/>
      <c r="M341" s="100"/>
      <c r="N341" s="127"/>
      <c r="O341" s="128"/>
      <c r="P341" s="95"/>
      <c r="Q341" s="137"/>
      <c r="R341" s="129"/>
      <c r="S341" s="95"/>
      <c r="T341" s="95"/>
      <c r="V341" s="107"/>
    </row>
    <row r="342" ht="15.75" customHeight="1">
      <c r="A342" s="89"/>
      <c r="B342" s="182"/>
      <c r="C342" s="149"/>
      <c r="D342" s="95"/>
      <c r="E342" s="149"/>
      <c r="F342" s="149"/>
      <c r="G342" s="95"/>
      <c r="H342" s="149"/>
      <c r="I342" s="95"/>
      <c r="J342" s="95"/>
      <c r="K342" s="158"/>
      <c r="L342" s="158"/>
      <c r="M342" s="100"/>
      <c r="N342" s="127"/>
      <c r="O342" s="128"/>
      <c r="P342" s="95"/>
      <c r="Q342" s="137"/>
      <c r="R342" s="129"/>
      <c r="S342" s="95"/>
      <c r="T342" s="95"/>
      <c r="V342" s="107"/>
    </row>
    <row r="343" ht="15.75" customHeight="1">
      <c r="A343" s="89"/>
      <c r="B343" s="182"/>
      <c r="C343" s="107"/>
      <c r="D343" s="95"/>
      <c r="E343" s="149"/>
      <c r="F343" s="149"/>
      <c r="G343" s="95"/>
      <c r="H343" s="149"/>
      <c r="I343" s="95"/>
      <c r="J343" s="95"/>
      <c r="K343" s="158"/>
      <c r="L343" s="158"/>
      <c r="M343" s="100"/>
      <c r="N343" s="127"/>
      <c r="O343" s="128"/>
      <c r="P343" s="95"/>
      <c r="Q343" s="137"/>
      <c r="R343" s="129"/>
      <c r="S343" s="95"/>
      <c r="T343" s="95"/>
      <c r="V343" s="107"/>
    </row>
    <row r="344" ht="15.75" customHeight="1">
      <c r="A344" s="89"/>
      <c r="B344" s="182"/>
      <c r="C344" s="149"/>
      <c r="D344" s="95"/>
      <c r="E344" s="149"/>
      <c r="F344" s="149"/>
      <c r="G344" s="95"/>
      <c r="H344" s="149"/>
      <c r="I344" s="95"/>
      <c r="J344" s="95"/>
      <c r="K344" s="158"/>
      <c r="L344" s="158"/>
      <c r="M344" s="100"/>
      <c r="N344" s="127"/>
      <c r="O344" s="128"/>
      <c r="P344" s="95"/>
      <c r="Q344" s="137"/>
      <c r="R344" s="129"/>
      <c r="S344" s="95"/>
      <c r="T344" s="95"/>
      <c r="V344" s="107"/>
    </row>
    <row r="345" ht="15.75" customHeight="1">
      <c r="A345" s="89"/>
      <c r="B345" s="182"/>
      <c r="C345" s="149"/>
      <c r="D345" s="95"/>
      <c r="E345" s="149"/>
      <c r="F345" s="149"/>
      <c r="G345" s="95"/>
      <c r="H345" s="149"/>
      <c r="I345" s="95"/>
      <c r="J345" s="95"/>
      <c r="K345" s="158"/>
      <c r="L345" s="158"/>
      <c r="M345" s="100"/>
      <c r="N345" s="127"/>
      <c r="O345" s="128"/>
      <c r="P345" s="95"/>
      <c r="Q345" s="137"/>
      <c r="R345" s="129"/>
      <c r="S345" s="95"/>
      <c r="T345" s="95"/>
      <c r="V345" s="107"/>
    </row>
    <row r="346" ht="15.75" customHeight="1">
      <c r="A346" s="89"/>
      <c r="B346" s="182"/>
      <c r="C346" s="149"/>
      <c r="D346" s="95"/>
      <c r="E346" s="149"/>
      <c r="F346" s="149"/>
      <c r="G346" s="95"/>
      <c r="H346" s="149"/>
      <c r="I346" s="95"/>
      <c r="J346" s="95"/>
      <c r="K346" s="158"/>
      <c r="L346" s="158"/>
      <c r="M346" s="100"/>
      <c r="N346" s="127"/>
      <c r="O346" s="128"/>
      <c r="P346" s="95"/>
      <c r="Q346" s="137"/>
      <c r="R346" s="129"/>
      <c r="S346" s="95"/>
      <c r="T346" s="95"/>
      <c r="V346" s="107"/>
    </row>
    <row r="347" ht="15.75" customHeight="1">
      <c r="A347" s="89"/>
      <c r="B347" s="182"/>
      <c r="C347" s="149"/>
      <c r="D347" s="95"/>
      <c r="E347" s="149"/>
      <c r="F347" s="149"/>
      <c r="G347" s="95"/>
      <c r="H347" s="149"/>
      <c r="I347" s="95"/>
      <c r="J347" s="95"/>
      <c r="K347" s="158"/>
      <c r="L347" s="158"/>
      <c r="M347" s="100"/>
      <c r="N347" s="127"/>
      <c r="O347" s="128"/>
      <c r="P347" s="95"/>
      <c r="Q347" s="137"/>
      <c r="R347" s="129"/>
      <c r="S347" s="95"/>
      <c r="T347" s="95"/>
      <c r="V347" s="107"/>
    </row>
    <row r="348" ht="15.75" customHeight="1">
      <c r="A348" s="89"/>
      <c r="B348" s="182"/>
      <c r="C348" s="149"/>
      <c r="D348" s="95"/>
      <c r="E348" s="149"/>
      <c r="F348" s="149"/>
      <c r="G348" s="95"/>
      <c r="H348" s="149"/>
      <c r="I348" s="95"/>
      <c r="J348" s="95"/>
      <c r="K348" s="158"/>
      <c r="L348" s="158"/>
      <c r="M348" s="100"/>
      <c r="N348" s="127"/>
      <c r="O348" s="128"/>
      <c r="P348" s="95"/>
      <c r="Q348" s="137"/>
      <c r="R348" s="129"/>
      <c r="S348" s="95"/>
      <c r="T348" s="95"/>
      <c r="V348" s="107"/>
    </row>
    <row r="349" ht="15.75" customHeight="1">
      <c r="A349" s="89"/>
      <c r="B349" s="182"/>
      <c r="C349" s="107"/>
      <c r="D349" s="95"/>
      <c r="E349" s="149"/>
      <c r="F349" s="149"/>
      <c r="G349" s="95"/>
      <c r="H349" s="149"/>
      <c r="I349" s="95"/>
      <c r="J349" s="95"/>
      <c r="K349" s="158"/>
      <c r="L349" s="158"/>
      <c r="M349" s="100"/>
      <c r="N349" s="127"/>
      <c r="O349" s="128"/>
      <c r="P349" s="95"/>
      <c r="Q349" s="137"/>
      <c r="R349" s="129"/>
      <c r="S349" s="95"/>
      <c r="T349" s="95"/>
      <c r="V349" s="107"/>
    </row>
    <row r="350" ht="15.75" customHeight="1">
      <c r="A350" s="89"/>
      <c r="B350" s="182"/>
      <c r="C350" s="149"/>
      <c r="D350" s="95"/>
      <c r="E350" s="149"/>
      <c r="F350" s="149"/>
      <c r="G350" s="95"/>
      <c r="H350" s="149"/>
      <c r="I350" s="95"/>
      <c r="J350" s="95"/>
      <c r="K350" s="158"/>
      <c r="L350" s="158"/>
      <c r="M350" s="100"/>
      <c r="N350" s="127"/>
      <c r="O350" s="128"/>
      <c r="P350" s="95"/>
      <c r="Q350" s="137"/>
      <c r="R350" s="129"/>
      <c r="S350" s="95"/>
      <c r="T350" s="95"/>
      <c r="V350" s="107"/>
    </row>
    <row r="351" ht="15.75" customHeight="1">
      <c r="A351" s="89"/>
      <c r="B351" s="182"/>
      <c r="C351" s="149"/>
      <c r="D351" s="95"/>
      <c r="E351" s="149"/>
      <c r="F351" s="149"/>
      <c r="G351" s="95"/>
      <c r="H351" s="149"/>
      <c r="I351" s="95"/>
      <c r="J351" s="95"/>
      <c r="K351" s="158"/>
      <c r="L351" s="158"/>
      <c r="M351" s="100"/>
      <c r="N351" s="127"/>
      <c r="O351" s="128"/>
      <c r="P351" s="95"/>
      <c r="Q351" s="137"/>
      <c r="R351" s="129"/>
      <c r="S351" s="95"/>
      <c r="T351" s="95"/>
      <c r="V351" s="107"/>
    </row>
    <row r="352" ht="15.75" customHeight="1">
      <c r="A352" s="89"/>
      <c r="B352" s="182"/>
      <c r="C352" s="149"/>
      <c r="D352" s="95"/>
      <c r="E352" s="149"/>
      <c r="F352" s="149"/>
      <c r="G352" s="95"/>
      <c r="H352" s="149"/>
      <c r="I352" s="95"/>
      <c r="J352" s="95"/>
      <c r="K352" s="158"/>
      <c r="L352" s="158"/>
      <c r="M352" s="100"/>
      <c r="N352" s="127"/>
      <c r="O352" s="128"/>
      <c r="P352" s="95"/>
      <c r="Q352" s="137"/>
      <c r="R352" s="129"/>
      <c r="S352" s="95"/>
      <c r="T352" s="95"/>
      <c r="V352" s="107"/>
    </row>
    <row r="353" ht="15.75" customHeight="1">
      <c r="A353" s="89"/>
      <c r="B353" s="182"/>
      <c r="C353" s="149"/>
      <c r="D353" s="95"/>
      <c r="E353" s="149"/>
      <c r="F353" s="149"/>
      <c r="G353" s="95"/>
      <c r="H353" s="149"/>
      <c r="I353" s="95"/>
      <c r="J353" s="95"/>
      <c r="K353" s="158"/>
      <c r="L353" s="158"/>
      <c r="M353" s="100"/>
      <c r="N353" s="127"/>
      <c r="O353" s="128"/>
      <c r="P353" s="95"/>
      <c r="Q353" s="137"/>
      <c r="R353" s="129"/>
      <c r="S353" s="95"/>
      <c r="T353" s="95"/>
      <c r="V353" s="107"/>
    </row>
    <row r="354" ht="15.75" customHeight="1">
      <c r="A354" s="89"/>
      <c r="B354" s="182"/>
      <c r="C354" s="149"/>
      <c r="D354" s="95"/>
      <c r="E354" s="149"/>
      <c r="F354" s="149"/>
      <c r="G354" s="95"/>
      <c r="H354" s="149"/>
      <c r="I354" s="95"/>
      <c r="J354" s="95"/>
      <c r="K354" s="158"/>
      <c r="L354" s="158"/>
      <c r="M354" s="100"/>
      <c r="N354" s="127"/>
      <c r="O354" s="128"/>
      <c r="P354" s="95"/>
      <c r="Q354" s="137"/>
      <c r="R354" s="129"/>
      <c r="S354" s="95"/>
      <c r="T354" s="95"/>
      <c r="V354" s="107"/>
    </row>
    <row r="355" ht="15.75" customHeight="1">
      <c r="A355" s="89"/>
      <c r="B355" s="182"/>
      <c r="C355" s="107"/>
      <c r="D355" s="95"/>
      <c r="E355" s="149"/>
      <c r="F355" s="149"/>
      <c r="G355" s="95"/>
      <c r="H355" s="149"/>
      <c r="I355" s="95"/>
      <c r="J355" s="95"/>
      <c r="K355" s="158"/>
      <c r="L355" s="158"/>
      <c r="M355" s="100"/>
      <c r="N355" s="127"/>
      <c r="O355" s="128"/>
      <c r="P355" s="95"/>
      <c r="Q355" s="137"/>
      <c r="R355" s="129"/>
      <c r="S355" s="95"/>
      <c r="T355" s="95"/>
      <c r="V355" s="107"/>
    </row>
    <row r="356" ht="15.75" customHeight="1">
      <c r="A356" s="89"/>
      <c r="B356" s="182"/>
      <c r="C356" s="149"/>
      <c r="D356" s="95"/>
      <c r="E356" s="149"/>
      <c r="F356" s="149"/>
      <c r="G356" s="95"/>
      <c r="H356" s="149"/>
      <c r="I356" s="95"/>
      <c r="J356" s="95"/>
      <c r="K356" s="158"/>
      <c r="L356" s="158"/>
      <c r="M356" s="100"/>
      <c r="N356" s="127"/>
      <c r="O356" s="128"/>
      <c r="P356" s="95"/>
      <c r="Q356" s="137"/>
      <c r="R356" s="129"/>
      <c r="S356" s="95"/>
      <c r="T356" s="95"/>
      <c r="V356" s="107"/>
    </row>
    <row r="357" ht="15.75" customHeight="1">
      <c r="A357" s="89"/>
      <c r="B357" s="182"/>
      <c r="C357" s="149"/>
      <c r="D357" s="95"/>
      <c r="E357" s="149"/>
      <c r="F357" s="149"/>
      <c r="G357" s="95"/>
      <c r="H357" s="149"/>
      <c r="I357" s="95"/>
      <c r="J357" s="95"/>
      <c r="K357" s="158"/>
      <c r="L357" s="158"/>
      <c r="M357" s="100"/>
      <c r="N357" s="127"/>
      <c r="O357" s="128"/>
      <c r="P357" s="95"/>
      <c r="Q357" s="137"/>
      <c r="R357" s="129"/>
      <c r="S357" s="95"/>
      <c r="T357" s="95"/>
      <c r="V357" s="107"/>
    </row>
    <row r="358" ht="15.75" customHeight="1">
      <c r="A358" s="89"/>
      <c r="B358" s="182"/>
      <c r="C358" s="149"/>
      <c r="D358" s="95"/>
      <c r="E358" s="149"/>
      <c r="F358" s="149"/>
      <c r="G358" s="95"/>
      <c r="H358" s="149"/>
      <c r="I358" s="95"/>
      <c r="J358" s="95"/>
      <c r="K358" s="158"/>
      <c r="L358" s="158"/>
      <c r="M358" s="100"/>
      <c r="N358" s="127"/>
      <c r="O358" s="128"/>
      <c r="P358" s="95"/>
      <c r="Q358" s="137"/>
      <c r="R358" s="129"/>
      <c r="S358" s="95"/>
      <c r="T358" s="95"/>
      <c r="V358" s="107"/>
    </row>
    <row r="359" ht="15.75" customHeight="1">
      <c r="A359" s="89"/>
      <c r="B359" s="182"/>
      <c r="C359" s="149"/>
      <c r="D359" s="95"/>
      <c r="E359" s="149"/>
      <c r="F359" s="149"/>
      <c r="G359" s="95"/>
      <c r="H359" s="149"/>
      <c r="I359" s="95"/>
      <c r="J359" s="95"/>
      <c r="K359" s="158"/>
      <c r="L359" s="158"/>
      <c r="M359" s="100"/>
      <c r="N359" s="127"/>
      <c r="O359" s="128"/>
      <c r="P359" s="95"/>
      <c r="Q359" s="137"/>
      <c r="R359" s="129"/>
      <c r="S359" s="95"/>
      <c r="T359" s="95"/>
      <c r="V359" s="107"/>
    </row>
    <row r="360" ht="15.75" customHeight="1">
      <c r="A360" s="89"/>
      <c r="B360" s="182"/>
      <c r="C360" s="149"/>
      <c r="D360" s="95"/>
      <c r="E360" s="149"/>
      <c r="F360" s="149"/>
      <c r="G360" s="95"/>
      <c r="H360" s="149"/>
      <c r="I360" s="95"/>
      <c r="J360" s="95"/>
      <c r="K360" s="158"/>
      <c r="L360" s="158"/>
      <c r="M360" s="100"/>
      <c r="N360" s="127"/>
      <c r="O360" s="128"/>
      <c r="P360" s="95"/>
      <c r="Q360" s="137"/>
      <c r="R360" s="129"/>
      <c r="S360" s="95"/>
      <c r="T360" s="95"/>
      <c r="V360" s="107"/>
    </row>
  </sheetData>
  <autoFilter ref="$A$12:$V$109"/>
  <customSheetViews>
    <customSheetView guid="{3D5205AB-724F-426F-9D73-83BFCBF63977}" filter="1" showAutoFilter="1">
      <autoFilter ref="$R$18:$R$26"/>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29 N33:N360">
      <formula1>"Think About It,Money,Partner,Time,Fear,Value"</formula1>
    </dataValidation>
    <dataValidation type="list" allowBlank="1" showErrorMessage="1" sqref="J16">
      <formula1>"Option 1,Option 2"</formula1>
    </dataValidation>
    <dataValidation type="list" allowBlank="1" showErrorMessage="1" sqref="S13:S29 S3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29 H33:H360">
      <formula1>"IG,Setter,Facebook Ads,Landing page"</formula1>
    </dataValidation>
    <dataValidation type="list" allowBlank="1" showErrorMessage="1" sqref="I13:J15 I16 I17:J21 I22 I23:J29 I33:J35 I36 I37:J102 I103:I109 I110:J360">
      <formula1>"Full-Pay,split-pay,Deposit,Offer &amp; Didn't Buy,Bad Fit &amp; No Offer,Rescheduled,Cancelled,No-Show"</formula1>
    </dataValidation>
  </dataValidations>
  <hyperlinks>
    <hyperlink r:id="rId2" ref="R13"/>
    <hyperlink r:id="rId3" ref="R14"/>
    <hyperlink r:id="rId4" ref="R15"/>
    <hyperlink r:id="rId5" ref="R17"/>
    <hyperlink r:id="rId6" ref="R18"/>
    <hyperlink r:id="rId7" ref="R19"/>
    <hyperlink r:id="rId8" ref="R20"/>
    <hyperlink r:id="rId9" ref="R21"/>
    <hyperlink r:id="rId10" ref="R22"/>
    <hyperlink r:id="rId11" ref="R23"/>
    <hyperlink r:id="rId12" ref="R24"/>
    <hyperlink r:id="rId13" ref="R25"/>
    <hyperlink r:id="rId14" ref="R28"/>
    <hyperlink r:id="rId15" ref="R34"/>
    <hyperlink r:id="rId16" ref="R35"/>
    <hyperlink r:id="rId17" ref="R36"/>
    <hyperlink r:id="rId18" ref="R37"/>
    <hyperlink r:id="rId19" ref="R38"/>
    <hyperlink r:id="rId20" ref="R39"/>
    <hyperlink r:id="rId21" ref="R40"/>
    <hyperlink r:id="rId22" ref="R41"/>
    <hyperlink r:id="rId23" ref="R42"/>
    <hyperlink r:id="rId24" ref="R43"/>
  </hyperlinks>
  <drawing r:id="rId25"/>
  <legacyDrawing r:id="rId2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7.25"/>
    <col customWidth="1" min="4" max="4" width="0.38"/>
    <col customWidth="1" min="5" max="5" width="15.13"/>
    <col customWidth="1" min="6" max="6" width="22.38"/>
    <col customWidth="1" min="7" max="7" width="0.38"/>
    <col customWidth="1" min="8" max="8" width="15.63"/>
    <col customWidth="1" min="9" max="9" width="13.88"/>
    <col customWidth="1" min="10" max="10" width="0.38"/>
    <col customWidth="1" min="13" max="13" width="0.38"/>
    <col customWidth="1" min="15" max="15" width="31.0"/>
    <col customWidth="1" min="16" max="16" width="0.5"/>
    <col customWidth="1" min="17" max="17" width="13.13"/>
    <col customWidth="1" min="19" max="19" width="16.5"/>
    <col customWidth="1" min="21" max="21" width="23.75"/>
    <col customWidth="1" min="22" max="22" width="0.38"/>
  </cols>
  <sheetData>
    <row r="1">
      <c r="A1" s="35"/>
      <c r="B1" s="87" t="s">
        <v>31</v>
      </c>
      <c r="C1" s="87" t="s">
        <v>77</v>
      </c>
      <c r="D1" s="35"/>
      <c r="E1" s="38" t="s">
        <v>33</v>
      </c>
      <c r="F1" s="39"/>
      <c r="G1" s="35"/>
      <c r="H1" s="38" t="s">
        <v>34</v>
      </c>
      <c r="I1" s="39"/>
      <c r="J1" s="13"/>
      <c r="K1" s="159" t="s">
        <v>35</v>
      </c>
      <c r="L1" s="41"/>
      <c r="M1" s="13"/>
      <c r="N1" s="38" t="s">
        <v>36</v>
      </c>
      <c r="O1" s="42"/>
      <c r="P1" s="35"/>
      <c r="Q1" s="38" t="s">
        <v>37</v>
      </c>
      <c r="R1" s="43"/>
      <c r="S1" s="39"/>
      <c r="T1" s="39"/>
      <c r="U1" s="35" t="s">
        <v>38</v>
      </c>
      <c r="V1" s="35"/>
    </row>
    <row r="2">
      <c r="A2" s="35"/>
      <c r="B2" s="39"/>
      <c r="C2" s="39"/>
      <c r="D2" s="13"/>
      <c r="E2" s="160" t="s">
        <v>26</v>
      </c>
      <c r="F2" s="161">
        <f>IFERROR(COUNTIFS(I13:I287, "Full-Pay"),"")</f>
        <v>5</v>
      </c>
      <c r="G2" s="13"/>
      <c r="H2" s="46" t="s">
        <v>16</v>
      </c>
      <c r="I2" s="47">
        <f>iferror(I10/I8,"")</f>
        <v>0.6153846154</v>
      </c>
      <c r="J2" s="12"/>
      <c r="K2" s="162" t="s">
        <v>39</v>
      </c>
      <c r="L2" s="49">
        <f>iferror(F8/I6,"")</f>
        <v>0</v>
      </c>
      <c r="M2" s="12"/>
      <c r="N2" s="50" t="s">
        <v>40</v>
      </c>
      <c r="O2" s="51">
        <f>IFERROR(COUNTIFS(N13:N286, "think about it"),"")</f>
        <v>2</v>
      </c>
      <c r="P2" s="13"/>
      <c r="Q2" s="52" t="s">
        <v>41</v>
      </c>
      <c r="R2" s="53">
        <f>IFERROR(COUNTIF(H13:H286,Q2),"")</f>
        <v>0</v>
      </c>
      <c r="S2" s="52" t="s">
        <v>42</v>
      </c>
      <c r="T2" s="54">
        <f>IFERROR(COUNTIF(H13:H286,S2),"")</f>
        <v>0</v>
      </c>
      <c r="U2" s="35"/>
      <c r="V2" s="55"/>
    </row>
    <row r="3">
      <c r="A3" s="13"/>
      <c r="B3" s="163" t="s">
        <v>43</v>
      </c>
      <c r="C3" s="57">
        <f>IFERROR(SUM(K13:K283),"")</f>
        <v>76500</v>
      </c>
      <c r="D3" s="58"/>
      <c r="E3" s="160" t="s">
        <v>27</v>
      </c>
      <c r="F3" s="161">
        <f>IFERROR(COUNTIFS(I13:I287, "Split-Pay"),"")</f>
        <v>3</v>
      </c>
      <c r="G3" s="13"/>
      <c r="H3" s="46" t="s">
        <v>17</v>
      </c>
      <c r="I3" s="47">
        <f>IFERROR(I10/I9,"")</f>
        <v>0.6153846154</v>
      </c>
      <c r="J3" s="12"/>
      <c r="K3" s="162" t="s">
        <v>44</v>
      </c>
      <c r="L3" s="49">
        <f>iferror(F9/I6,"")</f>
        <v>0.1333333333</v>
      </c>
      <c r="M3" s="12"/>
      <c r="N3" s="50" t="s">
        <v>45</v>
      </c>
      <c r="O3" s="59">
        <f>IFERROR(COUNTIFS(N13:N286, "money"),"")</f>
        <v>4</v>
      </c>
      <c r="P3" s="13"/>
      <c r="Q3" s="52" t="s">
        <v>46</v>
      </c>
      <c r="R3" s="53">
        <f>IFERROR(COUNTIF(H13:H286,Q3),"")</f>
        <v>0</v>
      </c>
      <c r="S3" s="52" t="s">
        <v>47</v>
      </c>
      <c r="T3" s="54">
        <f>IFERROR(COUNTIF(H13:H286,S3),"")</f>
        <v>0</v>
      </c>
      <c r="U3" s="35"/>
      <c r="V3" s="55"/>
    </row>
    <row r="4">
      <c r="A4" s="13"/>
      <c r="B4" s="164" t="s">
        <v>48</v>
      </c>
      <c r="C4" s="61">
        <f>IFERROR(SUM(L13:L284),"")</f>
        <v>54000</v>
      </c>
      <c r="D4" s="58"/>
      <c r="E4" s="160" t="s">
        <v>28</v>
      </c>
      <c r="F4" s="161">
        <f>IFERROR(COUNTIFS(I13:I287, "Deposit"),"")</f>
        <v>0</v>
      </c>
      <c r="G4" s="13"/>
      <c r="H4" s="46" t="s">
        <v>18</v>
      </c>
      <c r="I4" s="47">
        <f>IFERROR(I9/I8,"")</f>
        <v>1</v>
      </c>
      <c r="J4" s="12"/>
      <c r="K4" s="162" t="s">
        <v>49</v>
      </c>
      <c r="L4" s="49">
        <f>iferror(F10/I6,"")</f>
        <v>0</v>
      </c>
      <c r="M4" s="12"/>
      <c r="N4" s="50" t="s">
        <v>50</v>
      </c>
      <c r="O4" s="51">
        <f>IFERROR(COUNTIFS(N13:N286, "time"),"")</f>
        <v>0</v>
      </c>
      <c r="P4" s="13"/>
      <c r="Q4" s="52" t="s">
        <v>51</v>
      </c>
      <c r="R4" s="53">
        <f>IFERROR(COUNTIF(H13:H286,Q4),"")</f>
        <v>0</v>
      </c>
      <c r="S4" s="52" t="s">
        <v>52</v>
      </c>
      <c r="T4" s="54">
        <f>IFERROR(COUNTIF(H13:H286,S4),"")</f>
        <v>0</v>
      </c>
      <c r="U4" s="35"/>
      <c r="V4" s="35"/>
    </row>
    <row r="5">
      <c r="A5" s="35"/>
      <c r="B5" s="39"/>
      <c r="C5" s="39"/>
      <c r="D5" s="13"/>
      <c r="E5" s="160" t="s">
        <v>53</v>
      </c>
      <c r="F5" s="161">
        <f>IFERROR(COUNTIFS(I13:I287, "Offer &amp; Didn't Buy"),"")</f>
        <v>5</v>
      </c>
      <c r="G5" s="13"/>
      <c r="H5" s="46" t="s">
        <v>54</v>
      </c>
      <c r="I5" s="47">
        <f>IFERROR(F7/(C6+F7+F8),"")</f>
        <v>0</v>
      </c>
      <c r="J5" s="13"/>
      <c r="K5" s="162" t="s">
        <v>54</v>
      </c>
      <c r="L5" s="49">
        <f>iferror(F7/I6,"")</f>
        <v>0</v>
      </c>
      <c r="M5" s="12"/>
      <c r="N5" s="50" t="s">
        <v>55</v>
      </c>
      <c r="O5" s="51">
        <f>IFERROR(COUNTIFS(N13:N286, "partner"),"")</f>
        <v>0</v>
      </c>
      <c r="P5" s="13"/>
      <c r="Q5" s="52" t="s">
        <v>56</v>
      </c>
      <c r="R5" s="53">
        <f>IFERROR(COUNTIF(H13:H286,Q5),"")</f>
        <v>0</v>
      </c>
      <c r="S5" s="52" t="s">
        <v>57</v>
      </c>
      <c r="T5" s="54">
        <f>IFERROR(COUNTIF(H13:H286,S5),"")</f>
        <v>0</v>
      </c>
      <c r="U5" s="35"/>
      <c r="V5" s="55"/>
    </row>
    <row r="6">
      <c r="A6" s="13"/>
      <c r="B6" s="165" t="s">
        <v>58</v>
      </c>
      <c r="C6" s="63">
        <f>IFERROR(SUM(F2:F6),"")</f>
        <v>13</v>
      </c>
      <c r="D6" s="13"/>
      <c r="E6" s="160" t="s">
        <v>59</v>
      </c>
      <c r="F6" s="161">
        <f>IFERROR(COUNTIFS(I13:I287, "Bad Fit &amp; No Offer"),"")</f>
        <v>0</v>
      </c>
      <c r="G6" s="13"/>
      <c r="H6" s="46" t="s">
        <v>21</v>
      </c>
      <c r="I6" s="64">
        <f>IFERROR(SUM(F2:F10),"")</f>
        <v>15</v>
      </c>
      <c r="J6" s="13"/>
      <c r="K6" s="166" t="s">
        <v>29</v>
      </c>
      <c r="L6" s="49">
        <f>iferror(I7/I6,"")</f>
        <v>0.8666666667</v>
      </c>
      <c r="M6" s="12"/>
      <c r="N6" s="50" t="s">
        <v>60</v>
      </c>
      <c r="O6" s="51">
        <f>IFERROR(COUNTIFS(N13:N286, "fear"),"")</f>
        <v>5</v>
      </c>
      <c r="P6" s="13"/>
      <c r="Q6" s="52" t="s">
        <v>61</v>
      </c>
      <c r="R6" s="53">
        <f>IFERROR(COUNTIF(H13:H286,Q6),"")</f>
        <v>0</v>
      </c>
      <c r="S6" s="52" t="s">
        <v>62</v>
      </c>
      <c r="T6" s="54">
        <f>IFERROR(COUNTIF(H13:H286,S6),"")</f>
        <v>0</v>
      </c>
      <c r="U6" s="35"/>
      <c r="V6" s="55"/>
    </row>
    <row r="7">
      <c r="A7" s="13"/>
      <c r="B7" s="165" t="s">
        <v>63</v>
      </c>
      <c r="C7" s="66">
        <f>IFERROR(F2+F3,"")</f>
        <v>8</v>
      </c>
      <c r="D7" s="13"/>
      <c r="E7" s="160" t="s">
        <v>64</v>
      </c>
      <c r="F7" s="161">
        <f>IFERROR(COUNTIFS(I13:I287, "Drag Over &amp; Show"),"")</f>
        <v>0</v>
      </c>
      <c r="G7" s="13"/>
      <c r="H7" s="46" t="s">
        <v>22</v>
      </c>
      <c r="I7" s="64">
        <f>IFERROR(SUM(F2:F7),"")</f>
        <v>13</v>
      </c>
      <c r="J7" s="13"/>
      <c r="K7" s="167" t="s">
        <v>30</v>
      </c>
      <c r="L7" s="68">
        <f>IFERROR(I8/I6,"")</f>
        <v>0.8666666667</v>
      </c>
      <c r="M7" s="12"/>
      <c r="N7" s="69" t="s">
        <v>65</v>
      </c>
      <c r="O7" s="70">
        <f>IFERROR(COUNTIFS(N14:N287, "value"),"")</f>
        <v>0</v>
      </c>
      <c r="P7" s="13"/>
      <c r="Q7" s="52" t="s">
        <v>66</v>
      </c>
      <c r="R7" s="53">
        <f>IFERROR(COUNTIF(H13:H286,Q7),"")</f>
        <v>0</v>
      </c>
      <c r="S7" s="52" t="s">
        <v>67</v>
      </c>
      <c r="T7" s="54">
        <f>IFERROR(COUNTIF(H13:H286,S7),"")</f>
        <v>0</v>
      </c>
      <c r="U7" s="35"/>
      <c r="V7" s="35"/>
    </row>
    <row r="8">
      <c r="A8" s="13"/>
      <c r="B8" s="165" t="s">
        <v>68</v>
      </c>
      <c r="C8" s="71">
        <f>COUNTIF(I13:I286,"offer &amp; didn't buy")+countif(I13:I286,"deposit")+countif(I13:I286,"bad fit &amp; no offer")</f>
        <v>5</v>
      </c>
      <c r="D8" s="72"/>
      <c r="E8" s="160" t="s">
        <v>69</v>
      </c>
      <c r="F8" s="161">
        <f>IFERROR(COUNTIFS(I13:I287, "Rescheduled"),"")</f>
        <v>0</v>
      </c>
      <c r="G8" s="13"/>
      <c r="H8" s="46" t="s">
        <v>23</v>
      </c>
      <c r="I8" s="64">
        <f>IFERROR(SUM(F2:F6),"")</f>
        <v>13</v>
      </c>
      <c r="J8" s="35"/>
      <c r="K8" s="35"/>
      <c r="L8" s="35"/>
      <c r="M8" s="35"/>
      <c r="N8" s="35"/>
      <c r="O8" s="74"/>
      <c r="P8" s="13"/>
      <c r="Q8" s="75" t="s">
        <v>70</v>
      </c>
      <c r="R8" s="76">
        <f>IFERROR(COUNTIF(H13:H286,Q8),"")</f>
        <v>0</v>
      </c>
      <c r="S8" s="75" t="s">
        <v>71</v>
      </c>
      <c r="T8" s="77">
        <f>IFERROR(COUNTIF(H13:H286,S8),"")</f>
        <v>0</v>
      </c>
      <c r="U8" s="35"/>
      <c r="V8" s="35"/>
    </row>
    <row r="9">
      <c r="A9" s="13"/>
      <c r="B9" s="165" t="s">
        <v>72</v>
      </c>
      <c r="C9" s="78">
        <f>iferror(SUM(C7/C6),"")</f>
        <v>0.6153846154</v>
      </c>
      <c r="D9" s="12"/>
      <c r="E9" s="160" t="s">
        <v>73</v>
      </c>
      <c r="F9" s="161">
        <f>IFERROR(COUNTIFS(I13:I287, "Cancelled"),"")</f>
        <v>2</v>
      </c>
      <c r="G9" s="13"/>
      <c r="H9" s="46" t="s">
        <v>24</v>
      </c>
      <c r="I9" s="64">
        <f>IFERROR(sum(F2:F5),"")</f>
        <v>13</v>
      </c>
      <c r="J9" s="35"/>
      <c r="K9" s="35"/>
      <c r="L9" s="35"/>
      <c r="M9" s="35"/>
      <c r="N9" s="35"/>
      <c r="O9" s="74"/>
      <c r="P9" s="35"/>
      <c r="Q9" s="35"/>
      <c r="R9" s="35"/>
      <c r="S9" s="35"/>
      <c r="T9" s="35"/>
      <c r="V9" s="35"/>
    </row>
    <row r="10">
      <c r="A10" s="35"/>
      <c r="B10" s="35"/>
      <c r="C10" s="35"/>
      <c r="D10" s="13"/>
      <c r="E10" s="168" t="s">
        <v>74</v>
      </c>
      <c r="F10" s="169">
        <f>IFERROR(COUNTIFS(I13:I287, "No-Show"),"")</f>
        <v>0</v>
      </c>
      <c r="G10" s="13"/>
      <c r="H10" s="81" t="s">
        <v>75</v>
      </c>
      <c r="I10" s="82">
        <f>F2+F3</f>
        <v>8</v>
      </c>
      <c r="J10" s="35"/>
      <c r="K10" s="35"/>
      <c r="L10" s="35"/>
      <c r="M10" s="35"/>
      <c r="N10" s="35"/>
      <c r="O10" s="74"/>
      <c r="P10" s="35"/>
      <c r="Q10" s="35"/>
      <c r="R10" s="35"/>
      <c r="S10" s="35"/>
      <c r="T10" s="35"/>
      <c r="V10" s="35"/>
    </row>
    <row r="11" ht="6.0" customHeight="1">
      <c r="A11" s="35"/>
      <c r="B11" s="35"/>
      <c r="C11" s="35"/>
      <c r="D11" s="35"/>
      <c r="E11" s="35"/>
      <c r="F11" s="35"/>
      <c r="G11" s="35"/>
      <c r="H11" s="35"/>
      <c r="I11" s="35"/>
      <c r="J11" s="35"/>
      <c r="K11" s="35"/>
      <c r="L11" s="35"/>
      <c r="M11" s="35"/>
      <c r="N11" s="35"/>
      <c r="O11" s="74"/>
      <c r="P11" s="35"/>
      <c r="Q11" s="35"/>
      <c r="R11" s="35"/>
      <c r="S11" s="35"/>
      <c r="T11" s="35"/>
      <c r="V11" s="35"/>
    </row>
    <row r="12">
      <c r="A12" s="35"/>
      <c r="B12" s="85" t="s">
        <v>76</v>
      </c>
      <c r="C12" s="85" t="s">
        <v>77</v>
      </c>
      <c r="D12" s="35"/>
      <c r="E12" s="87" t="s">
        <v>78</v>
      </c>
      <c r="F12" s="87" t="s">
        <v>56</v>
      </c>
      <c r="G12" s="35"/>
      <c r="H12" s="87" t="s">
        <v>37</v>
      </c>
      <c r="I12" s="87" t="s">
        <v>33</v>
      </c>
      <c r="J12" s="35"/>
      <c r="K12" s="87" t="s">
        <v>79</v>
      </c>
      <c r="L12" s="87" t="s">
        <v>48</v>
      </c>
      <c r="M12" s="35"/>
      <c r="N12" s="87" t="s">
        <v>80</v>
      </c>
      <c r="O12" s="88" t="s">
        <v>81</v>
      </c>
      <c r="P12" s="35"/>
      <c r="Q12" s="87" t="s">
        <v>82</v>
      </c>
      <c r="R12" s="87" t="s">
        <v>83</v>
      </c>
      <c r="S12" s="87" t="s">
        <v>84</v>
      </c>
      <c r="T12" s="87" t="s">
        <v>85</v>
      </c>
      <c r="V12" s="55"/>
    </row>
    <row r="13" ht="15.75" customHeight="1">
      <c r="A13" s="89"/>
      <c r="B13" s="96" t="s">
        <v>1815</v>
      </c>
      <c r="C13" s="111" t="s">
        <v>1816</v>
      </c>
      <c r="D13" s="92"/>
      <c r="E13" s="130" t="s">
        <v>1817</v>
      </c>
      <c r="F13" s="194" t="s">
        <v>1818</v>
      </c>
      <c r="G13" s="95"/>
      <c r="H13" s="96" t="s">
        <v>89</v>
      </c>
      <c r="I13" s="97" t="s">
        <v>110</v>
      </c>
      <c r="J13" s="95"/>
      <c r="K13" s="99">
        <v>9000.0</v>
      </c>
      <c r="L13" s="99">
        <v>9000.0</v>
      </c>
      <c r="M13" s="100"/>
      <c r="N13" s="101" t="s">
        <v>60</v>
      </c>
      <c r="O13" s="102" t="s">
        <v>1819</v>
      </c>
      <c r="P13" s="95"/>
      <c r="Q13" s="103">
        <v>6.0</v>
      </c>
      <c r="R13" s="171" t="s">
        <v>1820</v>
      </c>
      <c r="S13" s="103" t="s">
        <v>113</v>
      </c>
      <c r="T13" s="105" t="s">
        <v>1821</v>
      </c>
      <c r="U13" s="106"/>
      <c r="V13" s="107"/>
    </row>
    <row r="14" ht="15.75" customHeight="1">
      <c r="A14" s="89"/>
      <c r="B14" s="96" t="s">
        <v>1815</v>
      </c>
      <c r="C14" s="130" t="s">
        <v>1822</v>
      </c>
      <c r="D14" s="92"/>
      <c r="E14" s="130" t="s">
        <v>1823</v>
      </c>
      <c r="F14" s="194" t="s">
        <v>1824</v>
      </c>
      <c r="G14" s="95"/>
      <c r="H14" s="96" t="s">
        <v>89</v>
      </c>
      <c r="I14" s="97" t="s">
        <v>90</v>
      </c>
      <c r="J14" s="95"/>
      <c r="K14" s="99"/>
      <c r="L14" s="99"/>
      <c r="M14" s="100"/>
      <c r="N14" s="101" t="s">
        <v>45</v>
      </c>
      <c r="O14" s="102" t="s">
        <v>1825</v>
      </c>
      <c r="P14" s="95"/>
      <c r="Q14" s="103">
        <v>6.0</v>
      </c>
      <c r="R14" s="170" t="s">
        <v>1826</v>
      </c>
      <c r="S14" s="103" t="s">
        <v>94</v>
      </c>
      <c r="T14" s="105" t="s">
        <v>1827</v>
      </c>
      <c r="U14" s="106"/>
      <c r="V14" s="107"/>
    </row>
    <row r="15" ht="15.75" customHeight="1">
      <c r="A15" s="95"/>
      <c r="B15" s="96" t="s">
        <v>1828</v>
      </c>
      <c r="C15" s="130" t="s">
        <v>1829</v>
      </c>
      <c r="D15" s="95"/>
      <c r="E15" s="130" t="s">
        <v>1830</v>
      </c>
      <c r="F15" s="194" t="s">
        <v>1831</v>
      </c>
      <c r="G15" s="95"/>
      <c r="H15" s="96" t="s">
        <v>89</v>
      </c>
      <c r="I15" s="97" t="s">
        <v>849</v>
      </c>
      <c r="J15" s="95"/>
      <c r="K15" s="99"/>
      <c r="L15" s="99"/>
      <c r="M15" s="100"/>
      <c r="N15" s="101"/>
      <c r="O15" s="102"/>
      <c r="P15" s="95"/>
      <c r="Q15" s="103">
        <v>6.0</v>
      </c>
      <c r="R15" s="115"/>
      <c r="S15" s="103"/>
      <c r="T15" s="110"/>
      <c r="U15" s="103"/>
      <c r="V15" s="107"/>
    </row>
    <row r="16" ht="15.75" customHeight="1">
      <c r="A16" s="95"/>
      <c r="B16" s="96" t="s">
        <v>1832</v>
      </c>
      <c r="C16" s="130" t="s">
        <v>1833</v>
      </c>
      <c r="D16" s="103"/>
      <c r="E16" s="231">
        <v>4.0478008E7</v>
      </c>
      <c r="F16" s="194" t="s">
        <v>1834</v>
      </c>
      <c r="G16" s="95"/>
      <c r="H16" s="96" t="s">
        <v>89</v>
      </c>
      <c r="I16" s="97" t="s">
        <v>1566</v>
      </c>
      <c r="J16" s="95"/>
      <c r="K16" s="99">
        <v>10500.0</v>
      </c>
      <c r="L16" s="99">
        <v>3000.0</v>
      </c>
      <c r="M16" s="100"/>
      <c r="N16" s="101" t="s">
        <v>60</v>
      </c>
      <c r="O16" s="102" t="s">
        <v>1835</v>
      </c>
      <c r="P16" s="95"/>
      <c r="Q16" s="103">
        <v>6.0</v>
      </c>
      <c r="R16" s="170" t="s">
        <v>1836</v>
      </c>
      <c r="S16" s="103" t="s">
        <v>113</v>
      </c>
      <c r="T16" s="116" t="s">
        <v>1837</v>
      </c>
      <c r="U16" s="103"/>
      <c r="V16" s="107"/>
    </row>
    <row r="17" ht="15.75" customHeight="1">
      <c r="A17" s="95"/>
      <c r="B17" s="96" t="s">
        <v>1838</v>
      </c>
      <c r="C17" s="130" t="s">
        <v>1839</v>
      </c>
      <c r="D17" s="95"/>
      <c r="E17" s="130" t="s">
        <v>1840</v>
      </c>
      <c r="F17" s="194" t="s">
        <v>1841</v>
      </c>
      <c r="G17" s="95"/>
      <c r="H17" s="96" t="s">
        <v>89</v>
      </c>
      <c r="I17" s="97" t="s">
        <v>110</v>
      </c>
      <c r="J17" s="95"/>
      <c r="K17" s="99">
        <v>9000.0</v>
      </c>
      <c r="L17" s="99">
        <v>9000.0</v>
      </c>
      <c r="M17" s="100"/>
      <c r="N17" s="101" t="s">
        <v>60</v>
      </c>
      <c r="O17" s="102" t="s">
        <v>1842</v>
      </c>
      <c r="P17" s="95"/>
      <c r="Q17" s="103">
        <v>6.0</v>
      </c>
      <c r="R17" s="170" t="s">
        <v>1843</v>
      </c>
      <c r="S17" s="103" t="s">
        <v>113</v>
      </c>
      <c r="T17" s="103" t="s">
        <v>1844</v>
      </c>
      <c r="V17" s="107"/>
    </row>
    <row r="18" ht="15.75" customHeight="1">
      <c r="A18" s="95"/>
      <c r="B18" s="96" t="s">
        <v>1845</v>
      </c>
      <c r="C18" s="211" t="s">
        <v>1846</v>
      </c>
      <c r="D18" s="95"/>
      <c r="E18" s="130" t="s">
        <v>1847</v>
      </c>
      <c r="F18" s="194" t="s">
        <v>1848</v>
      </c>
      <c r="G18" s="95"/>
      <c r="H18" s="96" t="s">
        <v>89</v>
      </c>
      <c r="I18" s="97" t="s">
        <v>90</v>
      </c>
      <c r="J18" s="95"/>
      <c r="K18" s="113"/>
      <c r="L18" s="113"/>
      <c r="M18" s="100"/>
      <c r="N18" s="101" t="s">
        <v>60</v>
      </c>
      <c r="O18" s="102" t="s">
        <v>1849</v>
      </c>
      <c r="P18" s="95"/>
      <c r="Q18" s="103">
        <v>6.0</v>
      </c>
      <c r="R18" s="171" t="s">
        <v>1850</v>
      </c>
      <c r="S18" s="103" t="s">
        <v>94</v>
      </c>
      <c r="T18" s="119" t="s">
        <v>1851</v>
      </c>
      <c r="U18" s="95"/>
      <c r="V18" s="107"/>
    </row>
    <row r="19" ht="15.75" customHeight="1">
      <c r="A19" s="95"/>
      <c r="B19" s="96" t="s">
        <v>1852</v>
      </c>
      <c r="C19" s="121" t="s">
        <v>1853</v>
      </c>
      <c r="D19" s="95"/>
      <c r="E19" s="130" t="s">
        <v>1854</v>
      </c>
      <c r="F19" s="194" t="s">
        <v>1855</v>
      </c>
      <c r="G19" s="95"/>
      <c r="H19" s="96" t="s">
        <v>89</v>
      </c>
      <c r="I19" s="97" t="s">
        <v>110</v>
      </c>
      <c r="J19" s="95"/>
      <c r="K19" s="99">
        <v>9000.0</v>
      </c>
      <c r="L19" s="99">
        <v>9000.0</v>
      </c>
      <c r="M19" s="100"/>
      <c r="N19" s="101" t="s">
        <v>91</v>
      </c>
      <c r="O19" s="102" t="s">
        <v>1856</v>
      </c>
      <c r="P19" s="95"/>
      <c r="Q19" s="103">
        <v>6.0</v>
      </c>
      <c r="R19" s="171" t="s">
        <v>1857</v>
      </c>
      <c r="S19" s="103" t="s">
        <v>113</v>
      </c>
      <c r="T19" s="119" t="s">
        <v>1858</v>
      </c>
      <c r="U19" s="95"/>
      <c r="V19" s="107"/>
    </row>
    <row r="20" ht="15.75" customHeight="1">
      <c r="A20" s="95"/>
      <c r="B20" s="119" t="s">
        <v>1859</v>
      </c>
      <c r="C20" s="119" t="s">
        <v>1860</v>
      </c>
      <c r="D20" s="95"/>
      <c r="E20" s="130" t="s">
        <v>1077</v>
      </c>
      <c r="F20" s="194" t="s">
        <v>1078</v>
      </c>
      <c r="G20" s="95"/>
      <c r="H20" s="96" t="s">
        <v>89</v>
      </c>
      <c r="I20" s="97" t="s">
        <v>1566</v>
      </c>
      <c r="J20" s="95"/>
      <c r="K20" s="99">
        <v>10500.0</v>
      </c>
      <c r="L20" s="99">
        <v>3000.0</v>
      </c>
      <c r="M20" s="100"/>
      <c r="N20" s="101"/>
      <c r="O20" s="102" t="s">
        <v>1861</v>
      </c>
      <c r="P20" s="95"/>
      <c r="Q20" s="103">
        <v>6.0</v>
      </c>
      <c r="R20" s="106" t="s">
        <v>1862</v>
      </c>
      <c r="S20" s="103" t="s">
        <v>113</v>
      </c>
      <c r="T20" s="119"/>
      <c r="U20" s="95"/>
      <c r="V20" s="107"/>
    </row>
    <row r="21" ht="15.75" customHeight="1">
      <c r="A21" s="89"/>
      <c r="B21" s="96" t="s">
        <v>1863</v>
      </c>
      <c r="C21" s="130" t="s">
        <v>1864</v>
      </c>
      <c r="D21" s="95"/>
      <c r="E21" s="130" t="s">
        <v>1865</v>
      </c>
      <c r="F21" s="194" t="s">
        <v>1866</v>
      </c>
      <c r="G21" s="95"/>
      <c r="H21" s="96" t="s">
        <v>89</v>
      </c>
      <c r="I21" s="97" t="s">
        <v>110</v>
      </c>
      <c r="J21" s="95"/>
      <c r="K21" s="99">
        <v>9000.0</v>
      </c>
      <c r="L21" s="99">
        <v>9000.0</v>
      </c>
      <c r="M21" s="100"/>
      <c r="N21" s="101" t="s">
        <v>45</v>
      </c>
      <c r="O21" s="102" t="s">
        <v>1867</v>
      </c>
      <c r="P21" s="103">
        <v>6.0</v>
      </c>
      <c r="Q21" s="103">
        <v>6.0</v>
      </c>
      <c r="R21" s="175" t="s">
        <v>1868</v>
      </c>
      <c r="S21" s="103" t="s">
        <v>113</v>
      </c>
      <c r="T21" s="103" t="s">
        <v>1869</v>
      </c>
      <c r="V21" s="107"/>
    </row>
    <row r="22" ht="15.75" customHeight="1">
      <c r="A22" s="89"/>
      <c r="B22" s="96" t="s">
        <v>1870</v>
      </c>
      <c r="C22" s="97" t="s">
        <v>1871</v>
      </c>
      <c r="D22" s="95"/>
      <c r="E22" s="130" t="s">
        <v>1872</v>
      </c>
      <c r="F22" s="194" t="s">
        <v>1873</v>
      </c>
      <c r="G22" s="95"/>
      <c r="H22" s="96" t="s">
        <v>89</v>
      </c>
      <c r="I22" s="97" t="s">
        <v>1566</v>
      </c>
      <c r="J22" s="95"/>
      <c r="K22" s="99">
        <v>10500.0</v>
      </c>
      <c r="L22" s="99">
        <v>3000.0</v>
      </c>
      <c r="M22" s="100"/>
      <c r="N22" s="101" t="s">
        <v>60</v>
      </c>
      <c r="O22" s="102" t="s">
        <v>1675</v>
      </c>
      <c r="P22" s="95"/>
      <c r="Q22" s="103">
        <v>6.0</v>
      </c>
      <c r="R22" s="171" t="s">
        <v>1874</v>
      </c>
      <c r="S22" s="103" t="s">
        <v>113</v>
      </c>
      <c r="T22" s="103" t="s">
        <v>1875</v>
      </c>
      <c r="V22" s="107"/>
    </row>
    <row r="23" ht="15.75" customHeight="1">
      <c r="A23" s="89"/>
      <c r="B23" s="96" t="s">
        <v>1876</v>
      </c>
      <c r="C23" s="97" t="s">
        <v>1877</v>
      </c>
      <c r="D23" s="95"/>
      <c r="E23" s="130" t="s">
        <v>1878</v>
      </c>
      <c r="F23" s="194" t="s">
        <v>1879</v>
      </c>
      <c r="G23" s="95"/>
      <c r="H23" s="96" t="s">
        <v>89</v>
      </c>
      <c r="I23" s="103" t="s">
        <v>90</v>
      </c>
      <c r="J23" s="95"/>
      <c r="K23" s="99"/>
      <c r="L23" s="99"/>
      <c r="M23" s="100"/>
      <c r="N23" s="101" t="s">
        <v>45</v>
      </c>
      <c r="O23" s="102" t="s">
        <v>1880</v>
      </c>
      <c r="P23" s="95"/>
      <c r="Q23" s="103">
        <v>6.0</v>
      </c>
      <c r="R23" s="171" t="s">
        <v>1881</v>
      </c>
      <c r="S23" s="103" t="s">
        <v>157</v>
      </c>
      <c r="T23" s="103" t="s">
        <v>1882</v>
      </c>
      <c r="V23" s="107"/>
    </row>
    <row r="24" ht="15.75" customHeight="1">
      <c r="A24" s="89"/>
      <c r="B24" s="96" t="s">
        <v>1883</v>
      </c>
      <c r="C24" s="97" t="s">
        <v>1884</v>
      </c>
      <c r="D24" s="95"/>
      <c r="E24" s="130" t="s">
        <v>1885</v>
      </c>
      <c r="F24" s="194" t="s">
        <v>1886</v>
      </c>
      <c r="G24" s="95"/>
      <c r="H24" s="96" t="s">
        <v>89</v>
      </c>
      <c r="I24" s="103" t="s">
        <v>110</v>
      </c>
      <c r="J24" s="95"/>
      <c r="K24" s="99">
        <v>9000.0</v>
      </c>
      <c r="L24" s="99">
        <v>9000.0</v>
      </c>
      <c r="M24" s="100"/>
      <c r="N24" s="101"/>
      <c r="O24" s="102" t="s">
        <v>1887</v>
      </c>
      <c r="P24" s="95"/>
      <c r="Q24" s="103">
        <v>6.0</v>
      </c>
      <c r="R24" s="171" t="s">
        <v>1888</v>
      </c>
      <c r="S24" s="103" t="s">
        <v>113</v>
      </c>
      <c r="T24" s="103" t="s">
        <v>1889</v>
      </c>
      <c r="V24" s="107"/>
    </row>
    <row r="25" ht="15.75" customHeight="1">
      <c r="A25" s="89"/>
      <c r="B25" s="96" t="s">
        <v>1883</v>
      </c>
      <c r="C25" s="97" t="s">
        <v>1890</v>
      </c>
      <c r="D25" s="95"/>
      <c r="E25" s="130" t="s">
        <v>1891</v>
      </c>
      <c r="F25" s="194" t="s">
        <v>1892</v>
      </c>
      <c r="G25" s="95"/>
      <c r="H25" s="96" t="s">
        <v>89</v>
      </c>
      <c r="I25" s="103" t="s">
        <v>90</v>
      </c>
      <c r="J25" s="95"/>
      <c r="K25" s="99"/>
      <c r="L25" s="99"/>
      <c r="M25" s="100"/>
      <c r="N25" s="101" t="s">
        <v>91</v>
      </c>
      <c r="O25" s="102" t="s">
        <v>1893</v>
      </c>
      <c r="P25" s="95"/>
      <c r="Q25" s="103">
        <v>6.0</v>
      </c>
      <c r="R25" s="171" t="s">
        <v>1894</v>
      </c>
      <c r="S25" s="103" t="s">
        <v>157</v>
      </c>
      <c r="T25" s="103" t="s">
        <v>1895</v>
      </c>
      <c r="V25" s="107"/>
    </row>
    <row r="26" ht="15.75" customHeight="1">
      <c r="A26" s="89"/>
      <c r="B26" s="96" t="s">
        <v>1883</v>
      </c>
      <c r="C26" s="97" t="s">
        <v>1896</v>
      </c>
      <c r="D26" s="95"/>
      <c r="E26" s="213" t="s">
        <v>1897</v>
      </c>
      <c r="F26" s="232" t="s">
        <v>1898</v>
      </c>
      <c r="G26" s="95"/>
      <c r="H26" s="96" t="s">
        <v>89</v>
      </c>
      <c r="I26" s="103" t="s">
        <v>849</v>
      </c>
      <c r="J26" s="95"/>
      <c r="K26" s="113"/>
      <c r="L26" s="113"/>
      <c r="M26" s="100"/>
      <c r="N26" s="101"/>
      <c r="O26" s="102"/>
      <c r="P26" s="95"/>
      <c r="Q26" s="114"/>
      <c r="R26" s="106"/>
      <c r="S26" s="103"/>
      <c r="T26" s="103"/>
      <c r="V26" s="107"/>
    </row>
    <row r="27" ht="15.75" customHeight="1">
      <c r="A27" s="89"/>
      <c r="B27" s="96" t="s">
        <v>1899</v>
      </c>
      <c r="C27" s="97" t="s">
        <v>1900</v>
      </c>
      <c r="D27" s="95"/>
      <c r="E27" s="130" t="s">
        <v>1901</v>
      </c>
      <c r="F27" s="194" t="s">
        <v>1902</v>
      </c>
      <c r="G27" s="95"/>
      <c r="H27" s="96" t="s">
        <v>89</v>
      </c>
      <c r="I27" s="103" t="s">
        <v>90</v>
      </c>
      <c r="J27" s="95"/>
      <c r="K27" s="99"/>
      <c r="L27" s="99"/>
      <c r="M27" s="100"/>
      <c r="N27" s="101" t="s">
        <v>45</v>
      </c>
      <c r="O27" s="102" t="s">
        <v>1903</v>
      </c>
      <c r="P27" s="95"/>
      <c r="Q27" s="103">
        <v>6.0</v>
      </c>
      <c r="R27" s="171" t="s">
        <v>1904</v>
      </c>
      <c r="S27" s="103" t="s">
        <v>94</v>
      </c>
      <c r="T27" s="95"/>
      <c r="V27" s="107"/>
    </row>
    <row r="28" ht="15.75" customHeight="1">
      <c r="A28" s="89"/>
      <c r="B28" s="96"/>
      <c r="C28" s="97"/>
      <c r="D28" s="95"/>
      <c r="E28" s="130"/>
      <c r="F28" s="194"/>
      <c r="G28" s="95"/>
      <c r="H28" s="96"/>
      <c r="I28" s="103"/>
      <c r="J28" s="95"/>
      <c r="K28" s="99"/>
      <c r="L28" s="99"/>
      <c r="M28" s="100"/>
      <c r="N28" s="101"/>
      <c r="O28" s="102"/>
      <c r="P28" s="95"/>
      <c r="Q28" s="103"/>
      <c r="R28" s="115"/>
      <c r="S28" s="103"/>
      <c r="T28" s="103"/>
      <c r="V28" s="107"/>
    </row>
    <row r="29" ht="15.75" customHeight="1">
      <c r="A29" s="89"/>
      <c r="B29" s="96"/>
      <c r="C29" s="103"/>
      <c r="D29" s="95"/>
      <c r="E29" s="130"/>
      <c r="F29" s="194"/>
      <c r="G29" s="95"/>
      <c r="H29" s="96"/>
      <c r="I29" s="103"/>
      <c r="J29" s="95"/>
      <c r="K29" s="99"/>
      <c r="L29" s="99"/>
      <c r="M29" s="100"/>
      <c r="N29" s="127"/>
      <c r="O29" s="102"/>
      <c r="P29" s="95"/>
      <c r="Q29" s="103"/>
      <c r="R29" s="106"/>
      <c r="S29" s="103"/>
      <c r="T29" s="103"/>
      <c r="V29" s="107"/>
    </row>
    <row r="30" ht="15.75" customHeight="1">
      <c r="A30" s="89"/>
      <c r="B30" s="177"/>
      <c r="C30" s="97"/>
      <c r="D30" s="95"/>
      <c r="E30" s="176"/>
      <c r="F30" s="144"/>
      <c r="G30" s="95"/>
      <c r="H30" s="96"/>
      <c r="I30" s="103"/>
      <c r="J30" s="95"/>
      <c r="K30" s="113"/>
      <c r="L30" s="113"/>
      <c r="M30" s="100"/>
      <c r="N30" s="127"/>
      <c r="O30" s="128"/>
      <c r="P30" s="95"/>
      <c r="Q30" s="95"/>
      <c r="R30" s="129"/>
      <c r="S30" s="95"/>
      <c r="T30" s="95"/>
      <c r="V30" s="107"/>
    </row>
    <row r="31" ht="15.75" customHeight="1">
      <c r="A31" s="89"/>
      <c r="B31" s="177"/>
      <c r="C31" s="97"/>
      <c r="D31" s="95"/>
      <c r="E31" s="176"/>
      <c r="F31" s="144"/>
      <c r="G31" s="95"/>
      <c r="H31" s="96"/>
      <c r="I31" s="103"/>
      <c r="J31" s="95"/>
      <c r="K31" s="99"/>
      <c r="L31" s="99"/>
      <c r="M31" s="100"/>
      <c r="N31" s="101"/>
      <c r="O31" s="102"/>
      <c r="P31" s="95"/>
      <c r="Q31" s="114"/>
      <c r="R31" s="106"/>
      <c r="S31" s="103"/>
      <c r="T31" s="103"/>
      <c r="V31" s="107"/>
    </row>
    <row r="32" ht="15.75" customHeight="1">
      <c r="A32" s="89"/>
      <c r="B32" s="177"/>
      <c r="C32" s="97"/>
      <c r="D32" s="95"/>
      <c r="E32" s="176"/>
      <c r="F32" s="144"/>
      <c r="G32" s="95"/>
      <c r="H32" s="96"/>
      <c r="I32" s="103"/>
      <c r="J32" s="95"/>
      <c r="K32" s="113"/>
      <c r="L32" s="113"/>
      <c r="M32" s="100"/>
      <c r="N32" s="127"/>
      <c r="O32" s="128"/>
      <c r="P32" s="95"/>
      <c r="Q32" s="95"/>
      <c r="R32" s="129"/>
      <c r="S32" s="95"/>
      <c r="T32" s="95"/>
      <c r="V32" s="107"/>
    </row>
    <row r="33" ht="15.75" customHeight="1">
      <c r="A33" s="89"/>
      <c r="B33" s="177"/>
      <c r="C33" s="97"/>
      <c r="D33" s="95"/>
      <c r="E33" s="176"/>
      <c r="F33" s="146"/>
      <c r="G33" s="95"/>
      <c r="H33" s="96"/>
      <c r="I33" s="103"/>
      <c r="J33" s="95"/>
      <c r="K33" s="99"/>
      <c r="L33" s="99"/>
      <c r="M33" s="100"/>
      <c r="N33" s="101"/>
      <c r="O33" s="102"/>
      <c r="P33" s="95"/>
      <c r="Q33" s="114"/>
      <c r="R33" s="106"/>
      <c r="S33" s="103"/>
      <c r="T33" s="103"/>
      <c r="V33" s="107"/>
    </row>
    <row r="34" ht="15.75" customHeight="1">
      <c r="A34" s="89"/>
      <c r="B34" s="177"/>
      <c r="C34" s="97"/>
      <c r="D34" s="95"/>
      <c r="E34" s="176"/>
      <c r="F34" s="144"/>
      <c r="G34" s="95"/>
      <c r="H34" s="96"/>
      <c r="I34" s="103"/>
      <c r="J34" s="95"/>
      <c r="K34" s="113"/>
      <c r="L34" s="113"/>
      <c r="M34" s="100"/>
      <c r="N34" s="127"/>
      <c r="O34" s="128"/>
      <c r="P34" s="95"/>
      <c r="Q34" s="95"/>
      <c r="R34" s="129"/>
      <c r="S34" s="95"/>
      <c r="T34" s="95"/>
      <c r="V34" s="107"/>
    </row>
    <row r="35" ht="15.75" customHeight="1">
      <c r="A35" s="89"/>
      <c r="B35" s="177"/>
      <c r="C35" s="103"/>
      <c r="D35" s="95"/>
      <c r="E35" s="176"/>
      <c r="F35" s="144"/>
      <c r="G35" s="95"/>
      <c r="H35" s="96"/>
      <c r="I35" s="103"/>
      <c r="J35" s="95"/>
      <c r="K35" s="99"/>
      <c r="L35" s="99"/>
      <c r="M35" s="100"/>
      <c r="N35" s="127"/>
      <c r="O35" s="128"/>
      <c r="P35" s="95"/>
      <c r="Q35" s="95"/>
      <c r="R35" s="129"/>
      <c r="S35" s="95"/>
      <c r="T35" s="95"/>
      <c r="V35" s="107"/>
    </row>
    <row r="36" ht="15.75" customHeight="1">
      <c r="A36" s="89"/>
      <c r="B36" s="177"/>
      <c r="C36" s="103"/>
      <c r="D36" s="95"/>
      <c r="E36" s="176"/>
      <c r="F36" s="146"/>
      <c r="G36" s="95"/>
      <c r="H36" s="96"/>
      <c r="I36" s="103"/>
      <c r="J36" s="95"/>
      <c r="K36" s="113"/>
      <c r="L36" s="113"/>
      <c r="M36" s="100"/>
      <c r="N36" s="127"/>
      <c r="O36" s="128"/>
      <c r="P36" s="95"/>
      <c r="Q36" s="95"/>
      <c r="R36" s="129"/>
      <c r="S36" s="95"/>
      <c r="T36" s="103"/>
      <c r="V36" s="107"/>
    </row>
    <row r="37" ht="15.75" customHeight="1">
      <c r="A37" s="89"/>
      <c r="B37" s="177"/>
      <c r="C37" s="97"/>
      <c r="D37" s="95"/>
      <c r="E37" s="176"/>
      <c r="F37" s="144"/>
      <c r="G37" s="95"/>
      <c r="H37" s="96"/>
      <c r="I37" s="103"/>
      <c r="J37" s="95"/>
      <c r="K37" s="99"/>
      <c r="L37" s="99"/>
      <c r="M37" s="100"/>
      <c r="N37" s="101"/>
      <c r="O37" s="102"/>
      <c r="P37" s="95"/>
      <c r="Q37" s="114"/>
      <c r="R37" s="106"/>
      <c r="S37" s="103"/>
      <c r="T37" s="103"/>
      <c r="V37" s="107"/>
    </row>
    <row r="38" ht="15.75" customHeight="1">
      <c r="A38" s="89"/>
      <c r="B38" s="177"/>
      <c r="C38" s="97"/>
      <c r="D38" s="95"/>
      <c r="E38" s="176"/>
      <c r="F38" s="144"/>
      <c r="G38" s="95"/>
      <c r="H38" s="96"/>
      <c r="I38" s="103"/>
      <c r="J38" s="95"/>
      <c r="K38" s="113"/>
      <c r="L38" s="113"/>
      <c r="M38" s="100"/>
      <c r="N38" s="127"/>
      <c r="O38" s="128"/>
      <c r="P38" s="95"/>
      <c r="Q38" s="135"/>
      <c r="R38" s="106"/>
      <c r="S38" s="95"/>
      <c r="V38" s="107"/>
    </row>
    <row r="39" ht="15.75" customHeight="1">
      <c r="A39" s="89"/>
      <c r="B39" s="177"/>
      <c r="C39" s="97"/>
      <c r="D39" s="95"/>
      <c r="E39" s="176"/>
      <c r="F39" s="178"/>
      <c r="G39" s="95"/>
      <c r="H39" s="96"/>
      <c r="I39" s="103"/>
      <c r="J39" s="95"/>
      <c r="K39" s="99"/>
      <c r="L39" s="99"/>
      <c r="M39" s="100"/>
      <c r="N39" s="127"/>
      <c r="O39" s="128"/>
      <c r="P39" s="95"/>
      <c r="Q39" s="114"/>
      <c r="R39" s="106"/>
      <c r="S39" s="95"/>
      <c r="T39" s="103"/>
      <c r="V39" s="107"/>
    </row>
    <row r="40" ht="15.75" customHeight="1">
      <c r="A40" s="89"/>
      <c r="B40" s="177"/>
      <c r="C40" s="97"/>
      <c r="D40" s="95"/>
      <c r="E40" s="176"/>
      <c r="F40" s="144"/>
      <c r="G40" s="95"/>
      <c r="H40" s="96"/>
      <c r="I40" s="103"/>
      <c r="J40" s="95"/>
      <c r="K40" s="113"/>
      <c r="L40" s="113"/>
      <c r="M40" s="100"/>
      <c r="N40" s="101"/>
      <c r="O40" s="102"/>
      <c r="P40" s="95"/>
      <c r="Q40" s="114"/>
      <c r="R40" s="106"/>
      <c r="S40" s="103"/>
      <c r="T40" s="103"/>
      <c r="V40" s="107"/>
    </row>
    <row r="41" ht="15.75" customHeight="1">
      <c r="A41" s="89"/>
      <c r="B41" s="177"/>
      <c r="C41" s="97"/>
      <c r="D41" s="95"/>
      <c r="E41" s="96"/>
      <c r="F41" s="146"/>
      <c r="G41" s="95"/>
      <c r="H41" s="96"/>
      <c r="I41" s="103"/>
      <c r="J41" s="95"/>
      <c r="K41" s="99"/>
      <c r="L41" s="99"/>
      <c r="M41" s="100"/>
      <c r="N41" s="127"/>
      <c r="O41" s="128"/>
      <c r="P41" s="95"/>
      <c r="Q41" s="95"/>
      <c r="R41" s="129"/>
      <c r="S41" s="95"/>
      <c r="T41" s="95"/>
      <c r="V41" s="107"/>
    </row>
    <row r="42" ht="15.75" customHeight="1">
      <c r="A42" s="89"/>
      <c r="B42" s="177"/>
      <c r="C42" s="103"/>
      <c r="D42" s="95"/>
      <c r="E42" s="176"/>
      <c r="F42" s="96"/>
      <c r="G42" s="95"/>
      <c r="H42" s="96"/>
      <c r="I42" s="103"/>
      <c r="J42" s="95"/>
      <c r="K42" s="113"/>
      <c r="L42" s="113"/>
      <c r="M42" s="100"/>
      <c r="N42" s="101"/>
      <c r="O42" s="102"/>
      <c r="P42" s="95"/>
      <c r="Q42" s="114"/>
      <c r="R42" s="106"/>
      <c r="S42" s="103"/>
      <c r="T42" s="103"/>
      <c r="V42" s="107"/>
    </row>
    <row r="43" ht="15.75" customHeight="1">
      <c r="A43" s="89"/>
      <c r="B43" s="177"/>
      <c r="C43" s="103"/>
      <c r="D43" s="95"/>
      <c r="E43" s="176"/>
      <c r="F43" s="144"/>
      <c r="G43" s="95"/>
      <c r="H43" s="96"/>
      <c r="I43" s="103"/>
      <c r="J43" s="95"/>
      <c r="K43" s="99"/>
      <c r="L43" s="99"/>
      <c r="M43" s="100"/>
      <c r="N43" s="127"/>
      <c r="O43" s="128"/>
      <c r="P43" s="95"/>
      <c r="Q43" s="137"/>
      <c r="R43" s="129"/>
      <c r="S43" s="95"/>
      <c r="T43" s="95"/>
      <c r="V43" s="107"/>
    </row>
    <row r="44" ht="15.75" customHeight="1">
      <c r="A44" s="89"/>
      <c r="B44" s="177"/>
      <c r="C44" s="103"/>
      <c r="D44" s="95"/>
      <c r="E44" s="176"/>
      <c r="F44" s="144"/>
      <c r="G44" s="95"/>
      <c r="H44" s="96"/>
      <c r="I44" s="103"/>
      <c r="J44" s="95"/>
      <c r="K44" s="113"/>
      <c r="L44" s="113"/>
      <c r="M44" s="100"/>
      <c r="N44" s="127"/>
      <c r="O44" s="128"/>
      <c r="P44" s="95"/>
      <c r="Q44" s="95"/>
      <c r="R44" s="129"/>
      <c r="S44" s="95"/>
      <c r="T44" s="95"/>
      <c r="V44" s="107"/>
    </row>
    <row r="45" ht="15.75" customHeight="1">
      <c r="A45" s="89"/>
      <c r="B45" s="177"/>
      <c r="C45" s="97"/>
      <c r="D45" s="95"/>
      <c r="E45" s="176"/>
      <c r="F45" s="144"/>
      <c r="G45" s="95"/>
      <c r="H45" s="96"/>
      <c r="I45" s="103"/>
      <c r="J45" s="95"/>
      <c r="K45" s="99"/>
      <c r="L45" s="99"/>
      <c r="M45" s="100"/>
      <c r="N45" s="127"/>
      <c r="O45" s="128"/>
      <c r="P45" s="95"/>
      <c r="Q45" s="95"/>
      <c r="R45" s="129"/>
      <c r="S45" s="95"/>
      <c r="T45" s="95"/>
      <c r="V45" s="107"/>
    </row>
    <row r="46" ht="15.75" customHeight="1">
      <c r="A46" s="89"/>
      <c r="B46" s="177"/>
      <c r="C46" s="97"/>
      <c r="D46" s="95"/>
      <c r="E46" s="176"/>
      <c r="F46" s="144"/>
      <c r="G46" s="95"/>
      <c r="H46" s="96"/>
      <c r="I46" s="103"/>
      <c r="J46" s="95"/>
      <c r="K46" s="113"/>
      <c r="L46" s="113"/>
      <c r="M46" s="100"/>
      <c r="N46" s="127"/>
      <c r="O46" s="128"/>
      <c r="P46" s="95"/>
      <c r="Q46" s="95"/>
      <c r="R46" s="129"/>
      <c r="S46" s="95"/>
      <c r="T46" s="95"/>
      <c r="V46" s="107"/>
    </row>
    <row r="47" ht="15.75" customHeight="1">
      <c r="A47" s="89"/>
      <c r="B47" s="177"/>
      <c r="C47" s="97"/>
      <c r="D47" s="95"/>
      <c r="E47" s="176"/>
      <c r="F47" s="144"/>
      <c r="G47" s="95"/>
      <c r="H47" s="96"/>
      <c r="I47" s="103"/>
      <c r="J47" s="95"/>
      <c r="K47" s="99"/>
      <c r="L47" s="99"/>
      <c r="M47" s="100"/>
      <c r="N47" s="101"/>
      <c r="O47" s="102"/>
      <c r="P47" s="95"/>
      <c r="Q47" s="114"/>
      <c r="R47" s="115"/>
      <c r="S47" s="103"/>
      <c r="T47" s="103"/>
      <c r="V47" s="107"/>
    </row>
    <row r="48" ht="15.75" customHeight="1">
      <c r="A48" s="89"/>
      <c r="B48" s="177"/>
      <c r="C48" s="97"/>
      <c r="D48" s="95"/>
      <c r="E48" s="176"/>
      <c r="F48" s="144"/>
      <c r="G48" s="95"/>
      <c r="H48" s="96"/>
      <c r="I48" s="103"/>
      <c r="J48" s="95"/>
      <c r="K48" s="113"/>
      <c r="L48" s="113"/>
      <c r="M48" s="100"/>
      <c r="N48" s="101"/>
      <c r="O48" s="102"/>
      <c r="P48" s="95"/>
      <c r="Q48" s="135"/>
      <c r="R48" s="106"/>
      <c r="S48" s="103"/>
      <c r="T48" s="103"/>
      <c r="V48" s="107"/>
    </row>
    <row r="49" ht="15.75" customHeight="1">
      <c r="A49" s="89"/>
      <c r="B49" s="177"/>
      <c r="C49" s="97"/>
      <c r="D49" s="95"/>
      <c r="E49" s="176"/>
      <c r="F49" s="144"/>
      <c r="G49" s="95"/>
      <c r="H49" s="96"/>
      <c r="I49" s="103"/>
      <c r="J49" s="95"/>
      <c r="K49" s="99"/>
      <c r="L49" s="99"/>
      <c r="M49" s="100"/>
      <c r="N49" s="101"/>
      <c r="O49" s="102"/>
      <c r="P49" s="95"/>
      <c r="Q49" s="135"/>
      <c r="R49" s="106"/>
      <c r="S49" s="103"/>
      <c r="T49" s="103"/>
      <c r="V49" s="107"/>
    </row>
    <row r="50" ht="15.75" customHeight="1">
      <c r="A50" s="89"/>
      <c r="B50" s="177"/>
      <c r="C50" s="103"/>
      <c r="D50" s="95"/>
      <c r="E50" s="176"/>
      <c r="F50" s="146"/>
      <c r="G50" s="95"/>
      <c r="H50" s="96"/>
      <c r="I50" s="103"/>
      <c r="J50" s="95"/>
      <c r="K50" s="113"/>
      <c r="L50" s="113"/>
      <c r="M50" s="100"/>
      <c r="N50" s="127"/>
      <c r="O50" s="128"/>
      <c r="P50" s="95"/>
      <c r="Q50" s="95"/>
      <c r="R50" s="129"/>
      <c r="S50" s="95"/>
      <c r="T50" s="103"/>
      <c r="V50" s="107"/>
    </row>
    <row r="51" ht="15.75" customHeight="1">
      <c r="A51" s="89"/>
      <c r="B51" s="177"/>
      <c r="C51" s="103"/>
      <c r="D51" s="95"/>
      <c r="E51" s="176"/>
      <c r="F51" s="179"/>
      <c r="G51" s="95"/>
      <c r="H51" s="96"/>
      <c r="I51" s="103"/>
      <c r="J51" s="95"/>
      <c r="K51" s="99"/>
      <c r="L51" s="99"/>
      <c r="M51" s="100"/>
      <c r="N51" s="101"/>
      <c r="O51" s="102"/>
      <c r="P51" s="95"/>
      <c r="Q51" s="137"/>
      <c r="R51" s="129"/>
      <c r="S51" s="103"/>
      <c r="T51" s="103"/>
      <c r="V51" s="107"/>
    </row>
    <row r="52" ht="15.75" customHeight="1">
      <c r="A52" s="89"/>
      <c r="B52" s="177"/>
      <c r="C52" s="103"/>
      <c r="D52" s="95"/>
      <c r="E52" s="176"/>
      <c r="F52" s="144"/>
      <c r="G52" s="95"/>
      <c r="H52" s="96"/>
      <c r="I52" s="103"/>
      <c r="J52" s="95"/>
      <c r="K52" s="113"/>
      <c r="L52" s="113"/>
      <c r="M52" s="100"/>
      <c r="N52" s="127"/>
      <c r="O52" s="128"/>
      <c r="P52" s="95"/>
      <c r="Q52" s="137"/>
      <c r="R52" s="129"/>
      <c r="S52" s="95"/>
      <c r="T52" s="95"/>
      <c r="V52" s="107"/>
    </row>
    <row r="53" ht="15.75" customHeight="1">
      <c r="A53" s="89"/>
      <c r="B53" s="177"/>
      <c r="C53" s="97"/>
      <c r="D53" s="95"/>
      <c r="E53" s="176"/>
      <c r="F53" s="144"/>
      <c r="G53" s="95"/>
      <c r="H53" s="96"/>
      <c r="I53" s="103"/>
      <c r="J53" s="95"/>
      <c r="K53" s="99"/>
      <c r="L53" s="99"/>
      <c r="M53" s="100"/>
      <c r="N53" s="127"/>
      <c r="O53" s="128"/>
      <c r="P53" s="95"/>
      <c r="Q53" s="135"/>
      <c r="R53" s="106"/>
      <c r="S53" s="95"/>
      <c r="T53" s="103"/>
      <c r="V53" s="107"/>
    </row>
    <row r="54" ht="15.75" customHeight="1">
      <c r="A54" s="89"/>
      <c r="B54" s="177"/>
      <c r="C54" s="96"/>
      <c r="D54" s="95"/>
      <c r="E54" s="176"/>
      <c r="F54" s="144"/>
      <c r="G54" s="95"/>
      <c r="H54" s="96"/>
      <c r="I54" s="103"/>
      <c r="J54" s="95"/>
      <c r="K54" s="113"/>
      <c r="L54" s="113"/>
      <c r="M54" s="100"/>
      <c r="N54" s="101"/>
      <c r="O54" s="102"/>
      <c r="P54" s="95"/>
      <c r="Q54" s="135"/>
      <c r="R54" s="139"/>
      <c r="S54" s="103"/>
      <c r="T54" s="103"/>
      <c r="V54" s="107"/>
    </row>
    <row r="55" ht="15.75" customHeight="1">
      <c r="A55" s="89"/>
      <c r="B55" s="177"/>
      <c r="C55" s="96"/>
      <c r="D55" s="95"/>
      <c r="E55" s="176"/>
      <c r="F55" s="146"/>
      <c r="G55" s="95"/>
      <c r="H55" s="96"/>
      <c r="I55" s="103"/>
      <c r="J55" s="95"/>
      <c r="K55" s="99"/>
      <c r="L55" s="99"/>
      <c r="M55" s="100"/>
      <c r="N55" s="101"/>
      <c r="O55" s="102"/>
      <c r="P55" s="95"/>
      <c r="Q55" s="135"/>
      <c r="R55" s="106"/>
      <c r="S55" s="103"/>
      <c r="T55" s="103"/>
      <c r="V55" s="107"/>
    </row>
    <row r="56" ht="15.75" customHeight="1">
      <c r="A56" s="89"/>
      <c r="B56" s="177"/>
      <c r="C56" s="96"/>
      <c r="D56" s="95"/>
      <c r="E56" s="176"/>
      <c r="F56" s="144"/>
      <c r="G56" s="95"/>
      <c r="H56" s="96"/>
      <c r="I56" s="103"/>
      <c r="J56" s="95"/>
      <c r="K56" s="113"/>
      <c r="L56" s="113"/>
      <c r="M56" s="100"/>
      <c r="N56" s="127"/>
      <c r="O56" s="128"/>
      <c r="P56" s="95"/>
      <c r="Q56" s="114"/>
      <c r="R56" s="106"/>
      <c r="S56" s="95"/>
      <c r="T56" s="103"/>
      <c r="V56" s="107"/>
    </row>
    <row r="57" ht="15.75" customHeight="1">
      <c r="A57" s="89"/>
      <c r="B57" s="177"/>
      <c r="C57" s="96"/>
      <c r="D57" s="95"/>
      <c r="E57" s="176"/>
      <c r="F57" s="144"/>
      <c r="G57" s="95"/>
      <c r="H57" s="96"/>
      <c r="I57" s="103"/>
      <c r="J57" s="95"/>
      <c r="K57" s="99"/>
      <c r="L57" s="99"/>
      <c r="M57" s="100"/>
      <c r="N57" s="127"/>
      <c r="O57" s="128"/>
      <c r="P57" s="95"/>
      <c r="Q57" s="137"/>
      <c r="R57" s="129"/>
      <c r="S57" s="95"/>
      <c r="T57" s="103"/>
      <c r="V57" s="107"/>
    </row>
    <row r="58" ht="15.75" customHeight="1">
      <c r="A58" s="89"/>
      <c r="B58" s="177"/>
      <c r="C58" s="106"/>
      <c r="D58" s="95"/>
      <c r="E58" s="176"/>
      <c r="F58" s="144"/>
      <c r="G58" s="95"/>
      <c r="H58" s="96"/>
      <c r="I58" s="103"/>
      <c r="J58" s="95"/>
      <c r="K58" s="113"/>
      <c r="L58" s="113"/>
      <c r="M58" s="100"/>
      <c r="N58" s="101"/>
      <c r="O58" s="102"/>
      <c r="P58" s="95"/>
      <c r="Q58" s="114"/>
      <c r="R58" s="106"/>
      <c r="S58" s="103"/>
      <c r="T58" s="103"/>
      <c r="V58" s="107"/>
    </row>
    <row r="59" ht="15.75" customHeight="1">
      <c r="A59" s="89"/>
      <c r="B59" s="177"/>
      <c r="C59" s="106"/>
      <c r="D59" s="95"/>
      <c r="E59" s="176"/>
      <c r="F59" s="144"/>
      <c r="G59" s="95"/>
      <c r="H59" s="96"/>
      <c r="I59" s="103"/>
      <c r="J59" s="95"/>
      <c r="K59" s="99"/>
      <c r="L59" s="99"/>
      <c r="M59" s="100"/>
      <c r="N59" s="127"/>
      <c r="O59" s="128"/>
      <c r="P59" s="95"/>
      <c r="Q59" s="95"/>
      <c r="R59" s="129"/>
      <c r="S59" s="95"/>
      <c r="T59" s="95"/>
      <c r="V59" s="107"/>
    </row>
    <row r="60" ht="15.75" customHeight="1">
      <c r="A60" s="89"/>
      <c r="B60" s="177"/>
      <c r="C60" s="106"/>
      <c r="D60" s="95"/>
      <c r="E60" s="96"/>
      <c r="F60" s="144"/>
      <c r="G60" s="95"/>
      <c r="H60" s="96"/>
      <c r="I60" s="103"/>
      <c r="J60" s="95"/>
      <c r="K60" s="113"/>
      <c r="L60" s="113"/>
      <c r="M60" s="100"/>
      <c r="N60" s="127"/>
      <c r="O60" s="128"/>
      <c r="P60" s="95"/>
      <c r="Q60" s="114"/>
      <c r="R60" s="106"/>
      <c r="S60" s="95"/>
      <c r="T60" s="103"/>
      <c r="V60" s="107"/>
    </row>
    <row r="61" ht="15.75" customHeight="1">
      <c r="A61" s="89"/>
      <c r="B61" s="177"/>
      <c r="C61" s="96"/>
      <c r="D61" s="95"/>
      <c r="E61" s="176"/>
      <c r="F61" s="146"/>
      <c r="G61" s="95"/>
      <c r="H61" s="96"/>
      <c r="I61" s="103"/>
      <c r="J61" s="95"/>
      <c r="K61" s="99"/>
      <c r="L61" s="99"/>
      <c r="M61" s="100"/>
      <c r="N61" s="127"/>
      <c r="O61" s="128"/>
      <c r="P61" s="95"/>
      <c r="Q61" s="95"/>
      <c r="R61" s="129"/>
      <c r="S61" s="95"/>
      <c r="T61" s="95"/>
      <c r="V61" s="107"/>
    </row>
    <row r="62" ht="15.75" customHeight="1">
      <c r="A62" s="89"/>
      <c r="B62" s="177"/>
      <c r="C62" s="96"/>
      <c r="D62" s="95"/>
      <c r="E62" s="176"/>
      <c r="F62" s="144"/>
      <c r="G62" s="95"/>
      <c r="H62" s="96"/>
      <c r="I62" s="103"/>
      <c r="J62" s="95"/>
      <c r="K62" s="113"/>
      <c r="L62" s="113"/>
      <c r="M62" s="100"/>
      <c r="N62" s="127"/>
      <c r="O62" s="128"/>
      <c r="P62" s="95"/>
      <c r="Q62" s="95"/>
      <c r="R62" s="129"/>
      <c r="S62" s="95"/>
      <c r="T62" s="95"/>
      <c r="V62" s="107"/>
    </row>
    <row r="63" ht="15.75" customHeight="1">
      <c r="A63" s="89"/>
      <c r="B63" s="177"/>
      <c r="C63" s="140"/>
      <c r="D63" s="95"/>
      <c r="E63" s="176"/>
      <c r="F63" s="146"/>
      <c r="G63" s="95"/>
      <c r="H63" s="96"/>
      <c r="I63" s="103"/>
      <c r="J63" s="95"/>
      <c r="K63" s="99"/>
      <c r="L63" s="99"/>
      <c r="M63" s="100"/>
      <c r="N63" s="127"/>
      <c r="O63" s="128"/>
      <c r="P63" s="95"/>
      <c r="Q63" s="95"/>
      <c r="R63" s="129"/>
      <c r="S63" s="95"/>
      <c r="T63" s="95"/>
      <c r="V63" s="107"/>
    </row>
    <row r="64" ht="15.75" customHeight="1">
      <c r="A64" s="89"/>
      <c r="B64" s="177"/>
      <c r="C64" s="141"/>
      <c r="D64" s="95"/>
      <c r="E64" s="176"/>
      <c r="F64" s="144"/>
      <c r="G64" s="95"/>
      <c r="H64" s="96"/>
      <c r="I64" s="103"/>
      <c r="J64" s="95"/>
      <c r="K64" s="113"/>
      <c r="L64" s="113"/>
      <c r="M64" s="100"/>
      <c r="N64" s="101"/>
      <c r="O64" s="102"/>
      <c r="P64" s="95"/>
      <c r="Q64" s="114"/>
      <c r="R64" s="115"/>
      <c r="S64" s="103"/>
      <c r="T64" s="103"/>
      <c r="V64" s="107"/>
    </row>
    <row r="65" ht="15.75" customHeight="1">
      <c r="A65" s="89"/>
      <c r="B65" s="177"/>
      <c r="C65" s="97"/>
      <c r="D65" s="95"/>
      <c r="E65" s="176"/>
      <c r="F65" s="144"/>
      <c r="G65" s="95"/>
      <c r="H65" s="96"/>
      <c r="I65" s="103"/>
      <c r="J65" s="95"/>
      <c r="K65" s="99"/>
      <c r="L65" s="99"/>
      <c r="M65" s="100"/>
      <c r="N65" s="101"/>
      <c r="O65" s="102"/>
      <c r="P65" s="95"/>
      <c r="Q65" s="135"/>
      <c r="R65" s="115"/>
      <c r="S65" s="103"/>
      <c r="T65" s="103"/>
      <c r="V65" s="107"/>
    </row>
    <row r="66" ht="15.75" customHeight="1">
      <c r="A66" s="89"/>
      <c r="B66" s="177"/>
      <c r="C66" s="106"/>
      <c r="D66" s="95"/>
      <c r="E66" s="176"/>
      <c r="F66" s="144"/>
      <c r="G66" s="95"/>
      <c r="H66" s="96"/>
      <c r="I66" s="103"/>
      <c r="J66" s="95"/>
      <c r="K66" s="113"/>
      <c r="L66" s="113"/>
      <c r="M66" s="100"/>
      <c r="N66" s="127"/>
      <c r="O66" s="128"/>
      <c r="P66" s="95"/>
      <c r="Q66" s="95"/>
      <c r="R66" s="129"/>
      <c r="S66" s="95"/>
      <c r="T66" s="95"/>
      <c r="V66" s="107"/>
    </row>
    <row r="67" ht="15.75" customHeight="1">
      <c r="A67" s="89"/>
      <c r="B67" s="177"/>
      <c r="C67" s="106"/>
      <c r="D67" s="95"/>
      <c r="E67" s="96"/>
      <c r="F67" s="144"/>
      <c r="G67" s="95"/>
      <c r="H67" s="96"/>
      <c r="I67" s="103"/>
      <c r="J67" s="95"/>
      <c r="K67" s="99"/>
      <c r="L67" s="99"/>
      <c r="M67" s="100"/>
      <c r="N67" s="127"/>
      <c r="O67" s="128"/>
      <c r="P67" s="95"/>
      <c r="Q67" s="135"/>
      <c r="R67" s="106"/>
      <c r="S67" s="103"/>
      <c r="T67" s="103"/>
      <c r="V67" s="107"/>
    </row>
    <row r="68" ht="15.75" customHeight="1">
      <c r="A68" s="89"/>
      <c r="B68" s="177"/>
      <c r="C68" s="106"/>
      <c r="D68" s="95"/>
      <c r="E68" s="96"/>
      <c r="F68" s="144"/>
      <c r="G68" s="95"/>
      <c r="H68" s="96"/>
      <c r="I68" s="103"/>
      <c r="J68" s="95"/>
      <c r="K68" s="113"/>
      <c r="L68" s="113"/>
      <c r="M68" s="100"/>
      <c r="N68" s="127"/>
      <c r="O68" s="128"/>
      <c r="P68" s="95"/>
      <c r="Q68" s="135"/>
      <c r="R68" s="129"/>
      <c r="S68" s="95"/>
      <c r="T68" s="103"/>
      <c r="V68" s="107"/>
    </row>
    <row r="69" ht="15.75" customHeight="1">
      <c r="A69" s="89"/>
      <c r="B69" s="177"/>
      <c r="C69" s="96"/>
      <c r="D69" s="95"/>
      <c r="E69" s="96"/>
      <c r="F69" s="146"/>
      <c r="G69" s="95"/>
      <c r="H69" s="96"/>
      <c r="I69" s="103"/>
      <c r="J69" s="95"/>
      <c r="K69" s="99"/>
      <c r="L69" s="99"/>
      <c r="M69" s="100"/>
      <c r="N69" s="127"/>
      <c r="O69" s="128"/>
      <c r="P69" s="95"/>
      <c r="Q69" s="114"/>
      <c r="R69" s="106"/>
      <c r="S69" s="103"/>
      <c r="T69" s="103"/>
      <c r="V69" s="107"/>
    </row>
    <row r="70" ht="15.75" customHeight="1">
      <c r="A70" s="89"/>
      <c r="B70" s="177"/>
      <c r="C70" s="96"/>
      <c r="D70" s="95"/>
      <c r="E70" s="96"/>
      <c r="F70" s="144"/>
      <c r="G70" s="95"/>
      <c r="H70" s="96"/>
      <c r="I70" s="103"/>
      <c r="J70" s="95"/>
      <c r="K70" s="113"/>
      <c r="L70" s="113"/>
      <c r="M70" s="100"/>
      <c r="N70" s="127"/>
      <c r="O70" s="128"/>
      <c r="P70" s="95"/>
      <c r="Q70" s="137"/>
      <c r="R70" s="129"/>
      <c r="S70" s="95"/>
      <c r="T70" s="95"/>
      <c r="V70" s="107"/>
    </row>
    <row r="71" ht="15.75" customHeight="1">
      <c r="A71" s="89"/>
      <c r="B71" s="177"/>
      <c r="C71" s="96"/>
      <c r="D71" s="95"/>
      <c r="E71" s="96"/>
      <c r="F71" s="144"/>
      <c r="G71" s="95"/>
      <c r="H71" s="96"/>
      <c r="I71" s="103"/>
      <c r="J71" s="95"/>
      <c r="K71" s="99"/>
      <c r="L71" s="99"/>
      <c r="M71" s="100"/>
      <c r="N71" s="127"/>
      <c r="O71" s="128"/>
      <c r="P71" s="95"/>
      <c r="Q71" s="135"/>
      <c r="R71" s="106"/>
      <c r="S71" s="103"/>
      <c r="T71" s="103"/>
      <c r="V71" s="107"/>
    </row>
    <row r="72" ht="15.75" customHeight="1">
      <c r="A72" s="89"/>
      <c r="B72" s="177"/>
      <c r="C72" s="96"/>
      <c r="D72" s="95"/>
      <c r="E72" s="176"/>
      <c r="F72" s="144"/>
      <c r="G72" s="95"/>
      <c r="H72" s="96"/>
      <c r="I72" s="103"/>
      <c r="J72" s="95"/>
      <c r="K72" s="113"/>
      <c r="L72" s="113"/>
      <c r="M72" s="100"/>
      <c r="N72" s="101"/>
      <c r="O72" s="128"/>
      <c r="P72" s="95"/>
      <c r="Q72" s="135"/>
      <c r="R72" s="106"/>
      <c r="S72" s="103"/>
      <c r="T72" s="103"/>
      <c r="V72" s="107"/>
    </row>
    <row r="73" ht="15.75" customHeight="1">
      <c r="A73" s="89"/>
      <c r="B73" s="177"/>
      <c r="C73" s="96"/>
      <c r="D73" s="95"/>
      <c r="E73" s="176"/>
      <c r="F73" s="146"/>
      <c r="G73" s="95"/>
      <c r="H73" s="96"/>
      <c r="I73" s="103"/>
      <c r="J73" s="95"/>
      <c r="K73" s="99"/>
      <c r="L73" s="99"/>
      <c r="M73" s="100"/>
      <c r="N73" s="101"/>
      <c r="O73" s="128"/>
      <c r="P73" s="95"/>
      <c r="Q73" s="114"/>
      <c r="R73" s="106"/>
      <c r="S73" s="103"/>
      <c r="T73" s="103"/>
      <c r="V73" s="107"/>
    </row>
    <row r="74" ht="15.75" customHeight="1">
      <c r="A74" s="89"/>
      <c r="B74" s="177"/>
      <c r="C74" s="106"/>
      <c r="D74" s="95"/>
      <c r="E74" s="176"/>
      <c r="F74" s="144"/>
      <c r="G74" s="95"/>
      <c r="H74" s="96"/>
      <c r="I74" s="103"/>
      <c r="J74" s="95"/>
      <c r="K74" s="113"/>
      <c r="L74" s="113"/>
      <c r="M74" s="100"/>
      <c r="N74" s="101"/>
      <c r="O74" s="128"/>
      <c r="P74" s="95"/>
      <c r="Q74" s="114"/>
      <c r="R74" s="106"/>
      <c r="S74" s="103"/>
      <c r="T74" s="103"/>
      <c r="V74" s="107"/>
    </row>
    <row r="75" ht="15.75" customHeight="1">
      <c r="A75" s="89"/>
      <c r="B75" s="177"/>
      <c r="C75" s="106"/>
      <c r="D75" s="95"/>
      <c r="E75" s="176"/>
      <c r="F75" s="144"/>
      <c r="G75" s="95"/>
      <c r="H75" s="96"/>
      <c r="I75" s="103"/>
      <c r="J75" s="95"/>
      <c r="K75" s="99"/>
      <c r="L75" s="99"/>
      <c r="M75" s="100"/>
      <c r="N75" s="127"/>
      <c r="O75" s="128"/>
      <c r="P75" s="95"/>
      <c r="Q75" s="137"/>
      <c r="R75" s="129"/>
      <c r="S75" s="95"/>
      <c r="T75" s="95"/>
      <c r="V75" s="107"/>
    </row>
    <row r="76" ht="15.75" customHeight="1">
      <c r="A76" s="89"/>
      <c r="B76" s="177"/>
      <c r="C76" s="96"/>
      <c r="D76" s="95"/>
      <c r="E76" s="176"/>
      <c r="F76" s="144"/>
      <c r="G76" s="95"/>
      <c r="H76" s="96"/>
      <c r="I76" s="103"/>
      <c r="J76" s="95"/>
      <c r="K76" s="113"/>
      <c r="L76" s="113"/>
      <c r="M76" s="100"/>
      <c r="N76" s="101"/>
      <c r="O76" s="128"/>
      <c r="P76" s="95"/>
      <c r="Q76" s="114"/>
      <c r="R76" s="106"/>
      <c r="S76" s="103"/>
      <c r="T76" s="103"/>
      <c r="V76" s="107"/>
    </row>
    <row r="77" ht="15.75" customHeight="1">
      <c r="A77" s="89"/>
      <c r="B77" s="177"/>
      <c r="C77" s="96"/>
      <c r="D77" s="95"/>
      <c r="E77" s="96"/>
      <c r="F77" s="144"/>
      <c r="G77" s="95"/>
      <c r="H77" s="96"/>
      <c r="I77" s="103"/>
      <c r="J77" s="95"/>
      <c r="K77" s="99"/>
      <c r="L77" s="99"/>
      <c r="M77" s="100"/>
      <c r="N77" s="127"/>
      <c r="O77" s="128"/>
      <c r="P77" s="95"/>
      <c r="Q77" s="137"/>
      <c r="R77" s="129"/>
      <c r="S77" s="95"/>
      <c r="T77" s="95"/>
      <c r="V77" s="107"/>
    </row>
    <row r="78" ht="15.75" customHeight="1">
      <c r="A78" s="89"/>
      <c r="B78" s="177"/>
      <c r="C78" s="96"/>
      <c r="D78" s="95"/>
      <c r="E78" s="176"/>
      <c r="F78" s="144"/>
      <c r="G78" s="95"/>
      <c r="H78" s="96"/>
      <c r="I78" s="103"/>
      <c r="J78" s="95"/>
      <c r="K78" s="113"/>
      <c r="L78" s="113"/>
      <c r="M78" s="100"/>
      <c r="N78" s="101"/>
      <c r="O78" s="128"/>
      <c r="P78" s="95"/>
      <c r="Q78" s="114"/>
      <c r="R78" s="106"/>
      <c r="S78" s="103"/>
      <c r="T78" s="103"/>
      <c r="V78" s="107"/>
    </row>
    <row r="79" ht="15.75" customHeight="1">
      <c r="A79" s="89"/>
      <c r="B79" s="177"/>
      <c r="C79" s="96"/>
      <c r="D79" s="95"/>
      <c r="E79" s="176"/>
      <c r="F79" s="144"/>
      <c r="G79" s="95"/>
      <c r="H79" s="96"/>
      <c r="I79" s="103"/>
      <c r="J79" s="95"/>
      <c r="K79" s="99"/>
      <c r="L79" s="99"/>
      <c r="M79" s="100"/>
      <c r="N79" s="127"/>
      <c r="O79" s="128"/>
      <c r="P79" s="95"/>
      <c r="Q79" s="137"/>
      <c r="R79" s="129"/>
      <c r="S79" s="95"/>
      <c r="T79" s="95"/>
      <c r="V79" s="107"/>
    </row>
    <row r="80" ht="15.75" customHeight="1">
      <c r="A80" s="89"/>
      <c r="B80" s="177"/>
      <c r="C80" s="96"/>
      <c r="D80" s="95"/>
      <c r="E80" s="176"/>
      <c r="F80" s="144"/>
      <c r="G80" s="95"/>
      <c r="H80" s="96"/>
      <c r="I80" s="103"/>
      <c r="J80" s="95"/>
      <c r="K80" s="113"/>
      <c r="L80" s="113"/>
      <c r="M80" s="100"/>
      <c r="N80" s="101"/>
      <c r="O80" s="102"/>
      <c r="P80" s="95"/>
      <c r="Q80" s="135"/>
      <c r="R80" s="106"/>
      <c r="S80" s="103"/>
      <c r="T80" s="103"/>
      <c r="V80" s="107"/>
    </row>
    <row r="81" ht="15.75" customHeight="1">
      <c r="A81" s="89"/>
      <c r="B81" s="177"/>
      <c r="C81" s="106"/>
      <c r="D81" s="95"/>
      <c r="E81" s="176"/>
      <c r="F81" s="144"/>
      <c r="G81" s="95"/>
      <c r="H81" s="96"/>
      <c r="I81" s="103"/>
      <c r="J81" s="95"/>
      <c r="K81" s="99"/>
      <c r="L81" s="99"/>
      <c r="M81" s="100"/>
      <c r="N81" s="101"/>
      <c r="O81" s="102"/>
      <c r="P81" s="95"/>
      <c r="Q81" s="114"/>
      <c r="R81" s="142"/>
      <c r="S81" s="103"/>
      <c r="T81" s="103"/>
      <c r="V81" s="107"/>
    </row>
    <row r="82" ht="15.75" customHeight="1">
      <c r="A82" s="89"/>
      <c r="B82" s="177"/>
      <c r="C82" s="106"/>
      <c r="D82" s="95"/>
      <c r="E82" s="176"/>
      <c r="F82" s="144"/>
      <c r="G82" s="95"/>
      <c r="H82" s="96"/>
      <c r="I82" s="103"/>
      <c r="J82" s="95"/>
      <c r="K82" s="113"/>
      <c r="L82" s="113"/>
      <c r="M82" s="100"/>
      <c r="N82" s="101"/>
      <c r="O82" s="102"/>
      <c r="P82" s="95"/>
      <c r="Q82" s="114"/>
      <c r="R82" s="106"/>
      <c r="S82" s="103"/>
      <c r="T82" s="103"/>
      <c r="V82" s="107"/>
    </row>
    <row r="83" ht="15.75" customHeight="1">
      <c r="A83" s="89"/>
      <c r="B83" s="177"/>
      <c r="C83" s="96"/>
      <c r="D83" s="95"/>
      <c r="E83" s="176"/>
      <c r="F83" s="144"/>
      <c r="G83" s="95"/>
      <c r="H83" s="96"/>
      <c r="I83" s="103"/>
      <c r="J83" s="95"/>
      <c r="K83" s="99"/>
      <c r="L83" s="99"/>
      <c r="M83" s="100"/>
      <c r="N83" s="127"/>
      <c r="O83" s="128"/>
      <c r="P83" s="95"/>
      <c r="Q83" s="137"/>
      <c r="R83" s="129"/>
      <c r="S83" s="95"/>
      <c r="T83" s="95"/>
      <c r="V83" s="107"/>
    </row>
    <row r="84" ht="15.75" customHeight="1">
      <c r="A84" s="89"/>
      <c r="B84" s="177"/>
      <c r="C84" s="96"/>
      <c r="D84" s="95"/>
      <c r="E84" s="176"/>
      <c r="F84" s="144"/>
      <c r="G84" s="95"/>
      <c r="H84" s="96"/>
      <c r="I84" s="103"/>
      <c r="J84" s="95"/>
      <c r="K84" s="113"/>
      <c r="L84" s="113"/>
      <c r="M84" s="100"/>
      <c r="N84" s="127"/>
      <c r="O84" s="128"/>
      <c r="P84" s="95"/>
      <c r="Q84" s="95"/>
      <c r="R84" s="129"/>
      <c r="S84" s="95"/>
      <c r="T84" s="95"/>
      <c r="V84" s="107"/>
    </row>
    <row r="85" ht="15.75" customHeight="1">
      <c r="A85" s="89"/>
      <c r="B85" s="177"/>
      <c r="C85" s="143"/>
      <c r="D85" s="95"/>
      <c r="E85" s="176"/>
      <c r="F85" s="144"/>
      <c r="G85" s="95"/>
      <c r="H85" s="96"/>
      <c r="I85" s="103"/>
      <c r="J85" s="95"/>
      <c r="K85" s="99"/>
      <c r="L85" s="99"/>
      <c r="M85" s="100"/>
      <c r="N85" s="127"/>
      <c r="O85" s="128"/>
      <c r="P85" s="95"/>
      <c r="Q85" s="137"/>
      <c r="R85" s="129"/>
      <c r="S85" s="95"/>
      <c r="T85" s="95"/>
      <c r="V85" s="107"/>
    </row>
    <row r="86" ht="15.75" customHeight="1">
      <c r="A86" s="89"/>
      <c r="B86" s="177"/>
      <c r="C86" s="97"/>
      <c r="D86" s="95"/>
      <c r="E86" s="176"/>
      <c r="F86" s="144"/>
      <c r="G86" s="95"/>
      <c r="H86" s="96"/>
      <c r="I86" s="103"/>
      <c r="J86" s="95"/>
      <c r="K86" s="113"/>
      <c r="L86" s="113"/>
      <c r="M86" s="100"/>
      <c r="N86" s="101"/>
      <c r="O86" s="102"/>
      <c r="P86" s="95"/>
      <c r="Q86" s="135"/>
      <c r="R86" s="115"/>
      <c r="S86" s="103"/>
      <c r="T86" s="103"/>
      <c r="V86" s="107"/>
    </row>
    <row r="87" ht="15.75" customHeight="1">
      <c r="A87" s="89"/>
      <c r="B87" s="177"/>
      <c r="C87" s="96"/>
      <c r="D87" s="95"/>
      <c r="E87" s="176"/>
      <c r="F87" s="144"/>
      <c r="G87" s="95"/>
      <c r="H87" s="96"/>
      <c r="I87" s="103"/>
      <c r="J87" s="95"/>
      <c r="K87" s="99"/>
      <c r="L87" s="99"/>
      <c r="M87" s="100"/>
      <c r="N87" s="127"/>
      <c r="O87" s="102"/>
      <c r="P87" s="95"/>
      <c r="Q87" s="137"/>
      <c r="R87" s="106"/>
      <c r="S87" s="103"/>
      <c r="T87" s="103"/>
      <c r="V87" s="107"/>
    </row>
    <row r="88" ht="15.75" customHeight="1">
      <c r="A88" s="89"/>
      <c r="B88" s="177"/>
      <c r="C88" s="96"/>
      <c r="D88" s="95"/>
      <c r="E88" s="176"/>
      <c r="F88" s="144"/>
      <c r="G88" s="95"/>
      <c r="H88" s="96"/>
      <c r="I88" s="103"/>
      <c r="J88" s="95"/>
      <c r="K88" s="113"/>
      <c r="L88" s="113"/>
      <c r="M88" s="100"/>
      <c r="N88" s="101"/>
      <c r="O88" s="102"/>
      <c r="P88" s="95"/>
      <c r="Q88" s="114"/>
      <c r="R88" s="106"/>
      <c r="S88" s="103"/>
      <c r="T88" s="103"/>
      <c r="V88" s="107"/>
    </row>
    <row r="89" ht="15.75" customHeight="1">
      <c r="A89" s="89"/>
      <c r="B89" s="177"/>
      <c r="C89" s="96"/>
      <c r="D89" s="95"/>
      <c r="E89" s="176"/>
      <c r="F89" s="144"/>
      <c r="G89" s="95"/>
      <c r="H89" s="96"/>
      <c r="I89" s="103"/>
      <c r="J89" s="95"/>
      <c r="K89" s="99"/>
      <c r="L89" s="99"/>
      <c r="M89" s="100"/>
      <c r="N89" s="127"/>
      <c r="O89" s="128"/>
      <c r="P89" s="95"/>
      <c r="Q89" s="95"/>
      <c r="R89" s="129"/>
      <c r="S89" s="95"/>
      <c r="T89" s="95"/>
      <c r="V89" s="107"/>
    </row>
    <row r="90" ht="15.75" customHeight="1">
      <c r="A90" s="89"/>
      <c r="B90" s="177"/>
      <c r="C90" s="144"/>
      <c r="D90" s="95"/>
      <c r="E90" s="176"/>
      <c r="F90" s="180"/>
      <c r="G90" s="95"/>
      <c r="H90" s="96"/>
      <c r="I90" s="103"/>
      <c r="J90" s="95"/>
      <c r="K90" s="113"/>
      <c r="L90" s="113"/>
      <c r="M90" s="100"/>
      <c r="N90" s="101"/>
      <c r="O90" s="102"/>
      <c r="P90" s="95"/>
      <c r="Q90" s="103"/>
      <c r="R90" s="106"/>
      <c r="S90" s="103"/>
      <c r="T90" s="103"/>
      <c r="V90" s="107"/>
    </row>
    <row r="91" ht="15.75" customHeight="1">
      <c r="A91" s="89"/>
      <c r="B91" s="177"/>
      <c r="C91" s="146"/>
      <c r="D91" s="95"/>
      <c r="E91" s="176"/>
      <c r="F91" s="144"/>
      <c r="G91" s="95"/>
      <c r="H91" s="96"/>
      <c r="I91" s="103"/>
      <c r="J91" s="95"/>
      <c r="K91" s="99"/>
      <c r="L91" s="99"/>
      <c r="M91" s="100"/>
      <c r="N91" s="127"/>
      <c r="O91" s="128"/>
      <c r="P91" s="95"/>
      <c r="Q91" s="95"/>
      <c r="R91" s="129"/>
      <c r="S91" s="95"/>
      <c r="T91" s="95"/>
      <c r="V91" s="107"/>
    </row>
    <row r="92" ht="15.75" customHeight="1">
      <c r="A92" s="89"/>
      <c r="B92" s="177"/>
      <c r="C92" s="144"/>
      <c r="D92" s="95"/>
      <c r="E92" s="176"/>
      <c r="F92" s="144"/>
      <c r="G92" s="95"/>
      <c r="H92" s="96"/>
      <c r="I92" s="103"/>
      <c r="J92" s="95"/>
      <c r="K92" s="113"/>
      <c r="L92" s="113"/>
      <c r="M92" s="100"/>
      <c r="N92" s="101"/>
      <c r="O92" s="102"/>
      <c r="P92" s="95"/>
      <c r="Q92" s="135"/>
      <c r="R92" s="106"/>
      <c r="S92" s="103"/>
      <c r="T92" s="103"/>
      <c r="V92" s="107"/>
    </row>
    <row r="93" ht="15.75" customHeight="1">
      <c r="A93" s="89"/>
      <c r="B93" s="177"/>
      <c r="C93" s="146"/>
      <c r="D93" s="95"/>
      <c r="E93" s="144"/>
      <c r="F93" s="144"/>
      <c r="G93" s="95"/>
      <c r="H93" s="96"/>
      <c r="I93" s="103"/>
      <c r="J93" s="95"/>
      <c r="K93" s="99"/>
      <c r="L93" s="99"/>
      <c r="M93" s="100"/>
      <c r="N93" s="127"/>
      <c r="O93" s="128"/>
      <c r="P93" s="95"/>
      <c r="Q93" s="137"/>
      <c r="R93" s="129"/>
      <c r="S93" s="95"/>
      <c r="T93" s="95"/>
      <c r="V93" s="107"/>
    </row>
    <row r="94" ht="15.75" customHeight="1">
      <c r="A94" s="89"/>
      <c r="B94" s="177"/>
      <c r="C94" s="96"/>
      <c r="D94" s="95"/>
      <c r="E94" s="176"/>
      <c r="F94" s="144"/>
      <c r="G94" s="95"/>
      <c r="H94" s="96"/>
      <c r="I94" s="103"/>
      <c r="J94" s="95"/>
      <c r="K94" s="113"/>
      <c r="L94" s="113"/>
      <c r="M94" s="100"/>
      <c r="N94" s="127"/>
      <c r="O94" s="128"/>
      <c r="P94" s="95"/>
      <c r="Q94" s="95"/>
      <c r="R94" s="129"/>
      <c r="S94" s="95"/>
      <c r="T94" s="95"/>
      <c r="V94" s="107"/>
    </row>
    <row r="95" ht="15.75" customHeight="1">
      <c r="A95" s="89"/>
      <c r="B95" s="177"/>
      <c r="C95" s="96"/>
      <c r="D95" s="95"/>
      <c r="E95" s="176"/>
      <c r="F95" s="144"/>
      <c r="G95" s="95"/>
      <c r="H95" s="96"/>
      <c r="I95" s="103"/>
      <c r="J95" s="95"/>
      <c r="K95" s="99"/>
      <c r="L95" s="99"/>
      <c r="M95" s="100"/>
      <c r="N95" s="101"/>
      <c r="O95" s="102"/>
      <c r="P95" s="95"/>
      <c r="Q95" s="114"/>
      <c r="R95" s="106"/>
      <c r="S95" s="103"/>
      <c r="T95" s="103"/>
      <c r="V95" s="107"/>
    </row>
    <row r="96" ht="15.75" customHeight="1">
      <c r="A96" s="89"/>
      <c r="B96" s="177"/>
      <c r="C96" s="96"/>
      <c r="D96" s="95"/>
      <c r="E96" s="176"/>
      <c r="F96" s="144"/>
      <c r="G96" s="95"/>
      <c r="H96" s="96"/>
      <c r="I96" s="103"/>
      <c r="J96" s="95"/>
      <c r="K96" s="113"/>
      <c r="L96" s="113"/>
      <c r="M96" s="100"/>
      <c r="N96" s="127"/>
      <c r="O96" s="128"/>
      <c r="P96" s="95"/>
      <c r="Q96" s="95"/>
      <c r="R96" s="129"/>
      <c r="S96" s="95"/>
      <c r="T96" s="95"/>
      <c r="V96" s="107"/>
    </row>
    <row r="97" ht="15.75" customHeight="1">
      <c r="A97" s="89"/>
      <c r="B97" s="177"/>
      <c r="C97" s="96"/>
      <c r="D97" s="95"/>
      <c r="E97" s="181"/>
      <c r="F97" s="144"/>
      <c r="G97" s="95"/>
      <c r="H97" s="96"/>
      <c r="I97" s="103"/>
      <c r="J97" s="95"/>
      <c r="K97" s="99"/>
      <c r="L97" s="99"/>
      <c r="M97" s="100"/>
      <c r="N97" s="127"/>
      <c r="O97" s="128"/>
      <c r="P97" s="95"/>
      <c r="Q97" s="137"/>
      <c r="R97" s="129"/>
      <c r="S97" s="95"/>
      <c r="T97" s="95"/>
      <c r="V97" s="107"/>
    </row>
    <row r="98" ht="15.75" customHeight="1">
      <c r="A98" s="89"/>
      <c r="B98" s="177"/>
      <c r="C98" s="106"/>
      <c r="D98" s="95"/>
      <c r="E98" s="176"/>
      <c r="F98" s="144"/>
      <c r="G98" s="95"/>
      <c r="H98" s="96"/>
      <c r="I98" s="103"/>
      <c r="J98" s="95"/>
      <c r="K98" s="113"/>
      <c r="L98" s="113"/>
      <c r="M98" s="100"/>
      <c r="N98" s="127"/>
      <c r="O98" s="128"/>
      <c r="P98" s="95"/>
      <c r="Q98" s="135"/>
      <c r="R98" s="106"/>
      <c r="S98" s="95"/>
      <c r="T98" s="103"/>
      <c r="V98" s="107"/>
    </row>
    <row r="99" ht="15.75" customHeight="1">
      <c r="A99" s="89"/>
      <c r="B99" s="177"/>
      <c r="C99" s="106"/>
      <c r="D99" s="95"/>
      <c r="E99" s="176"/>
      <c r="F99" s="144"/>
      <c r="G99" s="95"/>
      <c r="H99" s="96"/>
      <c r="I99" s="103"/>
      <c r="J99" s="95"/>
      <c r="K99" s="99"/>
      <c r="L99" s="99"/>
      <c r="M99" s="100"/>
      <c r="N99" s="127"/>
      <c r="O99" s="128"/>
      <c r="P99" s="95"/>
      <c r="Q99" s="135"/>
      <c r="R99" s="106"/>
      <c r="S99" s="95"/>
      <c r="T99" s="103"/>
      <c r="V99" s="107"/>
    </row>
    <row r="100" ht="15.75" customHeight="1">
      <c r="A100" s="89"/>
      <c r="B100" s="177"/>
      <c r="C100" s="96"/>
      <c r="D100" s="95"/>
      <c r="E100" s="96"/>
      <c r="F100" s="146"/>
      <c r="G100" s="95"/>
      <c r="H100" s="96"/>
      <c r="I100" s="103"/>
      <c r="J100" s="95"/>
      <c r="K100" s="113"/>
      <c r="L100" s="113"/>
      <c r="M100" s="100"/>
      <c r="N100" s="127"/>
      <c r="O100" s="128"/>
      <c r="P100" s="95"/>
      <c r="Q100" s="137"/>
      <c r="R100" s="129"/>
      <c r="S100" s="95"/>
      <c r="T100" s="95"/>
      <c r="V100" s="107"/>
    </row>
    <row r="101" ht="15.75" customHeight="1">
      <c r="A101" s="89"/>
      <c r="B101" s="177"/>
      <c r="C101" s="96"/>
      <c r="D101" s="95"/>
      <c r="E101" s="176"/>
      <c r="F101" s="144"/>
      <c r="G101" s="95"/>
      <c r="H101" s="96"/>
      <c r="I101" s="103"/>
      <c r="J101" s="95"/>
      <c r="K101" s="99"/>
      <c r="L101" s="99"/>
      <c r="M101" s="100"/>
      <c r="N101" s="127"/>
      <c r="O101" s="128"/>
      <c r="P101" s="95"/>
      <c r="Q101" s="95"/>
      <c r="R101" s="129"/>
      <c r="S101" s="95"/>
      <c r="T101" s="95"/>
      <c r="V101" s="107"/>
    </row>
    <row r="102" ht="15.75" customHeight="1">
      <c r="A102" s="89"/>
      <c r="B102" s="177"/>
      <c r="C102" s="96"/>
      <c r="D102" s="95"/>
      <c r="E102" s="176"/>
      <c r="F102" s="144"/>
      <c r="G102" s="95"/>
      <c r="H102" s="96"/>
      <c r="I102" s="103"/>
      <c r="J102" s="95"/>
      <c r="K102" s="113"/>
      <c r="L102" s="113"/>
      <c r="M102" s="100"/>
      <c r="N102" s="101"/>
      <c r="O102" s="102"/>
      <c r="P102" s="95"/>
      <c r="Q102" s="114"/>
      <c r="R102" s="115"/>
      <c r="S102" s="103"/>
      <c r="T102" s="103"/>
      <c r="V102" s="107"/>
    </row>
    <row r="103" ht="15.75" customHeight="1">
      <c r="A103" s="89"/>
      <c r="B103" s="182"/>
      <c r="C103" s="149"/>
      <c r="D103" s="95"/>
      <c r="E103" s="149"/>
      <c r="F103" s="180"/>
      <c r="G103" s="95"/>
      <c r="H103" s="96"/>
      <c r="I103" s="103"/>
      <c r="J103" s="95"/>
      <c r="K103" s="99"/>
      <c r="L103" s="99"/>
      <c r="M103" s="100"/>
      <c r="N103" s="101"/>
      <c r="O103" s="128"/>
      <c r="P103" s="95"/>
      <c r="Q103" s="137"/>
      <c r="R103" s="129"/>
      <c r="S103" s="103"/>
      <c r="T103" s="95"/>
      <c r="V103" s="107"/>
    </row>
    <row r="104" ht="15.75" customHeight="1">
      <c r="A104" s="89"/>
      <c r="B104" s="182"/>
      <c r="C104" s="149"/>
      <c r="D104" s="95"/>
      <c r="E104" s="149"/>
      <c r="F104" s="149"/>
      <c r="G104" s="95"/>
      <c r="H104" s="96"/>
      <c r="I104" s="103"/>
      <c r="J104" s="95"/>
      <c r="K104" s="113"/>
      <c r="L104" s="113"/>
      <c r="M104" s="100"/>
      <c r="N104" s="101"/>
      <c r="O104" s="128"/>
      <c r="P104" s="95"/>
      <c r="Q104" s="95"/>
      <c r="R104" s="129"/>
      <c r="S104" s="103"/>
      <c r="T104" s="95"/>
      <c r="V104" s="107"/>
    </row>
    <row r="105" ht="15.75" customHeight="1">
      <c r="A105" s="89"/>
      <c r="B105" s="182"/>
      <c r="C105" s="107"/>
      <c r="D105" s="95"/>
      <c r="E105" s="149"/>
      <c r="F105" s="149"/>
      <c r="G105" s="95"/>
      <c r="H105" s="96"/>
      <c r="I105" s="103"/>
      <c r="J105" s="95"/>
      <c r="K105" s="99"/>
      <c r="L105" s="99"/>
      <c r="M105" s="100"/>
      <c r="N105" s="101"/>
      <c r="O105" s="128"/>
      <c r="P105" s="95"/>
      <c r="Q105" s="137"/>
      <c r="R105" s="129"/>
      <c r="S105" s="103"/>
      <c r="T105" s="95"/>
      <c r="V105" s="107"/>
    </row>
    <row r="106" ht="15.75" customHeight="1">
      <c r="A106" s="89"/>
      <c r="B106" s="182"/>
      <c r="C106" s="107"/>
      <c r="D106" s="95"/>
      <c r="E106" s="149"/>
      <c r="F106" s="149"/>
      <c r="G106" s="95"/>
      <c r="H106" s="96"/>
      <c r="I106" s="103"/>
      <c r="J106" s="95"/>
      <c r="K106" s="113"/>
      <c r="L106" s="113"/>
      <c r="M106" s="100"/>
      <c r="N106" s="101"/>
      <c r="O106" s="128"/>
      <c r="P106" s="95"/>
      <c r="Q106" s="137"/>
      <c r="R106" s="129"/>
      <c r="S106" s="103"/>
      <c r="T106" s="95"/>
      <c r="V106" s="107"/>
    </row>
    <row r="107" ht="15.75" customHeight="1">
      <c r="A107" s="89"/>
      <c r="B107" s="182"/>
      <c r="C107" s="149"/>
      <c r="D107" s="95"/>
      <c r="E107" s="149"/>
      <c r="F107" s="149"/>
      <c r="G107" s="95"/>
      <c r="H107" s="96"/>
      <c r="I107" s="103"/>
      <c r="J107" s="95"/>
      <c r="K107" s="99"/>
      <c r="L107" s="99"/>
      <c r="M107" s="100"/>
      <c r="N107" s="101"/>
      <c r="O107" s="128"/>
      <c r="P107" s="95"/>
      <c r="Q107" s="137"/>
      <c r="R107" s="129"/>
      <c r="S107" s="103"/>
      <c r="T107" s="95"/>
      <c r="V107" s="107"/>
    </row>
    <row r="108" ht="15.75" customHeight="1">
      <c r="A108" s="89"/>
      <c r="B108" s="182"/>
      <c r="C108" s="149"/>
      <c r="D108" s="95"/>
      <c r="E108" s="149"/>
      <c r="F108" s="149"/>
      <c r="G108" s="95"/>
      <c r="H108" s="96"/>
      <c r="I108" s="103"/>
      <c r="J108" s="95"/>
      <c r="K108" s="113"/>
      <c r="L108" s="113"/>
      <c r="M108" s="100"/>
      <c r="N108" s="101"/>
      <c r="O108" s="128"/>
      <c r="P108" s="95"/>
      <c r="Q108" s="95"/>
      <c r="R108" s="129"/>
      <c r="S108" s="103"/>
      <c r="T108" s="95"/>
      <c r="V108" s="107"/>
    </row>
    <row r="109" ht="15.75" customHeight="1">
      <c r="A109" s="89"/>
      <c r="B109" s="182"/>
      <c r="C109" s="149"/>
      <c r="D109" s="95"/>
      <c r="E109" s="149"/>
      <c r="F109" s="149"/>
      <c r="G109" s="95"/>
      <c r="H109" s="96"/>
      <c r="I109" s="103"/>
      <c r="J109" s="95"/>
      <c r="K109" s="99"/>
      <c r="L109" s="99"/>
      <c r="M109" s="100"/>
      <c r="N109" s="101"/>
      <c r="O109" s="128"/>
      <c r="P109" s="95"/>
      <c r="Q109" s="137"/>
      <c r="R109" s="129"/>
      <c r="S109" s="103"/>
      <c r="T109" s="95"/>
      <c r="V109" s="107"/>
    </row>
    <row r="110" ht="15.75" customHeight="1">
      <c r="A110" s="89"/>
      <c r="B110" s="182"/>
      <c r="C110" s="149"/>
      <c r="D110" s="95"/>
      <c r="E110" s="149"/>
      <c r="F110" s="149"/>
      <c r="G110" s="95"/>
      <c r="H110" s="149"/>
      <c r="I110" s="151"/>
      <c r="J110" s="95"/>
      <c r="K110" s="113"/>
      <c r="L110" s="113"/>
      <c r="M110" s="100"/>
      <c r="N110" s="127"/>
      <c r="O110" s="128"/>
      <c r="P110" s="95"/>
      <c r="Q110" s="95"/>
      <c r="R110" s="129"/>
      <c r="S110" s="95"/>
      <c r="T110" s="95"/>
      <c r="V110" s="107"/>
    </row>
    <row r="111" ht="15.75" customHeight="1">
      <c r="A111" s="89"/>
      <c r="B111" s="182"/>
      <c r="C111" s="149"/>
      <c r="D111" s="95"/>
      <c r="E111" s="149"/>
      <c r="F111" s="149"/>
      <c r="G111" s="95"/>
      <c r="H111" s="149"/>
      <c r="I111" s="95"/>
      <c r="J111" s="95"/>
      <c r="K111" s="99"/>
      <c r="L111" s="99"/>
      <c r="M111" s="100"/>
      <c r="N111" s="127"/>
      <c r="O111" s="128"/>
      <c r="P111" s="95"/>
      <c r="Q111" s="137"/>
      <c r="R111" s="129"/>
      <c r="S111" s="95"/>
      <c r="T111" s="95"/>
      <c r="V111" s="107"/>
    </row>
    <row r="112" ht="15.75" customHeight="1">
      <c r="A112" s="89"/>
      <c r="B112" s="182"/>
      <c r="C112" s="107"/>
      <c r="D112" s="95"/>
      <c r="E112" s="149"/>
      <c r="F112" s="149"/>
      <c r="G112" s="95"/>
      <c r="H112" s="149"/>
      <c r="I112" s="95"/>
      <c r="J112" s="95"/>
      <c r="K112" s="113"/>
      <c r="L112" s="113"/>
      <c r="M112" s="100"/>
      <c r="N112" s="127"/>
      <c r="O112" s="128"/>
      <c r="P112" s="95"/>
      <c r="Q112" s="95"/>
      <c r="R112" s="129"/>
      <c r="S112" s="95"/>
      <c r="T112" s="95"/>
      <c r="V112" s="107"/>
    </row>
    <row r="113" ht="15.75" customHeight="1">
      <c r="A113" s="89"/>
      <c r="B113" s="182"/>
      <c r="C113" s="107"/>
      <c r="D113" s="95"/>
      <c r="E113" s="149"/>
      <c r="F113" s="149"/>
      <c r="G113" s="95"/>
      <c r="H113" s="149"/>
      <c r="I113" s="95"/>
      <c r="J113" s="95"/>
      <c r="K113" s="99"/>
      <c r="L113" s="99"/>
      <c r="M113" s="100"/>
      <c r="N113" s="127"/>
      <c r="O113" s="128"/>
      <c r="P113" s="95"/>
      <c r="Q113" s="95"/>
      <c r="R113" s="129"/>
      <c r="S113" s="95"/>
      <c r="T113" s="95"/>
      <c r="V113" s="107"/>
    </row>
    <row r="114" ht="15.75" customHeight="1">
      <c r="A114" s="89"/>
      <c r="B114" s="182"/>
      <c r="C114" s="107"/>
      <c r="D114" s="95"/>
      <c r="E114" s="149"/>
      <c r="F114" s="149"/>
      <c r="G114" s="95"/>
      <c r="H114" s="149"/>
      <c r="I114" s="95"/>
      <c r="J114" s="95"/>
      <c r="K114" s="113"/>
      <c r="L114" s="113"/>
      <c r="M114" s="100"/>
      <c r="N114" s="127"/>
      <c r="O114" s="128"/>
      <c r="P114" s="95"/>
      <c r="Q114" s="95"/>
      <c r="R114" s="129"/>
      <c r="S114" s="95"/>
      <c r="T114" s="95"/>
      <c r="V114" s="107"/>
    </row>
    <row r="115" ht="15.75" customHeight="1">
      <c r="A115" s="89"/>
      <c r="B115" s="182"/>
      <c r="C115" s="149"/>
      <c r="D115" s="95"/>
      <c r="E115" s="149"/>
      <c r="F115" s="149"/>
      <c r="G115" s="95"/>
      <c r="H115" s="149"/>
      <c r="I115" s="95"/>
      <c r="J115" s="95"/>
      <c r="K115" s="99"/>
      <c r="L115" s="99"/>
      <c r="M115" s="100"/>
      <c r="N115" s="127"/>
      <c r="O115" s="128"/>
      <c r="P115" s="95"/>
      <c r="Q115" s="95"/>
      <c r="R115" s="129"/>
      <c r="S115" s="95"/>
      <c r="T115" s="95"/>
      <c r="V115" s="107"/>
    </row>
    <row r="116" ht="15.75" customHeight="1">
      <c r="A116" s="89"/>
      <c r="B116" s="182"/>
      <c r="C116" s="149"/>
      <c r="D116" s="95"/>
      <c r="E116" s="149"/>
      <c r="F116" s="149"/>
      <c r="G116" s="95"/>
      <c r="H116" s="149"/>
      <c r="I116" s="95"/>
      <c r="J116" s="95"/>
      <c r="K116" s="113"/>
      <c r="L116" s="113"/>
      <c r="M116" s="100"/>
      <c r="N116" s="127"/>
      <c r="O116" s="128"/>
      <c r="P116" s="95"/>
      <c r="Q116" s="95"/>
      <c r="R116" s="129"/>
      <c r="S116" s="95"/>
      <c r="T116" s="95"/>
      <c r="V116" s="107"/>
    </row>
    <row r="117" ht="15.75" customHeight="1">
      <c r="A117" s="89"/>
      <c r="B117" s="182"/>
      <c r="C117" s="149"/>
      <c r="D117" s="95"/>
      <c r="E117" s="149"/>
      <c r="F117" s="149"/>
      <c r="G117" s="95"/>
      <c r="H117" s="149"/>
      <c r="I117" s="95"/>
      <c r="J117" s="95"/>
      <c r="K117" s="99"/>
      <c r="L117" s="99"/>
      <c r="M117" s="100"/>
      <c r="N117" s="127"/>
      <c r="O117" s="128"/>
      <c r="P117" s="95"/>
      <c r="Q117" s="95"/>
      <c r="R117" s="129"/>
      <c r="S117" s="95"/>
      <c r="T117" s="95"/>
      <c r="V117" s="107"/>
    </row>
    <row r="118" ht="15.75" customHeight="1">
      <c r="A118" s="89"/>
      <c r="B118" s="182"/>
      <c r="C118" s="149"/>
      <c r="D118" s="95"/>
      <c r="E118" s="149"/>
      <c r="F118" s="149"/>
      <c r="G118" s="95"/>
      <c r="H118" s="149"/>
      <c r="I118" s="95"/>
      <c r="J118" s="95"/>
      <c r="K118" s="113"/>
      <c r="L118" s="113"/>
      <c r="M118" s="100"/>
      <c r="N118" s="127"/>
      <c r="O118" s="128"/>
      <c r="P118" s="95"/>
      <c r="Q118" s="95"/>
      <c r="R118" s="129"/>
      <c r="S118" s="95"/>
      <c r="T118" s="95"/>
      <c r="V118" s="107"/>
    </row>
    <row r="119" ht="15.75" customHeight="1">
      <c r="A119" s="89"/>
      <c r="B119" s="182"/>
      <c r="C119" s="149"/>
      <c r="D119" s="95"/>
      <c r="E119" s="149"/>
      <c r="F119" s="149"/>
      <c r="G119" s="95"/>
      <c r="H119" s="149"/>
      <c r="I119" s="95"/>
      <c r="J119" s="95"/>
      <c r="K119" s="99"/>
      <c r="L119" s="99"/>
      <c r="M119" s="100"/>
      <c r="N119" s="127"/>
      <c r="O119" s="128"/>
      <c r="P119" s="95"/>
      <c r="Q119" s="137"/>
      <c r="R119" s="129"/>
      <c r="S119" s="95"/>
      <c r="T119" s="95"/>
      <c r="V119" s="107"/>
    </row>
    <row r="120" ht="15.75" customHeight="1">
      <c r="A120" s="89"/>
      <c r="B120" s="182"/>
      <c r="C120" s="107"/>
      <c r="D120" s="95"/>
      <c r="E120" s="149"/>
      <c r="F120" s="149"/>
      <c r="G120" s="95"/>
      <c r="H120" s="149"/>
      <c r="I120" s="95"/>
      <c r="J120" s="95"/>
      <c r="K120" s="113"/>
      <c r="L120" s="113"/>
      <c r="M120" s="100"/>
      <c r="N120" s="127"/>
      <c r="O120" s="128"/>
      <c r="P120" s="95"/>
      <c r="Q120" s="95"/>
      <c r="R120" s="129"/>
      <c r="S120" s="95"/>
      <c r="T120" s="95"/>
      <c r="V120" s="107"/>
    </row>
    <row r="121" ht="15.75" customHeight="1">
      <c r="A121" s="89"/>
      <c r="B121" s="182"/>
      <c r="C121" s="107"/>
      <c r="D121" s="95"/>
      <c r="E121" s="149"/>
      <c r="F121" s="149"/>
      <c r="G121" s="95"/>
      <c r="H121" s="149"/>
      <c r="I121" s="95"/>
      <c r="J121" s="95"/>
      <c r="K121" s="99"/>
      <c r="L121" s="99"/>
      <c r="M121" s="100"/>
      <c r="N121" s="127"/>
      <c r="O121" s="128"/>
      <c r="P121" s="95"/>
      <c r="Q121" s="95"/>
      <c r="R121" s="129"/>
      <c r="S121" s="95"/>
      <c r="T121" s="95"/>
      <c r="V121" s="107"/>
    </row>
    <row r="122" ht="15.75" customHeight="1">
      <c r="A122" s="89"/>
      <c r="B122" s="182"/>
      <c r="C122" s="107"/>
      <c r="D122" s="95"/>
      <c r="E122" s="149"/>
      <c r="F122" s="149"/>
      <c r="G122" s="95"/>
      <c r="H122" s="149"/>
      <c r="I122" s="95"/>
      <c r="J122" s="95"/>
      <c r="K122" s="113"/>
      <c r="L122" s="113"/>
      <c r="M122" s="100"/>
      <c r="N122" s="127"/>
      <c r="O122" s="128"/>
      <c r="P122" s="95"/>
      <c r="Q122" s="137"/>
      <c r="R122" s="129"/>
      <c r="S122" s="95"/>
      <c r="T122" s="95"/>
      <c r="V122" s="107"/>
    </row>
    <row r="123" ht="15.75" customHeight="1">
      <c r="A123" s="89"/>
      <c r="B123" s="182"/>
      <c r="C123" s="149"/>
      <c r="D123" s="95"/>
      <c r="E123" s="149"/>
      <c r="F123" s="149"/>
      <c r="G123" s="95"/>
      <c r="H123" s="149"/>
      <c r="I123" s="95"/>
      <c r="J123" s="95"/>
      <c r="K123" s="99"/>
      <c r="L123" s="99"/>
      <c r="M123" s="100"/>
      <c r="N123" s="127"/>
      <c r="O123" s="128"/>
      <c r="P123" s="95"/>
      <c r="Q123" s="137"/>
      <c r="R123" s="129"/>
      <c r="S123" s="95"/>
      <c r="T123" s="95"/>
      <c r="V123" s="107"/>
    </row>
    <row r="124" ht="15.75" customHeight="1">
      <c r="A124" s="89"/>
      <c r="B124" s="182"/>
      <c r="C124" s="149"/>
      <c r="D124" s="95"/>
      <c r="E124" s="149"/>
      <c r="F124" s="149"/>
      <c r="G124" s="95"/>
      <c r="H124" s="149"/>
      <c r="I124" s="95"/>
      <c r="J124" s="95"/>
      <c r="K124" s="113"/>
      <c r="L124" s="113"/>
      <c r="M124" s="100"/>
      <c r="N124" s="127"/>
      <c r="O124" s="128"/>
      <c r="P124" s="95"/>
      <c r="Q124" s="137"/>
      <c r="R124" s="129"/>
      <c r="S124" s="95"/>
      <c r="T124" s="95"/>
      <c r="V124" s="107"/>
    </row>
    <row r="125" ht="15.75" customHeight="1">
      <c r="A125" s="89"/>
      <c r="B125" s="182"/>
      <c r="C125" s="149"/>
      <c r="D125" s="95"/>
      <c r="E125" s="149"/>
      <c r="F125" s="149"/>
      <c r="G125" s="95"/>
      <c r="H125" s="149"/>
      <c r="I125" s="95"/>
      <c r="J125" s="95"/>
      <c r="K125" s="99"/>
      <c r="L125" s="99"/>
      <c r="M125" s="100"/>
      <c r="N125" s="127"/>
      <c r="O125" s="128"/>
      <c r="P125" s="95"/>
      <c r="Q125" s="137"/>
      <c r="R125" s="129"/>
      <c r="S125" s="95"/>
      <c r="T125" s="95"/>
      <c r="V125" s="107"/>
    </row>
    <row r="126" ht="15.75" customHeight="1">
      <c r="A126" s="89"/>
      <c r="B126" s="182"/>
      <c r="C126" s="149"/>
      <c r="D126" s="95"/>
      <c r="E126" s="149"/>
      <c r="F126" s="149"/>
      <c r="G126" s="95"/>
      <c r="H126" s="149"/>
      <c r="I126" s="95"/>
      <c r="J126" s="95"/>
      <c r="K126" s="113"/>
      <c r="L126" s="113"/>
      <c r="M126" s="100"/>
      <c r="N126" s="127"/>
      <c r="O126" s="128"/>
      <c r="P126" s="95"/>
      <c r="Q126" s="137"/>
      <c r="R126" s="129"/>
      <c r="S126" s="95"/>
      <c r="T126" s="95"/>
      <c r="V126" s="107"/>
    </row>
    <row r="127" ht="15.75" customHeight="1">
      <c r="A127" s="89"/>
      <c r="B127" s="182"/>
      <c r="C127" s="149"/>
      <c r="D127" s="95"/>
      <c r="E127" s="149"/>
      <c r="F127" s="149"/>
      <c r="G127" s="95"/>
      <c r="H127" s="149"/>
      <c r="I127" s="95"/>
      <c r="J127" s="95"/>
      <c r="K127" s="99"/>
      <c r="L127" s="99"/>
      <c r="M127" s="100"/>
      <c r="N127" s="127"/>
      <c r="O127" s="128"/>
      <c r="P127" s="95"/>
      <c r="Q127" s="137"/>
      <c r="R127" s="129"/>
      <c r="S127" s="95"/>
      <c r="T127" s="95"/>
      <c r="V127" s="107"/>
    </row>
    <row r="128" ht="15.75" customHeight="1">
      <c r="A128" s="89"/>
      <c r="B128" s="182"/>
      <c r="C128" s="107"/>
      <c r="D128" s="95"/>
      <c r="E128" s="149"/>
      <c r="F128" s="149"/>
      <c r="G128" s="95"/>
      <c r="H128" s="149"/>
      <c r="I128" s="95"/>
      <c r="J128" s="95"/>
      <c r="K128" s="113"/>
      <c r="L128" s="113"/>
      <c r="M128" s="100"/>
      <c r="N128" s="127"/>
      <c r="O128" s="128"/>
      <c r="P128" s="95"/>
      <c r="Q128" s="95"/>
      <c r="R128" s="129"/>
      <c r="S128" s="95"/>
      <c r="T128" s="95"/>
      <c r="V128" s="107"/>
    </row>
    <row r="129" ht="15.75" customHeight="1">
      <c r="A129" s="89"/>
      <c r="B129" s="182"/>
      <c r="C129" s="107"/>
      <c r="D129" s="95"/>
      <c r="E129" s="149"/>
      <c r="F129" s="149"/>
      <c r="G129" s="95"/>
      <c r="H129" s="149"/>
      <c r="I129" s="95"/>
      <c r="J129" s="95"/>
      <c r="K129" s="99"/>
      <c r="L129" s="99"/>
      <c r="M129" s="100"/>
      <c r="N129" s="127"/>
      <c r="O129" s="128"/>
      <c r="P129" s="95"/>
      <c r="Q129" s="137"/>
      <c r="R129" s="129"/>
      <c r="S129" s="95"/>
      <c r="T129" s="95"/>
      <c r="V129" s="107"/>
    </row>
    <row r="130" ht="15.75" customHeight="1">
      <c r="A130" s="89"/>
      <c r="B130" s="182"/>
      <c r="C130" s="107"/>
      <c r="D130" s="95"/>
      <c r="E130" s="149"/>
      <c r="F130" s="149"/>
      <c r="G130" s="95"/>
      <c r="H130" s="149"/>
      <c r="I130" s="95"/>
      <c r="J130" s="95"/>
      <c r="K130" s="113"/>
      <c r="L130" s="113"/>
      <c r="M130" s="100"/>
      <c r="N130" s="127"/>
      <c r="O130" s="128"/>
      <c r="P130" s="95"/>
      <c r="Q130" s="95"/>
      <c r="R130" s="129"/>
      <c r="S130" s="95"/>
      <c r="T130" s="95"/>
      <c r="V130" s="107"/>
    </row>
    <row r="131" ht="15.75" customHeight="1">
      <c r="A131" s="89"/>
      <c r="B131" s="182"/>
      <c r="C131" s="149"/>
      <c r="D131" s="95"/>
      <c r="E131" s="149"/>
      <c r="F131" s="149"/>
      <c r="G131" s="95"/>
      <c r="H131" s="149"/>
      <c r="I131" s="95"/>
      <c r="J131" s="95"/>
      <c r="K131" s="99"/>
      <c r="L131" s="99"/>
      <c r="M131" s="100"/>
      <c r="N131" s="127"/>
      <c r="O131" s="128"/>
      <c r="P131" s="95"/>
      <c r="Q131" s="95"/>
      <c r="R131" s="129"/>
      <c r="S131" s="95"/>
      <c r="T131" s="95"/>
      <c r="V131" s="107"/>
    </row>
    <row r="132" ht="15.75" customHeight="1">
      <c r="A132" s="89"/>
      <c r="B132" s="182"/>
      <c r="C132" s="149"/>
      <c r="D132" s="95"/>
      <c r="E132" s="149"/>
      <c r="F132" s="149"/>
      <c r="G132" s="95"/>
      <c r="H132" s="149"/>
      <c r="I132" s="95"/>
      <c r="J132" s="95"/>
      <c r="K132" s="113"/>
      <c r="L132" s="113"/>
      <c r="M132" s="100"/>
      <c r="N132" s="127"/>
      <c r="O132" s="128"/>
      <c r="P132" s="95"/>
      <c r="Q132" s="137"/>
      <c r="R132" s="129"/>
      <c r="S132" s="95"/>
      <c r="T132" s="95"/>
      <c r="V132" s="107"/>
    </row>
    <row r="133" ht="15.75" customHeight="1">
      <c r="A133" s="89"/>
      <c r="B133" s="182"/>
      <c r="C133" s="149"/>
      <c r="D133" s="95"/>
      <c r="E133" s="149"/>
      <c r="F133" s="149"/>
      <c r="G133" s="95"/>
      <c r="H133" s="149"/>
      <c r="I133" s="95"/>
      <c r="J133" s="95"/>
      <c r="K133" s="99"/>
      <c r="L133" s="99"/>
      <c r="M133" s="100"/>
      <c r="N133" s="127"/>
      <c r="O133" s="128"/>
      <c r="P133" s="95"/>
      <c r="Q133" s="95"/>
      <c r="R133" s="129"/>
      <c r="S133" s="95"/>
      <c r="T133" s="95"/>
      <c r="V133" s="107"/>
    </row>
    <row r="134" ht="15.75" customHeight="1">
      <c r="A134" s="89"/>
      <c r="B134" s="182"/>
      <c r="C134" s="149"/>
      <c r="D134" s="95"/>
      <c r="E134" s="149"/>
      <c r="F134" s="149"/>
      <c r="G134" s="95"/>
      <c r="H134" s="149"/>
      <c r="I134" s="95"/>
      <c r="J134" s="95"/>
      <c r="K134" s="113"/>
      <c r="L134" s="113"/>
      <c r="M134" s="100"/>
      <c r="N134" s="127"/>
      <c r="O134" s="128"/>
      <c r="P134" s="95"/>
      <c r="Q134" s="95"/>
      <c r="R134" s="129"/>
      <c r="S134" s="95"/>
      <c r="T134" s="95"/>
      <c r="V134" s="107"/>
    </row>
    <row r="135" ht="15.75" customHeight="1">
      <c r="A135" s="89"/>
      <c r="B135" s="182"/>
      <c r="C135" s="149"/>
      <c r="D135" s="95"/>
      <c r="E135" s="149"/>
      <c r="F135" s="149"/>
      <c r="G135" s="95"/>
      <c r="H135" s="149"/>
      <c r="I135" s="95"/>
      <c r="J135" s="95"/>
      <c r="K135" s="99"/>
      <c r="L135" s="99"/>
      <c r="M135" s="100"/>
      <c r="N135" s="127"/>
      <c r="O135" s="128"/>
      <c r="P135" s="95"/>
      <c r="Q135" s="137"/>
      <c r="R135" s="129"/>
      <c r="S135" s="95"/>
      <c r="T135" s="95"/>
      <c r="V135" s="107"/>
    </row>
    <row r="136" ht="15.75" customHeight="1">
      <c r="A136" s="89"/>
      <c r="B136" s="182"/>
      <c r="C136" s="107"/>
      <c r="D136" s="95"/>
      <c r="E136" s="149"/>
      <c r="F136" s="149"/>
      <c r="G136" s="95"/>
      <c r="H136" s="149"/>
      <c r="I136" s="95"/>
      <c r="J136" s="95"/>
      <c r="K136" s="113"/>
      <c r="L136" s="113"/>
      <c r="M136" s="100"/>
      <c r="N136" s="127"/>
      <c r="O136" s="128"/>
      <c r="P136" s="95"/>
      <c r="Q136" s="95"/>
      <c r="R136" s="129"/>
      <c r="S136" s="95"/>
      <c r="T136" s="95"/>
      <c r="V136" s="107"/>
    </row>
    <row r="137" ht="15.75" customHeight="1">
      <c r="A137" s="89"/>
      <c r="B137" s="182"/>
      <c r="C137" s="107"/>
      <c r="D137" s="95"/>
      <c r="E137" s="149"/>
      <c r="F137" s="149"/>
      <c r="G137" s="95"/>
      <c r="H137" s="149"/>
      <c r="I137" s="95"/>
      <c r="J137" s="95"/>
      <c r="K137" s="99"/>
      <c r="L137" s="99"/>
      <c r="M137" s="100"/>
      <c r="N137" s="127"/>
      <c r="O137" s="128"/>
      <c r="P137" s="95"/>
      <c r="Q137" s="137"/>
      <c r="R137" s="129"/>
      <c r="S137" s="95"/>
      <c r="T137" s="95"/>
      <c r="V137" s="107"/>
    </row>
    <row r="138" ht="15.75" customHeight="1">
      <c r="A138" s="89"/>
      <c r="B138" s="182"/>
      <c r="C138" s="107"/>
      <c r="D138" s="95"/>
      <c r="E138" s="149"/>
      <c r="F138" s="149"/>
      <c r="G138" s="95"/>
      <c r="H138" s="149"/>
      <c r="I138" s="95"/>
      <c r="J138" s="95"/>
      <c r="K138" s="113"/>
      <c r="L138" s="113"/>
      <c r="M138" s="100"/>
      <c r="N138" s="127"/>
      <c r="O138" s="128"/>
      <c r="P138" s="95"/>
      <c r="Q138" s="137"/>
      <c r="R138" s="129"/>
      <c r="S138" s="95"/>
      <c r="T138" s="95"/>
      <c r="V138" s="107"/>
    </row>
    <row r="139" ht="15.75" customHeight="1">
      <c r="A139" s="89"/>
      <c r="B139" s="182"/>
      <c r="C139" s="149"/>
      <c r="D139" s="95"/>
      <c r="E139" s="149"/>
      <c r="F139" s="149"/>
      <c r="G139" s="95"/>
      <c r="H139" s="149"/>
      <c r="I139" s="95"/>
      <c r="J139" s="95"/>
      <c r="K139" s="99"/>
      <c r="L139" s="99"/>
      <c r="M139" s="100"/>
      <c r="N139" s="127"/>
      <c r="O139" s="128"/>
      <c r="P139" s="95"/>
      <c r="Q139" s="137"/>
      <c r="R139" s="129"/>
      <c r="S139" s="95"/>
      <c r="T139" s="95"/>
      <c r="V139" s="107"/>
    </row>
    <row r="140" ht="15.75" customHeight="1">
      <c r="A140" s="89"/>
      <c r="B140" s="182"/>
      <c r="C140" s="149"/>
      <c r="D140" s="95"/>
      <c r="E140" s="149"/>
      <c r="F140" s="149"/>
      <c r="G140" s="95"/>
      <c r="H140" s="149"/>
      <c r="I140" s="95"/>
      <c r="J140" s="95"/>
      <c r="K140" s="113"/>
      <c r="L140" s="113"/>
      <c r="M140" s="100"/>
      <c r="N140" s="127"/>
      <c r="O140" s="128"/>
      <c r="P140" s="95"/>
      <c r="Q140" s="95"/>
      <c r="R140" s="129"/>
      <c r="S140" s="95"/>
      <c r="T140" s="95"/>
      <c r="V140" s="107"/>
    </row>
    <row r="141" ht="15.75" customHeight="1">
      <c r="A141" s="89"/>
      <c r="B141" s="182"/>
      <c r="C141" s="149"/>
      <c r="D141" s="95"/>
      <c r="E141" s="149"/>
      <c r="F141" s="149"/>
      <c r="G141" s="95"/>
      <c r="H141" s="149"/>
      <c r="I141" s="95"/>
      <c r="J141" s="95"/>
      <c r="K141" s="99"/>
      <c r="L141" s="99"/>
      <c r="M141" s="100"/>
      <c r="N141" s="127"/>
      <c r="O141" s="128"/>
      <c r="P141" s="95"/>
      <c r="Q141" s="137"/>
      <c r="R141" s="129"/>
      <c r="S141" s="95"/>
      <c r="T141" s="95"/>
      <c r="V141" s="107"/>
    </row>
    <row r="142" ht="15.75" customHeight="1">
      <c r="A142" s="89"/>
      <c r="B142" s="182"/>
      <c r="C142" s="149"/>
      <c r="D142" s="95"/>
      <c r="E142" s="149"/>
      <c r="F142" s="149"/>
      <c r="G142" s="95"/>
      <c r="H142" s="149"/>
      <c r="I142" s="95"/>
      <c r="J142" s="95"/>
      <c r="K142" s="113"/>
      <c r="L142" s="113"/>
      <c r="M142" s="100"/>
      <c r="N142" s="127"/>
      <c r="O142" s="128"/>
      <c r="P142" s="95"/>
      <c r="Q142" s="95"/>
      <c r="R142" s="129"/>
      <c r="S142" s="95"/>
      <c r="T142" s="95"/>
      <c r="V142" s="107"/>
    </row>
    <row r="143" ht="15.75" customHeight="1">
      <c r="A143" s="89"/>
      <c r="B143" s="182"/>
      <c r="C143" s="149"/>
      <c r="D143" s="95"/>
      <c r="E143" s="149"/>
      <c r="F143" s="183"/>
      <c r="G143" s="95"/>
      <c r="H143" s="149"/>
      <c r="I143" s="95"/>
      <c r="J143" s="95"/>
      <c r="K143" s="99"/>
      <c r="L143" s="99"/>
      <c r="M143" s="100"/>
      <c r="N143" s="127"/>
      <c r="O143" s="128"/>
      <c r="P143" s="95"/>
      <c r="Q143" s="137"/>
      <c r="R143" s="129"/>
      <c r="S143" s="95"/>
      <c r="T143" s="95"/>
      <c r="V143" s="107"/>
    </row>
    <row r="144" ht="15.75" customHeight="1">
      <c r="A144" s="89"/>
      <c r="B144" s="182"/>
      <c r="C144" s="107"/>
      <c r="D144" s="95"/>
      <c r="E144" s="149"/>
      <c r="F144" s="149"/>
      <c r="G144" s="95"/>
      <c r="H144" s="149"/>
      <c r="I144" s="95"/>
      <c r="J144" s="95"/>
      <c r="K144" s="113"/>
      <c r="L144" s="113"/>
      <c r="M144" s="100"/>
      <c r="N144" s="127"/>
      <c r="O144" s="128"/>
      <c r="P144" s="95"/>
      <c r="Q144" s="95"/>
      <c r="R144" s="129"/>
      <c r="S144" s="95"/>
      <c r="T144" s="95"/>
      <c r="V144" s="107"/>
    </row>
    <row r="145" ht="15.75" customHeight="1">
      <c r="A145" s="89"/>
      <c r="B145" s="182"/>
      <c r="C145" s="107"/>
      <c r="D145" s="95"/>
      <c r="E145" s="149"/>
      <c r="F145" s="149"/>
      <c r="G145" s="95"/>
      <c r="H145" s="149"/>
      <c r="I145" s="95"/>
      <c r="J145" s="95"/>
      <c r="K145" s="99"/>
      <c r="L145" s="99"/>
      <c r="M145" s="100"/>
      <c r="N145" s="127"/>
      <c r="O145" s="128"/>
      <c r="P145" s="95"/>
      <c r="Q145" s="137"/>
      <c r="R145" s="129"/>
      <c r="S145" s="95"/>
      <c r="T145" s="95"/>
      <c r="V145" s="107"/>
    </row>
    <row r="146" ht="15.75" customHeight="1">
      <c r="A146" s="89"/>
      <c r="B146" s="182"/>
      <c r="C146" s="149"/>
      <c r="D146" s="95"/>
      <c r="E146" s="149"/>
      <c r="F146" s="149"/>
      <c r="G146" s="95"/>
      <c r="H146" s="149"/>
      <c r="I146" s="95"/>
      <c r="J146" s="95"/>
      <c r="K146" s="113"/>
      <c r="L146" s="113"/>
      <c r="M146" s="100"/>
      <c r="N146" s="127"/>
      <c r="O146" s="128"/>
      <c r="P146" s="95"/>
      <c r="Q146" s="137"/>
      <c r="R146" s="129"/>
      <c r="S146" s="95"/>
      <c r="T146" s="95"/>
      <c r="V146" s="107"/>
    </row>
    <row r="147" ht="15.75" customHeight="1">
      <c r="A147" s="89"/>
      <c r="B147" s="182"/>
      <c r="C147" s="149"/>
      <c r="D147" s="95"/>
      <c r="E147" s="149"/>
      <c r="F147" s="149"/>
      <c r="G147" s="95"/>
      <c r="H147" s="149"/>
      <c r="I147" s="95"/>
      <c r="J147" s="95"/>
      <c r="K147" s="99"/>
      <c r="L147" s="99"/>
      <c r="M147" s="100"/>
      <c r="N147" s="127"/>
      <c r="O147" s="128"/>
      <c r="P147" s="95"/>
      <c r="Q147" s="137"/>
      <c r="R147" s="129"/>
      <c r="S147" s="95"/>
      <c r="T147" s="95"/>
      <c r="V147" s="107"/>
    </row>
    <row r="148" ht="15.75" customHeight="1">
      <c r="A148" s="89"/>
      <c r="B148" s="182"/>
      <c r="C148" s="149"/>
      <c r="D148" s="95"/>
      <c r="E148" s="149"/>
      <c r="F148" s="149"/>
      <c r="G148" s="95"/>
      <c r="H148" s="149"/>
      <c r="I148" s="95"/>
      <c r="J148" s="95"/>
      <c r="K148" s="113"/>
      <c r="L148" s="113"/>
      <c r="M148" s="100"/>
      <c r="N148" s="127"/>
      <c r="O148" s="128"/>
      <c r="P148" s="95"/>
      <c r="Q148" s="137"/>
      <c r="R148" s="129"/>
      <c r="S148" s="95"/>
      <c r="T148" s="95"/>
      <c r="V148" s="107"/>
    </row>
    <row r="149" ht="15.75" customHeight="1">
      <c r="A149" s="89"/>
      <c r="B149" s="182"/>
      <c r="C149" s="149"/>
      <c r="D149" s="95"/>
      <c r="E149" s="149"/>
      <c r="F149" s="149"/>
      <c r="G149" s="95"/>
      <c r="H149" s="149"/>
      <c r="I149" s="95"/>
      <c r="J149" s="95"/>
      <c r="K149" s="99"/>
      <c r="L149" s="99"/>
      <c r="M149" s="100"/>
      <c r="N149" s="127"/>
      <c r="O149" s="128"/>
      <c r="P149" s="95"/>
      <c r="Q149" s="137"/>
      <c r="R149" s="129"/>
      <c r="S149" s="95"/>
      <c r="T149" s="95"/>
      <c r="V149" s="107"/>
    </row>
    <row r="150" ht="15.75" customHeight="1">
      <c r="A150" s="89"/>
      <c r="B150" s="182"/>
      <c r="C150" s="149"/>
      <c r="D150" s="95"/>
      <c r="E150" s="149"/>
      <c r="F150" s="149"/>
      <c r="G150" s="95"/>
      <c r="H150" s="149"/>
      <c r="I150" s="95"/>
      <c r="J150" s="95"/>
      <c r="K150" s="113"/>
      <c r="L150" s="113"/>
      <c r="M150" s="100"/>
      <c r="N150" s="127"/>
      <c r="O150" s="128"/>
      <c r="P150" s="95"/>
      <c r="Q150" s="137"/>
      <c r="R150" s="129"/>
      <c r="S150" s="95"/>
      <c r="T150" s="95"/>
      <c r="V150" s="107"/>
    </row>
    <row r="151" ht="15.75" customHeight="1">
      <c r="A151" s="89"/>
      <c r="B151" s="182"/>
      <c r="C151" s="107"/>
      <c r="D151" s="95"/>
      <c r="E151" s="149"/>
      <c r="F151" s="149"/>
      <c r="G151" s="95"/>
      <c r="H151" s="149"/>
      <c r="I151" s="95"/>
      <c r="J151" s="95"/>
      <c r="K151" s="99"/>
      <c r="L151" s="99"/>
      <c r="M151" s="100"/>
      <c r="N151" s="127"/>
      <c r="O151" s="128"/>
      <c r="P151" s="95"/>
      <c r="Q151" s="137"/>
      <c r="R151" s="129"/>
      <c r="S151" s="95"/>
      <c r="T151" s="95"/>
      <c r="V151" s="107"/>
    </row>
    <row r="152" ht="15.75" customHeight="1">
      <c r="A152" s="89"/>
      <c r="B152" s="182"/>
      <c r="C152" s="149"/>
      <c r="D152" s="95"/>
      <c r="E152" s="149"/>
      <c r="F152" s="149"/>
      <c r="G152" s="95"/>
      <c r="H152" s="149"/>
      <c r="I152" s="95"/>
      <c r="J152" s="95"/>
      <c r="K152" s="113"/>
      <c r="L152" s="113"/>
      <c r="M152" s="100"/>
      <c r="N152" s="127"/>
      <c r="O152" s="128"/>
      <c r="P152" s="95"/>
      <c r="Q152" s="137"/>
      <c r="R152" s="129"/>
      <c r="S152" s="95"/>
      <c r="T152" s="95"/>
      <c r="V152" s="107"/>
    </row>
    <row r="153" ht="15.75" customHeight="1">
      <c r="A153" s="89"/>
      <c r="B153" s="182"/>
      <c r="C153" s="149"/>
      <c r="D153" s="95"/>
      <c r="E153" s="149"/>
      <c r="F153" s="149"/>
      <c r="G153" s="95"/>
      <c r="H153" s="149"/>
      <c r="I153" s="95"/>
      <c r="J153" s="95"/>
      <c r="K153" s="99"/>
      <c r="L153" s="99"/>
      <c r="M153" s="100"/>
      <c r="N153" s="127"/>
      <c r="O153" s="128"/>
      <c r="P153" s="95"/>
      <c r="Q153" s="137"/>
      <c r="R153" s="129"/>
      <c r="S153" s="95"/>
      <c r="T153" s="95"/>
      <c r="V153" s="107"/>
    </row>
    <row r="154" ht="15.75" customHeight="1">
      <c r="A154" s="89"/>
      <c r="B154" s="182"/>
      <c r="C154" s="149"/>
      <c r="D154" s="95"/>
      <c r="E154" s="149"/>
      <c r="F154" s="149"/>
      <c r="G154" s="95"/>
      <c r="H154" s="149"/>
      <c r="I154" s="95"/>
      <c r="J154" s="95"/>
      <c r="K154" s="113"/>
      <c r="L154" s="113"/>
      <c r="M154" s="100"/>
      <c r="N154" s="127"/>
      <c r="O154" s="128"/>
      <c r="P154" s="95"/>
      <c r="Q154" s="137"/>
      <c r="R154" s="129"/>
      <c r="S154" s="95"/>
      <c r="T154" s="95"/>
      <c r="V154" s="107"/>
    </row>
    <row r="155" ht="15.75" customHeight="1">
      <c r="A155" s="89"/>
      <c r="B155" s="182"/>
      <c r="C155" s="149"/>
      <c r="D155" s="95"/>
      <c r="E155" s="149"/>
      <c r="F155" s="149"/>
      <c r="G155" s="95"/>
      <c r="H155" s="149"/>
      <c r="I155" s="95"/>
      <c r="J155" s="95"/>
      <c r="K155" s="99"/>
      <c r="L155" s="99"/>
      <c r="M155" s="100"/>
      <c r="N155" s="127"/>
      <c r="O155" s="128"/>
      <c r="P155" s="95"/>
      <c r="Q155" s="137"/>
      <c r="R155" s="129"/>
      <c r="S155" s="95"/>
      <c r="T155" s="95"/>
      <c r="V155" s="107"/>
    </row>
    <row r="156" ht="15.75" customHeight="1">
      <c r="A156" s="89"/>
      <c r="B156" s="182"/>
      <c r="C156" s="149"/>
      <c r="D156" s="95"/>
      <c r="E156" s="149"/>
      <c r="F156" s="149"/>
      <c r="G156" s="95"/>
      <c r="H156" s="149"/>
      <c r="I156" s="95"/>
      <c r="J156" s="95"/>
      <c r="K156" s="113"/>
      <c r="L156" s="113"/>
      <c r="M156" s="100"/>
      <c r="N156" s="127"/>
      <c r="O156" s="128"/>
      <c r="P156" s="95"/>
      <c r="Q156" s="137"/>
      <c r="R156" s="129"/>
      <c r="S156" s="95"/>
      <c r="T156" s="95"/>
      <c r="V156" s="107"/>
    </row>
    <row r="157" ht="15.75" customHeight="1">
      <c r="A157" s="89"/>
      <c r="B157" s="182"/>
      <c r="C157" s="107"/>
      <c r="D157" s="95"/>
      <c r="E157" s="149"/>
      <c r="F157" s="149"/>
      <c r="G157" s="95"/>
      <c r="H157" s="149"/>
      <c r="I157" s="95"/>
      <c r="J157" s="95"/>
      <c r="K157" s="99"/>
      <c r="L157" s="99"/>
      <c r="M157" s="100"/>
      <c r="N157" s="127"/>
      <c r="O157" s="128"/>
      <c r="P157" s="95"/>
      <c r="Q157" s="137"/>
      <c r="R157" s="129"/>
      <c r="S157" s="95"/>
      <c r="T157" s="95"/>
      <c r="V157" s="107"/>
    </row>
    <row r="158" ht="15.75" customHeight="1">
      <c r="A158" s="89"/>
      <c r="B158" s="182"/>
      <c r="C158" s="149"/>
      <c r="D158" s="95"/>
      <c r="E158" s="149"/>
      <c r="F158" s="149"/>
      <c r="G158" s="95"/>
      <c r="H158" s="149"/>
      <c r="I158" s="95"/>
      <c r="J158" s="95"/>
      <c r="K158" s="113"/>
      <c r="L158" s="113"/>
      <c r="M158" s="100"/>
      <c r="N158" s="127"/>
      <c r="O158" s="128"/>
      <c r="P158" s="95"/>
      <c r="Q158" s="137"/>
      <c r="R158" s="129"/>
      <c r="S158" s="95"/>
      <c r="T158" s="95"/>
      <c r="V158" s="107"/>
    </row>
    <row r="159" ht="15.75" customHeight="1">
      <c r="A159" s="89"/>
      <c r="B159" s="182"/>
      <c r="C159" s="149"/>
      <c r="D159" s="95"/>
      <c r="E159" s="149"/>
      <c r="F159" s="149"/>
      <c r="G159" s="95"/>
      <c r="H159" s="149"/>
      <c r="I159" s="95"/>
      <c r="J159" s="95"/>
      <c r="K159" s="99"/>
      <c r="L159" s="99"/>
      <c r="M159" s="100"/>
      <c r="N159" s="127"/>
      <c r="O159" s="128"/>
      <c r="P159" s="95"/>
      <c r="Q159" s="137"/>
      <c r="R159" s="129"/>
      <c r="S159" s="95"/>
      <c r="T159" s="95"/>
      <c r="V159" s="107"/>
    </row>
    <row r="160" ht="15.75" customHeight="1">
      <c r="A160" s="89"/>
      <c r="B160" s="182"/>
      <c r="C160" s="149"/>
      <c r="D160" s="95"/>
      <c r="E160" s="149"/>
      <c r="F160" s="149"/>
      <c r="G160" s="95"/>
      <c r="H160" s="149"/>
      <c r="I160" s="95"/>
      <c r="J160" s="95"/>
      <c r="K160" s="113"/>
      <c r="L160" s="113"/>
      <c r="M160" s="100"/>
      <c r="N160" s="127"/>
      <c r="O160" s="128"/>
      <c r="P160" s="95"/>
      <c r="Q160" s="137"/>
      <c r="R160" s="129"/>
      <c r="S160" s="95"/>
      <c r="T160" s="95"/>
      <c r="V160" s="107"/>
    </row>
    <row r="161" ht="15.75" customHeight="1">
      <c r="A161" s="89"/>
      <c r="B161" s="182"/>
      <c r="C161" s="149"/>
      <c r="D161" s="95"/>
      <c r="E161" s="149"/>
      <c r="F161" s="149"/>
      <c r="G161" s="95"/>
      <c r="H161" s="149"/>
      <c r="I161" s="95"/>
      <c r="J161" s="95"/>
      <c r="K161" s="99"/>
      <c r="L161" s="99"/>
      <c r="M161" s="100"/>
      <c r="N161" s="127"/>
      <c r="O161" s="128"/>
      <c r="P161" s="95"/>
      <c r="Q161" s="137"/>
      <c r="R161" s="129"/>
      <c r="S161" s="95"/>
      <c r="T161" s="95"/>
      <c r="V161" s="107"/>
    </row>
    <row r="162" ht="15.75" customHeight="1">
      <c r="A162" s="89"/>
      <c r="B162" s="182"/>
      <c r="C162" s="149"/>
      <c r="D162" s="95"/>
      <c r="E162" s="149"/>
      <c r="F162" s="149"/>
      <c r="G162" s="95"/>
      <c r="H162" s="149"/>
      <c r="I162" s="95"/>
      <c r="J162" s="95"/>
      <c r="K162" s="113"/>
      <c r="L162" s="113"/>
      <c r="M162" s="100"/>
      <c r="N162" s="127"/>
      <c r="O162" s="128"/>
      <c r="P162" s="95"/>
      <c r="Q162" s="137"/>
      <c r="R162" s="129"/>
      <c r="S162" s="95"/>
      <c r="T162" s="95"/>
      <c r="V162" s="107"/>
    </row>
    <row r="163" ht="15.75" customHeight="1">
      <c r="A163" s="89"/>
      <c r="B163" s="182"/>
      <c r="C163" s="107"/>
      <c r="D163" s="95"/>
      <c r="E163" s="149"/>
      <c r="F163" s="149"/>
      <c r="G163" s="95"/>
      <c r="H163" s="149"/>
      <c r="I163" s="95"/>
      <c r="J163" s="95"/>
      <c r="K163" s="99"/>
      <c r="L163" s="99"/>
      <c r="M163" s="100"/>
      <c r="N163" s="127"/>
      <c r="O163" s="128"/>
      <c r="P163" s="95"/>
      <c r="Q163" s="137"/>
      <c r="R163" s="129"/>
      <c r="S163" s="95"/>
      <c r="T163" s="95"/>
      <c r="V163" s="107"/>
    </row>
    <row r="164" ht="15.75" customHeight="1">
      <c r="A164" s="89"/>
      <c r="B164" s="182"/>
      <c r="C164" s="149"/>
      <c r="D164" s="95"/>
      <c r="E164" s="149"/>
      <c r="F164" s="149"/>
      <c r="G164" s="95"/>
      <c r="H164" s="149"/>
      <c r="I164" s="95"/>
      <c r="J164" s="95"/>
      <c r="K164" s="113"/>
      <c r="L164" s="113"/>
      <c r="M164" s="100"/>
      <c r="N164" s="127"/>
      <c r="O164" s="128"/>
      <c r="P164" s="95"/>
      <c r="Q164" s="137"/>
      <c r="R164" s="129"/>
      <c r="S164" s="95"/>
      <c r="T164" s="95"/>
      <c r="V164" s="107"/>
    </row>
    <row r="165" ht="15.75" customHeight="1">
      <c r="A165" s="89"/>
      <c r="B165" s="182"/>
      <c r="C165" s="149"/>
      <c r="D165" s="95"/>
      <c r="E165" s="149"/>
      <c r="F165" s="149"/>
      <c r="G165" s="95"/>
      <c r="H165" s="149"/>
      <c r="I165" s="95"/>
      <c r="J165" s="95"/>
      <c r="K165" s="99"/>
      <c r="L165" s="99"/>
      <c r="M165" s="100"/>
      <c r="N165" s="127"/>
      <c r="O165" s="128"/>
      <c r="P165" s="95"/>
      <c r="Q165" s="137"/>
      <c r="R165" s="129"/>
      <c r="S165" s="95"/>
      <c r="T165" s="95"/>
      <c r="V165" s="107"/>
    </row>
    <row r="166" ht="15.75" customHeight="1">
      <c r="A166" s="89"/>
      <c r="B166" s="182"/>
      <c r="C166" s="149"/>
      <c r="D166" s="95"/>
      <c r="E166" s="149"/>
      <c r="F166" s="149"/>
      <c r="G166" s="95"/>
      <c r="H166" s="149"/>
      <c r="I166" s="95"/>
      <c r="J166" s="95"/>
      <c r="K166" s="113"/>
      <c r="L166" s="113"/>
      <c r="M166" s="100"/>
      <c r="N166" s="127"/>
      <c r="O166" s="128"/>
      <c r="P166" s="95"/>
      <c r="Q166" s="137"/>
      <c r="R166" s="129"/>
      <c r="S166" s="95"/>
      <c r="T166" s="95"/>
      <c r="V166" s="107"/>
    </row>
    <row r="167" ht="15.75" customHeight="1">
      <c r="A167" s="89"/>
      <c r="B167" s="182"/>
      <c r="C167" s="149"/>
      <c r="D167" s="95"/>
      <c r="E167" s="149"/>
      <c r="F167" s="149"/>
      <c r="G167" s="95"/>
      <c r="H167" s="149"/>
      <c r="I167" s="95"/>
      <c r="J167" s="95"/>
      <c r="K167" s="99"/>
      <c r="L167" s="99"/>
      <c r="M167" s="100"/>
      <c r="N167" s="127"/>
      <c r="O167" s="128"/>
      <c r="P167" s="95"/>
      <c r="Q167" s="137"/>
      <c r="R167" s="129"/>
      <c r="S167" s="95"/>
      <c r="T167" s="95"/>
      <c r="V167" s="107"/>
    </row>
    <row r="168" ht="15.75" customHeight="1">
      <c r="A168" s="89"/>
      <c r="B168" s="182"/>
      <c r="C168" s="149"/>
      <c r="D168" s="95"/>
      <c r="E168" s="149"/>
      <c r="F168" s="149"/>
      <c r="G168" s="95"/>
      <c r="H168" s="149"/>
      <c r="I168" s="95"/>
      <c r="J168" s="95"/>
      <c r="K168" s="113"/>
      <c r="L168" s="113"/>
      <c r="M168" s="100"/>
      <c r="N168" s="127"/>
      <c r="O168" s="128"/>
      <c r="P168" s="95"/>
      <c r="Q168" s="137"/>
      <c r="R168" s="129"/>
      <c r="S168" s="95"/>
      <c r="T168" s="95"/>
      <c r="V168" s="107"/>
    </row>
    <row r="169" ht="15.75" customHeight="1">
      <c r="A169" s="89"/>
      <c r="B169" s="182"/>
      <c r="C169" s="107"/>
      <c r="D169" s="95"/>
      <c r="E169" s="149"/>
      <c r="F169" s="149"/>
      <c r="G169" s="95"/>
      <c r="H169" s="149"/>
      <c r="I169" s="95"/>
      <c r="J169" s="95"/>
      <c r="K169" s="99"/>
      <c r="L169" s="99"/>
      <c r="M169" s="100"/>
      <c r="N169" s="127"/>
      <c r="O169" s="128"/>
      <c r="P169" s="95"/>
      <c r="Q169" s="137"/>
      <c r="R169" s="129"/>
      <c r="S169" s="95"/>
      <c r="T169" s="95"/>
      <c r="V169" s="107"/>
    </row>
    <row r="170" ht="15.75" customHeight="1">
      <c r="A170" s="89"/>
      <c r="B170" s="182"/>
      <c r="C170" s="149"/>
      <c r="D170" s="95"/>
      <c r="E170" s="149"/>
      <c r="F170" s="149"/>
      <c r="G170" s="95"/>
      <c r="H170" s="149"/>
      <c r="I170" s="95"/>
      <c r="J170" s="95"/>
      <c r="K170" s="113"/>
      <c r="L170" s="113"/>
      <c r="M170" s="100"/>
      <c r="N170" s="127"/>
      <c r="O170" s="128"/>
      <c r="P170" s="95"/>
      <c r="Q170" s="137"/>
      <c r="R170" s="129"/>
      <c r="S170" s="95"/>
      <c r="T170" s="95"/>
      <c r="V170" s="107"/>
    </row>
    <row r="171" ht="15.75" customHeight="1">
      <c r="A171" s="89"/>
      <c r="B171" s="182"/>
      <c r="C171" s="149"/>
      <c r="D171" s="95"/>
      <c r="E171" s="149"/>
      <c r="F171" s="149"/>
      <c r="G171" s="95"/>
      <c r="H171" s="149"/>
      <c r="I171" s="95"/>
      <c r="J171" s="95"/>
      <c r="K171" s="99"/>
      <c r="L171" s="99"/>
      <c r="M171" s="100"/>
      <c r="N171" s="127"/>
      <c r="O171" s="128"/>
      <c r="P171" s="95"/>
      <c r="Q171" s="137"/>
      <c r="R171" s="129"/>
      <c r="S171" s="95"/>
      <c r="T171" s="95"/>
      <c r="V171" s="107"/>
    </row>
    <row r="172" ht="15.75" customHeight="1">
      <c r="A172" s="89"/>
      <c r="B172" s="182"/>
      <c r="C172" s="149"/>
      <c r="D172" s="95"/>
      <c r="E172" s="149"/>
      <c r="F172" s="149"/>
      <c r="G172" s="95"/>
      <c r="H172" s="149"/>
      <c r="I172" s="95"/>
      <c r="J172" s="95"/>
      <c r="K172" s="113"/>
      <c r="L172" s="113"/>
      <c r="M172" s="100"/>
      <c r="N172" s="127"/>
      <c r="O172" s="128"/>
      <c r="P172" s="95"/>
      <c r="Q172" s="137"/>
      <c r="R172" s="129"/>
      <c r="S172" s="95"/>
      <c r="T172" s="95"/>
      <c r="V172" s="107"/>
    </row>
    <row r="173" ht="15.75" customHeight="1">
      <c r="A173" s="89"/>
      <c r="B173" s="182"/>
      <c r="C173" s="149"/>
      <c r="D173" s="95"/>
      <c r="E173" s="149"/>
      <c r="F173" s="149"/>
      <c r="G173" s="95"/>
      <c r="H173" s="149"/>
      <c r="I173" s="95"/>
      <c r="J173" s="95"/>
      <c r="K173" s="99"/>
      <c r="L173" s="99"/>
      <c r="M173" s="100"/>
      <c r="N173" s="127"/>
      <c r="O173" s="128"/>
      <c r="P173" s="95"/>
      <c r="Q173" s="137"/>
      <c r="R173" s="129"/>
      <c r="S173" s="95"/>
      <c r="T173" s="95"/>
      <c r="V173" s="107"/>
    </row>
    <row r="174" ht="15.75" customHeight="1">
      <c r="A174" s="89"/>
      <c r="B174" s="182"/>
      <c r="C174" s="149"/>
      <c r="D174" s="95"/>
      <c r="E174" s="149"/>
      <c r="F174" s="149"/>
      <c r="G174" s="95"/>
      <c r="H174" s="149"/>
      <c r="I174" s="95"/>
      <c r="J174" s="95"/>
      <c r="K174" s="113"/>
      <c r="L174" s="113"/>
      <c r="M174" s="100"/>
      <c r="N174" s="127"/>
      <c r="O174" s="128"/>
      <c r="P174" s="95"/>
      <c r="Q174" s="137"/>
      <c r="R174" s="129"/>
      <c r="S174" s="95"/>
      <c r="T174" s="95"/>
      <c r="V174" s="107"/>
    </row>
    <row r="175" ht="15.75" customHeight="1">
      <c r="A175" s="89"/>
      <c r="B175" s="182"/>
      <c r="C175" s="107"/>
      <c r="D175" s="95"/>
      <c r="E175" s="149"/>
      <c r="F175" s="149"/>
      <c r="G175" s="95"/>
      <c r="H175" s="149"/>
      <c r="I175" s="95"/>
      <c r="J175" s="95"/>
      <c r="K175" s="99"/>
      <c r="L175" s="99"/>
      <c r="M175" s="100"/>
      <c r="N175" s="127"/>
      <c r="O175" s="128"/>
      <c r="P175" s="95"/>
      <c r="Q175" s="137"/>
      <c r="R175" s="129"/>
      <c r="S175" s="95"/>
      <c r="T175" s="95"/>
      <c r="V175" s="107"/>
    </row>
    <row r="176" ht="15.75" customHeight="1">
      <c r="A176" s="89"/>
      <c r="B176" s="182"/>
      <c r="C176" s="149"/>
      <c r="D176" s="95"/>
      <c r="E176" s="149"/>
      <c r="F176" s="149"/>
      <c r="G176" s="95"/>
      <c r="H176" s="149"/>
      <c r="I176" s="95"/>
      <c r="J176" s="95"/>
      <c r="K176" s="113"/>
      <c r="L176" s="113"/>
      <c r="M176" s="100"/>
      <c r="N176" s="127"/>
      <c r="O176" s="128"/>
      <c r="P176" s="95"/>
      <c r="Q176" s="137"/>
      <c r="R176" s="129"/>
      <c r="S176" s="95"/>
      <c r="T176" s="95"/>
      <c r="V176" s="107"/>
    </row>
    <row r="177" ht="15.75" customHeight="1">
      <c r="A177" s="89"/>
      <c r="B177" s="182"/>
      <c r="C177" s="149"/>
      <c r="D177" s="95"/>
      <c r="E177" s="149"/>
      <c r="F177" s="149"/>
      <c r="G177" s="95"/>
      <c r="H177" s="149"/>
      <c r="I177" s="95"/>
      <c r="J177" s="95"/>
      <c r="K177" s="99"/>
      <c r="L177" s="99"/>
      <c r="M177" s="100"/>
      <c r="N177" s="127"/>
      <c r="O177" s="128"/>
      <c r="P177" s="95"/>
      <c r="Q177" s="137"/>
      <c r="R177" s="129"/>
      <c r="S177" s="95"/>
      <c r="T177" s="95"/>
      <c r="V177" s="107"/>
    </row>
    <row r="178" ht="15.75" customHeight="1">
      <c r="A178" s="89"/>
      <c r="B178" s="182"/>
      <c r="C178" s="149"/>
      <c r="D178" s="95"/>
      <c r="E178" s="149"/>
      <c r="F178" s="149"/>
      <c r="G178" s="95"/>
      <c r="H178" s="149"/>
      <c r="I178" s="95"/>
      <c r="J178" s="95"/>
      <c r="K178" s="113"/>
      <c r="L178" s="113"/>
      <c r="M178" s="100"/>
      <c r="N178" s="127"/>
      <c r="O178" s="128"/>
      <c r="P178" s="95"/>
      <c r="Q178" s="137"/>
      <c r="R178" s="129"/>
      <c r="S178" s="95"/>
      <c r="T178" s="95"/>
      <c r="V178" s="107"/>
    </row>
    <row r="179" ht="15.75" customHeight="1">
      <c r="A179" s="89"/>
      <c r="B179" s="182"/>
      <c r="C179" s="149"/>
      <c r="D179" s="95"/>
      <c r="E179" s="149"/>
      <c r="F179" s="149"/>
      <c r="G179" s="95"/>
      <c r="H179" s="149"/>
      <c r="I179" s="95"/>
      <c r="J179" s="95"/>
      <c r="K179" s="99"/>
      <c r="L179" s="99"/>
      <c r="M179" s="100"/>
      <c r="N179" s="127"/>
      <c r="O179" s="128"/>
      <c r="P179" s="95"/>
      <c r="Q179" s="137"/>
      <c r="R179" s="129"/>
      <c r="S179" s="95"/>
      <c r="T179" s="95"/>
      <c r="V179" s="107"/>
    </row>
    <row r="180" ht="15.75" customHeight="1">
      <c r="A180" s="89"/>
      <c r="B180" s="182"/>
      <c r="C180" s="149"/>
      <c r="D180" s="95"/>
      <c r="E180" s="149"/>
      <c r="F180" s="149"/>
      <c r="G180" s="95"/>
      <c r="H180" s="149"/>
      <c r="I180" s="95"/>
      <c r="J180" s="95"/>
      <c r="K180" s="113"/>
      <c r="L180" s="113"/>
      <c r="M180" s="100"/>
      <c r="N180" s="127"/>
      <c r="O180" s="128"/>
      <c r="P180" s="95"/>
      <c r="Q180" s="137"/>
      <c r="R180" s="129"/>
      <c r="S180" s="95"/>
      <c r="T180" s="95"/>
      <c r="V180" s="107"/>
    </row>
    <row r="181" ht="15.75" customHeight="1">
      <c r="A181" s="89"/>
      <c r="B181" s="182"/>
      <c r="C181" s="107"/>
      <c r="D181" s="95"/>
      <c r="E181" s="149"/>
      <c r="F181" s="149"/>
      <c r="G181" s="95"/>
      <c r="H181" s="149"/>
      <c r="I181" s="95"/>
      <c r="J181" s="95"/>
      <c r="K181" s="99"/>
      <c r="L181" s="99"/>
      <c r="M181" s="100"/>
      <c r="N181" s="127"/>
      <c r="O181" s="128"/>
      <c r="P181" s="95"/>
      <c r="Q181" s="137"/>
      <c r="R181" s="129"/>
      <c r="S181" s="95"/>
      <c r="T181" s="95"/>
      <c r="V181" s="107"/>
    </row>
    <row r="182" ht="15.75" customHeight="1">
      <c r="A182" s="89"/>
      <c r="B182" s="182"/>
      <c r="C182" s="149"/>
      <c r="D182" s="95"/>
      <c r="E182" s="149"/>
      <c r="F182" s="149"/>
      <c r="G182" s="95"/>
      <c r="H182" s="149"/>
      <c r="I182" s="95"/>
      <c r="J182" s="95"/>
      <c r="K182" s="113"/>
      <c r="L182" s="113"/>
      <c r="M182" s="100"/>
      <c r="N182" s="127"/>
      <c r="O182" s="128"/>
      <c r="P182" s="95"/>
      <c r="Q182" s="137"/>
      <c r="R182" s="129"/>
      <c r="S182" s="95"/>
      <c r="T182" s="95"/>
      <c r="V182" s="107"/>
    </row>
    <row r="183" ht="15.75" customHeight="1">
      <c r="A183" s="89"/>
      <c r="B183" s="182"/>
      <c r="C183" s="149"/>
      <c r="D183" s="95"/>
      <c r="E183" s="149"/>
      <c r="F183" s="149"/>
      <c r="G183" s="95"/>
      <c r="H183" s="149"/>
      <c r="I183" s="95"/>
      <c r="J183" s="95"/>
      <c r="K183" s="99"/>
      <c r="L183" s="99"/>
      <c r="M183" s="100"/>
      <c r="N183" s="127"/>
      <c r="O183" s="128"/>
      <c r="P183" s="95"/>
      <c r="Q183" s="137"/>
      <c r="R183" s="129"/>
      <c r="S183" s="95"/>
      <c r="T183" s="95"/>
      <c r="V183" s="107"/>
    </row>
    <row r="184" ht="15.75" customHeight="1">
      <c r="A184" s="89"/>
      <c r="B184" s="182"/>
      <c r="C184" s="149"/>
      <c r="D184" s="95"/>
      <c r="E184" s="149"/>
      <c r="F184" s="149"/>
      <c r="G184" s="95"/>
      <c r="H184" s="149"/>
      <c r="I184" s="95"/>
      <c r="J184" s="95"/>
      <c r="K184" s="113"/>
      <c r="L184" s="113"/>
      <c r="M184" s="100"/>
      <c r="N184" s="127"/>
      <c r="O184" s="128"/>
      <c r="P184" s="95"/>
      <c r="Q184" s="137"/>
      <c r="R184" s="129"/>
      <c r="S184" s="95"/>
      <c r="T184" s="95"/>
      <c r="V184" s="107"/>
    </row>
    <row r="185" ht="15.75" customHeight="1">
      <c r="A185" s="89"/>
      <c r="B185" s="182"/>
      <c r="C185" s="149"/>
      <c r="D185" s="95"/>
      <c r="E185" s="149"/>
      <c r="F185" s="149"/>
      <c r="G185" s="95"/>
      <c r="H185" s="149"/>
      <c r="I185" s="95"/>
      <c r="J185" s="95"/>
      <c r="K185" s="99"/>
      <c r="L185" s="99"/>
      <c r="M185" s="100"/>
      <c r="N185" s="127"/>
      <c r="O185" s="128"/>
      <c r="P185" s="95"/>
      <c r="Q185" s="137"/>
      <c r="R185" s="129"/>
      <c r="S185" s="95"/>
      <c r="T185" s="95"/>
      <c r="V185" s="107"/>
    </row>
    <row r="186" ht="15.75" customHeight="1">
      <c r="A186" s="89"/>
      <c r="B186" s="182"/>
      <c r="C186" s="149"/>
      <c r="D186" s="95"/>
      <c r="E186" s="149"/>
      <c r="F186" s="149"/>
      <c r="G186" s="95"/>
      <c r="H186" s="149"/>
      <c r="I186" s="95"/>
      <c r="J186" s="95"/>
      <c r="K186" s="113"/>
      <c r="L186" s="113"/>
      <c r="M186" s="100"/>
      <c r="N186" s="127"/>
      <c r="O186" s="128"/>
      <c r="P186" s="95"/>
      <c r="Q186" s="137"/>
      <c r="R186" s="129"/>
      <c r="S186" s="95"/>
      <c r="T186" s="95"/>
      <c r="V186" s="107"/>
    </row>
    <row r="187" ht="15.75" customHeight="1">
      <c r="A187" s="89"/>
      <c r="B187" s="182"/>
      <c r="C187" s="107"/>
      <c r="D187" s="95"/>
      <c r="E187" s="149"/>
      <c r="F187" s="149"/>
      <c r="G187" s="95"/>
      <c r="H187" s="149"/>
      <c r="I187" s="95"/>
      <c r="J187" s="95"/>
      <c r="K187" s="99"/>
      <c r="L187" s="99"/>
      <c r="M187" s="100"/>
      <c r="N187" s="127"/>
      <c r="O187" s="128"/>
      <c r="P187" s="95"/>
      <c r="Q187" s="137"/>
      <c r="R187" s="129"/>
      <c r="S187" s="95"/>
      <c r="T187" s="95"/>
      <c r="V187" s="107"/>
    </row>
    <row r="188" ht="15.75" customHeight="1">
      <c r="A188" s="89"/>
      <c r="B188" s="182"/>
      <c r="C188" s="149"/>
      <c r="D188" s="95"/>
      <c r="E188" s="149"/>
      <c r="F188" s="149"/>
      <c r="G188" s="95"/>
      <c r="H188" s="149"/>
      <c r="I188" s="95"/>
      <c r="J188" s="95"/>
      <c r="K188" s="113"/>
      <c r="L188" s="113"/>
      <c r="M188" s="100"/>
      <c r="N188" s="127"/>
      <c r="O188" s="128"/>
      <c r="P188" s="95"/>
      <c r="Q188" s="137"/>
      <c r="R188" s="129"/>
      <c r="S188" s="95"/>
      <c r="T188" s="95"/>
      <c r="V188" s="107"/>
    </row>
    <row r="189" ht="15.75" customHeight="1">
      <c r="A189" s="89"/>
      <c r="B189" s="182"/>
      <c r="C189" s="149"/>
      <c r="D189" s="95"/>
      <c r="E189" s="149"/>
      <c r="F189" s="149"/>
      <c r="G189" s="95"/>
      <c r="H189" s="149"/>
      <c r="I189" s="95"/>
      <c r="J189" s="95"/>
      <c r="K189" s="99"/>
      <c r="L189" s="99"/>
      <c r="M189" s="100"/>
      <c r="N189" s="127"/>
      <c r="O189" s="128"/>
      <c r="P189" s="95"/>
      <c r="Q189" s="137"/>
      <c r="R189" s="129"/>
      <c r="S189" s="95"/>
      <c r="T189" s="95"/>
      <c r="V189" s="107"/>
    </row>
    <row r="190" ht="15.75" customHeight="1">
      <c r="A190" s="89"/>
      <c r="B190" s="182"/>
      <c r="C190" s="149"/>
      <c r="D190" s="95"/>
      <c r="E190" s="149"/>
      <c r="F190" s="149"/>
      <c r="G190" s="95"/>
      <c r="H190" s="149"/>
      <c r="I190" s="95"/>
      <c r="J190" s="95"/>
      <c r="K190" s="113"/>
      <c r="L190" s="113"/>
      <c r="M190" s="100"/>
      <c r="N190" s="127"/>
      <c r="O190" s="128"/>
      <c r="P190" s="95"/>
      <c r="Q190" s="137"/>
      <c r="R190" s="129"/>
      <c r="S190" s="95"/>
      <c r="T190" s="95"/>
      <c r="V190" s="107"/>
    </row>
    <row r="191" ht="15.75" customHeight="1">
      <c r="A191" s="89"/>
      <c r="B191" s="182"/>
      <c r="C191" s="149"/>
      <c r="D191" s="95"/>
      <c r="E191" s="149"/>
      <c r="F191" s="149"/>
      <c r="G191" s="95"/>
      <c r="H191" s="149"/>
      <c r="I191" s="95"/>
      <c r="J191" s="95"/>
      <c r="K191" s="99"/>
      <c r="L191" s="99"/>
      <c r="M191" s="100"/>
      <c r="N191" s="127"/>
      <c r="O191" s="128"/>
      <c r="P191" s="95"/>
      <c r="Q191" s="137"/>
      <c r="R191" s="129"/>
      <c r="S191" s="95"/>
      <c r="T191" s="95"/>
      <c r="V191" s="107"/>
    </row>
    <row r="192" ht="15.75" customHeight="1">
      <c r="A192" s="89"/>
      <c r="B192" s="182"/>
      <c r="C192" s="149"/>
      <c r="D192" s="95"/>
      <c r="E192" s="149"/>
      <c r="F192" s="149"/>
      <c r="G192" s="95"/>
      <c r="H192" s="149"/>
      <c r="I192" s="95"/>
      <c r="J192" s="95"/>
      <c r="K192" s="113"/>
      <c r="L192" s="113"/>
      <c r="M192" s="100"/>
      <c r="N192" s="127"/>
      <c r="O192" s="128"/>
      <c r="P192" s="95"/>
      <c r="Q192" s="137"/>
      <c r="R192" s="129"/>
      <c r="S192" s="95"/>
      <c r="T192" s="95"/>
      <c r="V192" s="107"/>
    </row>
    <row r="193" ht="15.75" customHeight="1">
      <c r="A193" s="89"/>
      <c r="B193" s="182"/>
      <c r="C193" s="107"/>
      <c r="D193" s="95"/>
      <c r="E193" s="149"/>
      <c r="F193" s="149"/>
      <c r="G193" s="95"/>
      <c r="H193" s="149"/>
      <c r="I193" s="95"/>
      <c r="J193" s="95"/>
      <c r="K193" s="99"/>
      <c r="L193" s="99"/>
      <c r="M193" s="100"/>
      <c r="N193" s="127"/>
      <c r="O193" s="128"/>
      <c r="P193" s="95"/>
      <c r="Q193" s="137"/>
      <c r="R193" s="129"/>
      <c r="S193" s="95"/>
      <c r="T193" s="95"/>
      <c r="V193" s="107"/>
    </row>
    <row r="194" ht="15.75" customHeight="1">
      <c r="A194" s="89"/>
      <c r="B194" s="182"/>
      <c r="C194" s="149"/>
      <c r="D194" s="95"/>
      <c r="E194" s="149"/>
      <c r="F194" s="149"/>
      <c r="G194" s="95"/>
      <c r="H194" s="149"/>
      <c r="I194" s="95"/>
      <c r="J194" s="95"/>
      <c r="K194" s="113"/>
      <c r="L194" s="113"/>
      <c r="M194" s="100"/>
      <c r="N194" s="127"/>
      <c r="O194" s="128"/>
      <c r="P194" s="95"/>
      <c r="Q194" s="137"/>
      <c r="R194" s="129"/>
      <c r="S194" s="95"/>
      <c r="T194" s="95"/>
      <c r="V194" s="107"/>
    </row>
    <row r="195" ht="15.75" customHeight="1">
      <c r="A195" s="89"/>
      <c r="B195" s="182"/>
      <c r="C195" s="149"/>
      <c r="D195" s="95"/>
      <c r="E195" s="149"/>
      <c r="F195" s="149"/>
      <c r="G195" s="95"/>
      <c r="H195" s="149"/>
      <c r="I195" s="95"/>
      <c r="J195" s="95"/>
      <c r="K195" s="99"/>
      <c r="L195" s="99"/>
      <c r="M195" s="100"/>
      <c r="N195" s="127"/>
      <c r="O195" s="128"/>
      <c r="P195" s="95"/>
      <c r="Q195" s="137"/>
      <c r="R195" s="129"/>
      <c r="S195" s="95"/>
      <c r="T195" s="95"/>
      <c r="V195" s="107"/>
    </row>
    <row r="196" ht="15.75" customHeight="1">
      <c r="A196" s="89"/>
      <c r="B196" s="182"/>
      <c r="C196" s="149"/>
      <c r="D196" s="95"/>
      <c r="E196" s="149"/>
      <c r="F196" s="149"/>
      <c r="G196" s="95"/>
      <c r="H196" s="149"/>
      <c r="I196" s="95"/>
      <c r="J196" s="95"/>
      <c r="K196" s="113"/>
      <c r="L196" s="113"/>
      <c r="M196" s="100"/>
      <c r="N196" s="127"/>
      <c r="O196" s="128"/>
      <c r="P196" s="95"/>
      <c r="Q196" s="137"/>
      <c r="R196" s="129"/>
      <c r="S196" s="95"/>
      <c r="T196" s="95"/>
      <c r="V196" s="107"/>
    </row>
    <row r="197" ht="15.75" customHeight="1">
      <c r="A197" s="89"/>
      <c r="B197" s="182"/>
      <c r="C197" s="149"/>
      <c r="D197" s="95"/>
      <c r="E197" s="149"/>
      <c r="F197" s="149"/>
      <c r="G197" s="95"/>
      <c r="H197" s="149"/>
      <c r="I197" s="95"/>
      <c r="J197" s="95"/>
      <c r="K197" s="99"/>
      <c r="L197" s="99"/>
      <c r="M197" s="100"/>
      <c r="N197" s="127"/>
      <c r="O197" s="128"/>
      <c r="P197" s="95"/>
      <c r="Q197" s="137"/>
      <c r="R197" s="129"/>
      <c r="S197" s="95"/>
      <c r="T197" s="95"/>
      <c r="V197" s="107"/>
    </row>
    <row r="198" ht="15.75" customHeight="1">
      <c r="A198" s="89"/>
      <c r="B198" s="182"/>
      <c r="C198" s="149"/>
      <c r="D198" s="95"/>
      <c r="E198" s="149"/>
      <c r="F198" s="149"/>
      <c r="G198" s="95"/>
      <c r="H198" s="149"/>
      <c r="I198" s="95"/>
      <c r="J198" s="95"/>
      <c r="K198" s="113"/>
      <c r="L198" s="113"/>
      <c r="M198" s="100"/>
      <c r="N198" s="127"/>
      <c r="O198" s="128"/>
      <c r="P198" s="95"/>
      <c r="Q198" s="137"/>
      <c r="R198" s="129"/>
      <c r="S198" s="95"/>
      <c r="T198" s="95"/>
      <c r="V198" s="107"/>
    </row>
    <row r="199" ht="15.75" customHeight="1">
      <c r="A199" s="89"/>
      <c r="B199" s="182"/>
      <c r="C199" s="107"/>
      <c r="D199" s="95"/>
      <c r="E199" s="149"/>
      <c r="F199" s="149"/>
      <c r="G199" s="95"/>
      <c r="H199" s="149"/>
      <c r="I199" s="95"/>
      <c r="J199" s="95"/>
      <c r="K199" s="99"/>
      <c r="L199" s="99"/>
      <c r="M199" s="100"/>
      <c r="N199" s="127"/>
      <c r="O199" s="128"/>
      <c r="P199" s="95"/>
      <c r="Q199" s="137"/>
      <c r="R199" s="129"/>
      <c r="S199" s="95"/>
      <c r="T199" s="95"/>
      <c r="V199" s="107"/>
    </row>
    <row r="200" ht="15.75" customHeight="1">
      <c r="A200" s="89"/>
      <c r="B200" s="182"/>
      <c r="C200" s="149"/>
      <c r="D200" s="95"/>
      <c r="E200" s="149"/>
      <c r="F200" s="149"/>
      <c r="G200" s="95"/>
      <c r="H200" s="149"/>
      <c r="I200" s="95"/>
      <c r="J200" s="95"/>
      <c r="K200" s="113"/>
      <c r="L200" s="113"/>
      <c r="M200" s="100"/>
      <c r="N200" s="127"/>
      <c r="O200" s="128"/>
      <c r="P200" s="95"/>
      <c r="Q200" s="137"/>
      <c r="R200" s="129"/>
      <c r="S200" s="95"/>
      <c r="T200" s="95"/>
      <c r="V200" s="107"/>
    </row>
    <row r="201" ht="15.75" customHeight="1">
      <c r="A201" s="89"/>
      <c r="B201" s="182"/>
      <c r="C201" s="149"/>
      <c r="D201" s="95"/>
      <c r="E201" s="149"/>
      <c r="F201" s="149"/>
      <c r="G201" s="95"/>
      <c r="H201" s="149"/>
      <c r="I201" s="95"/>
      <c r="J201" s="95"/>
      <c r="K201" s="99"/>
      <c r="L201" s="99"/>
      <c r="M201" s="100"/>
      <c r="N201" s="127"/>
      <c r="O201" s="128"/>
      <c r="P201" s="95"/>
      <c r="Q201" s="137"/>
      <c r="R201" s="129"/>
      <c r="S201" s="95"/>
      <c r="T201" s="95"/>
      <c r="V201" s="107"/>
    </row>
    <row r="202" ht="15.75" customHeight="1">
      <c r="A202" s="89"/>
      <c r="B202" s="182"/>
      <c r="C202" s="149"/>
      <c r="D202" s="95"/>
      <c r="E202" s="149"/>
      <c r="F202" s="149"/>
      <c r="G202" s="95"/>
      <c r="H202" s="149"/>
      <c r="I202" s="95"/>
      <c r="J202" s="95"/>
      <c r="K202" s="113"/>
      <c r="L202" s="113"/>
      <c r="M202" s="100"/>
      <c r="N202" s="127"/>
      <c r="O202" s="128"/>
      <c r="P202" s="95"/>
      <c r="Q202" s="137"/>
      <c r="R202" s="129"/>
      <c r="S202" s="95"/>
      <c r="T202" s="95"/>
      <c r="V202" s="107"/>
    </row>
    <row r="203" ht="15.75" customHeight="1">
      <c r="A203" s="89"/>
      <c r="B203" s="182"/>
      <c r="C203" s="149"/>
      <c r="D203" s="95"/>
      <c r="E203" s="149"/>
      <c r="F203" s="149"/>
      <c r="G203" s="95"/>
      <c r="H203" s="149"/>
      <c r="I203" s="95"/>
      <c r="J203" s="95"/>
      <c r="K203" s="99"/>
      <c r="L203" s="99"/>
      <c r="M203" s="100"/>
      <c r="N203" s="127"/>
      <c r="O203" s="128"/>
      <c r="P203" s="95"/>
      <c r="Q203" s="137"/>
      <c r="R203" s="129"/>
      <c r="S203" s="95"/>
      <c r="T203" s="95"/>
      <c r="V203" s="107"/>
    </row>
    <row r="204" ht="15.75" customHeight="1">
      <c r="A204" s="89"/>
      <c r="B204" s="182"/>
      <c r="C204" s="149"/>
      <c r="D204" s="95"/>
      <c r="E204" s="149"/>
      <c r="F204" s="149"/>
      <c r="G204" s="95"/>
      <c r="H204" s="149"/>
      <c r="I204" s="95"/>
      <c r="J204" s="95"/>
      <c r="K204" s="113"/>
      <c r="L204" s="113"/>
      <c r="M204" s="100"/>
      <c r="N204" s="127"/>
      <c r="O204" s="128"/>
      <c r="P204" s="95"/>
      <c r="Q204" s="137"/>
      <c r="R204" s="129"/>
      <c r="S204" s="95"/>
      <c r="T204" s="95"/>
      <c r="V204" s="107"/>
    </row>
    <row r="205" ht="15.75" customHeight="1">
      <c r="A205" s="89"/>
      <c r="B205" s="182"/>
      <c r="C205" s="107"/>
      <c r="D205" s="95"/>
      <c r="E205" s="149"/>
      <c r="F205" s="149"/>
      <c r="G205" s="95"/>
      <c r="H205" s="149"/>
      <c r="I205" s="95"/>
      <c r="J205" s="95"/>
      <c r="K205" s="99"/>
      <c r="L205" s="99"/>
      <c r="M205" s="100"/>
      <c r="N205" s="127"/>
      <c r="O205" s="128"/>
      <c r="P205" s="95"/>
      <c r="Q205" s="137"/>
      <c r="R205" s="129"/>
      <c r="S205" s="95"/>
      <c r="T205" s="95"/>
      <c r="V205" s="107"/>
    </row>
    <row r="206" ht="15.75" customHeight="1">
      <c r="A206" s="89"/>
      <c r="B206" s="182"/>
      <c r="C206" s="149"/>
      <c r="D206" s="95"/>
      <c r="E206" s="149"/>
      <c r="F206" s="149"/>
      <c r="G206" s="95"/>
      <c r="H206" s="149"/>
      <c r="I206" s="95"/>
      <c r="J206" s="95"/>
      <c r="K206" s="113"/>
      <c r="L206" s="113"/>
      <c r="M206" s="100"/>
      <c r="N206" s="127"/>
      <c r="O206" s="128"/>
      <c r="P206" s="95"/>
      <c r="Q206" s="137"/>
      <c r="R206" s="129"/>
      <c r="S206" s="95"/>
      <c r="T206" s="95"/>
      <c r="V206" s="107"/>
    </row>
    <row r="207" ht="15.75" customHeight="1">
      <c r="A207" s="89"/>
      <c r="B207" s="182"/>
      <c r="C207" s="149"/>
      <c r="D207" s="95"/>
      <c r="E207" s="149"/>
      <c r="F207" s="149"/>
      <c r="G207" s="95"/>
      <c r="H207" s="149"/>
      <c r="I207" s="95"/>
      <c r="J207" s="95"/>
      <c r="K207" s="99"/>
      <c r="L207" s="99"/>
      <c r="M207" s="100"/>
      <c r="N207" s="127"/>
      <c r="O207" s="128"/>
      <c r="P207" s="95"/>
      <c r="Q207" s="137"/>
      <c r="R207" s="129"/>
      <c r="S207" s="95"/>
      <c r="T207" s="95"/>
      <c r="V207" s="107"/>
    </row>
    <row r="208" ht="15.75" customHeight="1">
      <c r="A208" s="89"/>
      <c r="B208" s="182"/>
      <c r="C208" s="149"/>
      <c r="D208" s="95"/>
      <c r="E208" s="149"/>
      <c r="F208" s="149"/>
      <c r="G208" s="95"/>
      <c r="H208" s="149"/>
      <c r="I208" s="95"/>
      <c r="J208" s="95"/>
      <c r="K208" s="113"/>
      <c r="L208" s="113"/>
      <c r="M208" s="100"/>
      <c r="N208" s="127"/>
      <c r="O208" s="128"/>
      <c r="P208" s="95"/>
      <c r="Q208" s="137"/>
      <c r="R208" s="129"/>
      <c r="S208" s="95"/>
      <c r="T208" s="95"/>
      <c r="V208" s="107"/>
    </row>
    <row r="209" ht="15.75" customHeight="1">
      <c r="A209" s="89"/>
      <c r="B209" s="182"/>
      <c r="C209" s="149"/>
      <c r="D209" s="95"/>
      <c r="E209" s="149"/>
      <c r="F209" s="149"/>
      <c r="G209" s="95"/>
      <c r="H209" s="149"/>
      <c r="I209" s="95"/>
      <c r="J209" s="95"/>
      <c r="K209" s="99"/>
      <c r="L209" s="99"/>
      <c r="M209" s="100"/>
      <c r="N209" s="127"/>
      <c r="O209" s="128"/>
      <c r="P209" s="95"/>
      <c r="Q209" s="137"/>
      <c r="R209" s="129"/>
      <c r="S209" s="95"/>
      <c r="T209" s="95"/>
      <c r="V209" s="107"/>
    </row>
    <row r="210" ht="15.75" customHeight="1">
      <c r="A210" s="89"/>
      <c r="B210" s="182"/>
      <c r="C210" s="149"/>
      <c r="D210" s="95"/>
      <c r="E210" s="149"/>
      <c r="F210" s="149"/>
      <c r="G210" s="95"/>
      <c r="H210" s="149"/>
      <c r="I210" s="95"/>
      <c r="J210" s="95"/>
      <c r="K210" s="113"/>
      <c r="L210" s="113"/>
      <c r="M210" s="100"/>
      <c r="N210" s="127"/>
      <c r="O210" s="128"/>
      <c r="P210" s="95"/>
      <c r="Q210" s="137"/>
      <c r="R210" s="129"/>
      <c r="S210" s="95"/>
      <c r="T210" s="95"/>
      <c r="V210" s="107"/>
    </row>
    <row r="211" ht="15.75" customHeight="1">
      <c r="A211" s="89"/>
      <c r="B211" s="182"/>
      <c r="C211" s="107"/>
      <c r="D211" s="95"/>
      <c r="E211" s="149"/>
      <c r="F211" s="149"/>
      <c r="G211" s="95"/>
      <c r="H211" s="149"/>
      <c r="I211" s="95"/>
      <c r="J211" s="95"/>
      <c r="K211" s="99"/>
      <c r="L211" s="99"/>
      <c r="M211" s="100"/>
      <c r="N211" s="127"/>
      <c r="O211" s="128"/>
      <c r="P211" s="95"/>
      <c r="Q211" s="137"/>
      <c r="R211" s="129"/>
      <c r="S211" s="95"/>
      <c r="T211" s="95"/>
      <c r="V211" s="107"/>
    </row>
    <row r="212" ht="15.75" customHeight="1">
      <c r="A212" s="89"/>
      <c r="B212" s="182"/>
      <c r="C212" s="149"/>
      <c r="D212" s="95"/>
      <c r="E212" s="149"/>
      <c r="F212" s="149"/>
      <c r="G212" s="95"/>
      <c r="H212" s="149"/>
      <c r="I212" s="95"/>
      <c r="J212" s="95"/>
      <c r="K212" s="113"/>
      <c r="L212" s="113"/>
      <c r="M212" s="100"/>
      <c r="N212" s="127"/>
      <c r="O212" s="128"/>
      <c r="P212" s="95"/>
      <c r="Q212" s="137"/>
      <c r="R212" s="129"/>
      <c r="S212" s="95"/>
      <c r="T212" s="95"/>
      <c r="V212" s="107"/>
    </row>
    <row r="213" ht="15.75" customHeight="1">
      <c r="A213" s="89"/>
      <c r="B213" s="182"/>
      <c r="C213" s="149"/>
      <c r="D213" s="95"/>
      <c r="E213" s="149"/>
      <c r="F213" s="149"/>
      <c r="G213" s="95"/>
      <c r="H213" s="149"/>
      <c r="I213" s="95"/>
      <c r="J213" s="95"/>
      <c r="K213" s="99"/>
      <c r="L213" s="99"/>
      <c r="M213" s="100"/>
      <c r="N213" s="127"/>
      <c r="O213" s="128"/>
      <c r="P213" s="95"/>
      <c r="Q213" s="137"/>
      <c r="R213" s="129"/>
      <c r="S213" s="95"/>
      <c r="T213" s="95"/>
      <c r="V213" s="107"/>
    </row>
    <row r="214" ht="15.75" customHeight="1">
      <c r="A214" s="89"/>
      <c r="B214" s="182"/>
      <c r="C214" s="149"/>
      <c r="D214" s="95"/>
      <c r="E214" s="149"/>
      <c r="F214" s="149"/>
      <c r="G214" s="95"/>
      <c r="H214" s="149"/>
      <c r="I214" s="95"/>
      <c r="J214" s="95"/>
      <c r="K214" s="113"/>
      <c r="L214" s="113"/>
      <c r="M214" s="100"/>
      <c r="N214" s="127"/>
      <c r="O214" s="128"/>
      <c r="P214" s="95"/>
      <c r="Q214" s="137"/>
      <c r="R214" s="129"/>
      <c r="S214" s="95"/>
      <c r="T214" s="95"/>
      <c r="V214" s="107"/>
    </row>
    <row r="215" ht="15.75" customHeight="1">
      <c r="A215" s="89"/>
      <c r="B215" s="182"/>
      <c r="C215" s="149"/>
      <c r="D215" s="95"/>
      <c r="E215" s="149"/>
      <c r="F215" s="149"/>
      <c r="G215" s="95"/>
      <c r="H215" s="149"/>
      <c r="I215" s="95"/>
      <c r="J215" s="95"/>
      <c r="K215" s="99"/>
      <c r="L215" s="99"/>
      <c r="M215" s="100"/>
      <c r="N215" s="127"/>
      <c r="O215" s="128"/>
      <c r="P215" s="95"/>
      <c r="Q215" s="137"/>
      <c r="R215" s="129"/>
      <c r="S215" s="95"/>
      <c r="T215" s="95"/>
      <c r="V215" s="107"/>
    </row>
    <row r="216" ht="15.75" customHeight="1">
      <c r="A216" s="89"/>
      <c r="B216" s="182"/>
      <c r="C216" s="149"/>
      <c r="D216" s="95"/>
      <c r="E216" s="149"/>
      <c r="F216" s="149"/>
      <c r="G216" s="95"/>
      <c r="H216" s="149"/>
      <c r="I216" s="95"/>
      <c r="J216" s="95"/>
      <c r="K216" s="113"/>
      <c r="L216" s="113"/>
      <c r="M216" s="100"/>
      <c r="N216" s="127"/>
      <c r="O216" s="128"/>
      <c r="P216" s="95"/>
      <c r="Q216" s="137"/>
      <c r="R216" s="129"/>
      <c r="S216" s="95"/>
      <c r="T216" s="95"/>
      <c r="V216" s="107"/>
    </row>
    <row r="217" ht="15.75" customHeight="1">
      <c r="A217" s="89"/>
      <c r="B217" s="182"/>
      <c r="C217" s="107"/>
      <c r="D217" s="95"/>
      <c r="E217" s="149"/>
      <c r="F217" s="149"/>
      <c r="G217" s="95"/>
      <c r="H217" s="149"/>
      <c r="I217" s="95"/>
      <c r="J217" s="95"/>
      <c r="K217" s="99"/>
      <c r="L217" s="99"/>
      <c r="M217" s="100"/>
      <c r="N217" s="127"/>
      <c r="O217" s="128"/>
      <c r="P217" s="95"/>
      <c r="Q217" s="137"/>
      <c r="R217" s="129"/>
      <c r="S217" s="95"/>
      <c r="T217" s="95"/>
      <c r="V217" s="107"/>
    </row>
    <row r="218" ht="15.75" customHeight="1">
      <c r="A218" s="89"/>
      <c r="B218" s="182"/>
      <c r="C218" s="149"/>
      <c r="D218" s="95"/>
      <c r="E218" s="149"/>
      <c r="F218" s="149"/>
      <c r="G218" s="95"/>
      <c r="H218" s="149"/>
      <c r="I218" s="95"/>
      <c r="J218" s="95"/>
      <c r="K218" s="113"/>
      <c r="L218" s="113"/>
      <c r="M218" s="100"/>
      <c r="N218" s="127"/>
      <c r="O218" s="128"/>
      <c r="P218" s="95"/>
      <c r="Q218" s="137"/>
      <c r="R218" s="129"/>
      <c r="S218" s="95"/>
      <c r="T218" s="95"/>
      <c r="V218" s="107"/>
    </row>
    <row r="219" ht="15.75" customHeight="1">
      <c r="A219" s="89"/>
      <c r="B219" s="182"/>
      <c r="C219" s="149"/>
      <c r="D219" s="95"/>
      <c r="E219" s="149"/>
      <c r="F219" s="149"/>
      <c r="G219" s="95"/>
      <c r="H219" s="149"/>
      <c r="I219" s="95"/>
      <c r="J219" s="95"/>
      <c r="K219" s="99"/>
      <c r="L219" s="99"/>
      <c r="M219" s="100"/>
      <c r="N219" s="127"/>
      <c r="O219" s="128"/>
      <c r="P219" s="95"/>
      <c r="Q219" s="137"/>
      <c r="R219" s="129"/>
      <c r="S219" s="95"/>
      <c r="T219" s="95"/>
      <c r="V219" s="107"/>
    </row>
    <row r="220" ht="15.75" customHeight="1">
      <c r="A220" s="89"/>
      <c r="B220" s="182"/>
      <c r="C220" s="149"/>
      <c r="D220" s="95"/>
      <c r="E220" s="149"/>
      <c r="F220" s="149"/>
      <c r="G220" s="95"/>
      <c r="H220" s="149"/>
      <c r="I220" s="95"/>
      <c r="J220" s="95"/>
      <c r="K220" s="113"/>
      <c r="L220" s="113"/>
      <c r="M220" s="100"/>
      <c r="N220" s="127"/>
      <c r="O220" s="128"/>
      <c r="P220" s="95"/>
      <c r="Q220" s="137"/>
      <c r="R220" s="129"/>
      <c r="S220" s="95"/>
      <c r="T220" s="95"/>
      <c r="V220" s="107"/>
    </row>
    <row r="221" ht="15.75" customHeight="1">
      <c r="A221" s="89"/>
      <c r="B221" s="182"/>
      <c r="C221" s="149"/>
      <c r="D221" s="95"/>
      <c r="E221" s="149"/>
      <c r="F221" s="149"/>
      <c r="G221" s="95"/>
      <c r="H221" s="149"/>
      <c r="I221" s="95"/>
      <c r="J221" s="95"/>
      <c r="K221" s="99"/>
      <c r="L221" s="99"/>
      <c r="M221" s="100"/>
      <c r="N221" s="127"/>
      <c r="O221" s="128"/>
      <c r="P221" s="95"/>
      <c r="Q221" s="137"/>
      <c r="R221" s="129"/>
      <c r="S221" s="95"/>
      <c r="T221" s="95"/>
      <c r="V221" s="107"/>
    </row>
    <row r="222" ht="15.75" customHeight="1">
      <c r="A222" s="89"/>
      <c r="B222" s="182"/>
      <c r="C222" s="149"/>
      <c r="D222" s="95"/>
      <c r="E222" s="149"/>
      <c r="F222" s="149"/>
      <c r="G222" s="95"/>
      <c r="H222" s="149"/>
      <c r="I222" s="95"/>
      <c r="J222" s="95"/>
      <c r="K222" s="113"/>
      <c r="L222" s="113"/>
      <c r="M222" s="100"/>
      <c r="N222" s="127"/>
      <c r="O222" s="128"/>
      <c r="P222" s="95"/>
      <c r="Q222" s="137"/>
      <c r="R222" s="129"/>
      <c r="S222" s="95"/>
      <c r="T222" s="95"/>
      <c r="V222" s="107"/>
    </row>
    <row r="223" ht="15.75" customHeight="1">
      <c r="A223" s="89"/>
      <c r="B223" s="182"/>
      <c r="C223" s="107"/>
      <c r="D223" s="95"/>
      <c r="E223" s="149"/>
      <c r="F223" s="149"/>
      <c r="G223" s="95"/>
      <c r="H223" s="149"/>
      <c r="I223" s="95"/>
      <c r="J223" s="95"/>
      <c r="K223" s="99"/>
      <c r="L223" s="99"/>
      <c r="M223" s="100"/>
      <c r="N223" s="127"/>
      <c r="O223" s="128"/>
      <c r="P223" s="95"/>
      <c r="Q223" s="137"/>
      <c r="R223" s="129"/>
      <c r="S223" s="95"/>
      <c r="T223" s="95"/>
      <c r="V223" s="107"/>
    </row>
    <row r="224" ht="15.75" customHeight="1">
      <c r="A224" s="89"/>
      <c r="B224" s="182"/>
      <c r="C224" s="149"/>
      <c r="D224" s="95"/>
      <c r="E224" s="149"/>
      <c r="F224" s="149"/>
      <c r="G224" s="95"/>
      <c r="H224" s="149"/>
      <c r="I224" s="95"/>
      <c r="J224" s="95"/>
      <c r="K224" s="113"/>
      <c r="L224" s="113"/>
      <c r="M224" s="100"/>
      <c r="N224" s="127"/>
      <c r="O224" s="128"/>
      <c r="P224" s="95"/>
      <c r="Q224" s="137"/>
      <c r="R224" s="129"/>
      <c r="S224" s="95"/>
      <c r="T224" s="95"/>
      <c r="V224" s="107"/>
    </row>
    <row r="225" ht="15.75" customHeight="1">
      <c r="A225" s="89"/>
      <c r="B225" s="182"/>
      <c r="C225" s="149"/>
      <c r="D225" s="95"/>
      <c r="E225" s="149"/>
      <c r="F225" s="149"/>
      <c r="G225" s="95"/>
      <c r="H225" s="149"/>
      <c r="I225" s="95"/>
      <c r="J225" s="95"/>
      <c r="K225" s="99"/>
      <c r="L225" s="99"/>
      <c r="M225" s="100"/>
      <c r="N225" s="127"/>
      <c r="O225" s="128"/>
      <c r="P225" s="95"/>
      <c r="Q225" s="137"/>
      <c r="R225" s="129"/>
      <c r="S225" s="95"/>
      <c r="T225" s="95"/>
      <c r="V225" s="107"/>
    </row>
    <row r="226" ht="15.75" customHeight="1">
      <c r="A226" s="89"/>
      <c r="B226" s="182"/>
      <c r="C226" s="149"/>
      <c r="D226" s="95"/>
      <c r="E226" s="149"/>
      <c r="F226" s="149"/>
      <c r="G226" s="95"/>
      <c r="H226" s="149"/>
      <c r="I226" s="95"/>
      <c r="J226" s="95"/>
      <c r="K226" s="113"/>
      <c r="L226" s="113"/>
      <c r="M226" s="100"/>
      <c r="N226" s="127"/>
      <c r="O226" s="128"/>
      <c r="P226" s="95"/>
      <c r="Q226" s="137"/>
      <c r="R226" s="129"/>
      <c r="S226" s="95"/>
      <c r="T226" s="95"/>
      <c r="V226" s="107"/>
    </row>
    <row r="227" ht="15.75" customHeight="1">
      <c r="A227" s="89"/>
      <c r="B227" s="182"/>
      <c r="C227" s="149"/>
      <c r="D227" s="95"/>
      <c r="E227" s="149"/>
      <c r="F227" s="149"/>
      <c r="G227" s="95"/>
      <c r="H227" s="149"/>
      <c r="I227" s="95"/>
      <c r="J227" s="95"/>
      <c r="K227" s="99"/>
      <c r="L227" s="99"/>
      <c r="M227" s="100"/>
      <c r="N227" s="127"/>
      <c r="O227" s="128"/>
      <c r="P227" s="95"/>
      <c r="Q227" s="137"/>
      <c r="R227" s="129"/>
      <c r="S227" s="95"/>
      <c r="T227" s="95"/>
      <c r="V227" s="107"/>
    </row>
    <row r="228" ht="15.75" customHeight="1">
      <c r="A228" s="89"/>
      <c r="B228" s="182"/>
      <c r="C228" s="149"/>
      <c r="D228" s="95"/>
      <c r="E228" s="149"/>
      <c r="F228" s="149"/>
      <c r="G228" s="95"/>
      <c r="H228" s="149"/>
      <c r="I228" s="95"/>
      <c r="J228" s="95"/>
      <c r="K228" s="113"/>
      <c r="L228" s="113"/>
      <c r="M228" s="100"/>
      <c r="N228" s="127"/>
      <c r="O228" s="128"/>
      <c r="P228" s="95"/>
      <c r="Q228" s="137"/>
      <c r="R228" s="129"/>
      <c r="S228" s="95"/>
      <c r="T228" s="95"/>
      <c r="V228" s="107"/>
    </row>
    <row r="229" ht="15.75" customHeight="1">
      <c r="A229" s="89"/>
      <c r="B229" s="182"/>
      <c r="C229" s="107"/>
      <c r="D229" s="95"/>
      <c r="E229" s="149"/>
      <c r="F229" s="149"/>
      <c r="G229" s="95"/>
      <c r="H229" s="149"/>
      <c r="I229" s="95"/>
      <c r="J229" s="95"/>
      <c r="K229" s="99"/>
      <c r="L229" s="99"/>
      <c r="M229" s="100"/>
      <c r="N229" s="127"/>
      <c r="O229" s="128"/>
      <c r="P229" s="95"/>
      <c r="Q229" s="137"/>
      <c r="R229" s="129"/>
      <c r="S229" s="95"/>
      <c r="T229" s="95"/>
      <c r="V229" s="107"/>
    </row>
    <row r="230" ht="15.75" customHeight="1">
      <c r="A230" s="89"/>
      <c r="B230" s="182"/>
      <c r="C230" s="149"/>
      <c r="D230" s="95"/>
      <c r="E230" s="149"/>
      <c r="F230" s="149"/>
      <c r="G230" s="95"/>
      <c r="H230" s="149"/>
      <c r="I230" s="95"/>
      <c r="J230" s="95"/>
      <c r="K230" s="113"/>
      <c r="L230" s="113"/>
      <c r="M230" s="100"/>
      <c r="N230" s="127"/>
      <c r="O230" s="128"/>
      <c r="P230" s="95"/>
      <c r="Q230" s="137"/>
      <c r="R230" s="129"/>
      <c r="S230" s="95"/>
      <c r="T230" s="95"/>
      <c r="V230" s="107"/>
    </row>
    <row r="231" ht="15.75" customHeight="1">
      <c r="A231" s="89"/>
      <c r="B231" s="182"/>
      <c r="C231" s="149"/>
      <c r="D231" s="95"/>
      <c r="E231" s="149"/>
      <c r="F231" s="149"/>
      <c r="G231" s="95"/>
      <c r="H231" s="149"/>
      <c r="I231" s="95"/>
      <c r="J231" s="95"/>
      <c r="K231" s="99"/>
      <c r="L231" s="99"/>
      <c r="M231" s="100"/>
      <c r="N231" s="127"/>
      <c r="O231" s="128"/>
      <c r="P231" s="95"/>
      <c r="Q231" s="137"/>
      <c r="R231" s="129"/>
      <c r="S231" s="95"/>
      <c r="T231" s="95"/>
      <c r="V231" s="107"/>
    </row>
    <row r="232" ht="15.75" customHeight="1">
      <c r="A232" s="89"/>
      <c r="B232" s="182"/>
      <c r="C232" s="149"/>
      <c r="D232" s="95"/>
      <c r="E232" s="149"/>
      <c r="F232" s="149"/>
      <c r="G232" s="95"/>
      <c r="H232" s="149"/>
      <c r="I232" s="95"/>
      <c r="J232" s="95"/>
      <c r="K232" s="113"/>
      <c r="L232" s="113"/>
      <c r="M232" s="100"/>
      <c r="N232" s="127"/>
      <c r="O232" s="128"/>
      <c r="P232" s="95"/>
      <c r="Q232" s="137"/>
      <c r="R232" s="129"/>
      <c r="S232" s="95"/>
      <c r="T232" s="95"/>
      <c r="V232" s="107"/>
    </row>
    <row r="233" ht="15.75" customHeight="1">
      <c r="A233" s="89"/>
      <c r="B233" s="182"/>
      <c r="C233" s="149"/>
      <c r="D233" s="95"/>
      <c r="E233" s="149"/>
      <c r="F233" s="149"/>
      <c r="G233" s="95"/>
      <c r="H233" s="149"/>
      <c r="I233" s="95"/>
      <c r="J233" s="95"/>
      <c r="K233" s="99"/>
      <c r="L233" s="99"/>
      <c r="M233" s="100"/>
      <c r="N233" s="127"/>
      <c r="O233" s="128"/>
      <c r="P233" s="95"/>
      <c r="Q233" s="137"/>
      <c r="R233" s="129"/>
      <c r="S233" s="95"/>
      <c r="T233" s="95"/>
      <c r="V233" s="107"/>
    </row>
    <row r="234" ht="15.75" customHeight="1">
      <c r="A234" s="89"/>
      <c r="B234" s="182"/>
      <c r="C234" s="149"/>
      <c r="D234" s="95"/>
      <c r="E234" s="149"/>
      <c r="F234" s="149"/>
      <c r="G234" s="95"/>
      <c r="H234" s="149"/>
      <c r="I234" s="95"/>
      <c r="J234" s="95"/>
      <c r="K234" s="113"/>
      <c r="L234" s="113"/>
      <c r="M234" s="100"/>
      <c r="N234" s="127"/>
      <c r="O234" s="128"/>
      <c r="P234" s="95"/>
      <c r="Q234" s="137"/>
      <c r="R234" s="129"/>
      <c r="S234" s="95"/>
      <c r="T234" s="95"/>
      <c r="V234" s="107"/>
    </row>
    <row r="235" ht="15.75" customHeight="1">
      <c r="A235" s="89"/>
      <c r="B235" s="182"/>
      <c r="C235" s="107"/>
      <c r="D235" s="95"/>
      <c r="E235" s="149"/>
      <c r="F235" s="149"/>
      <c r="G235" s="95"/>
      <c r="H235" s="149"/>
      <c r="I235" s="95"/>
      <c r="J235" s="95"/>
      <c r="K235" s="99"/>
      <c r="L235" s="99"/>
      <c r="M235" s="100"/>
      <c r="N235" s="127"/>
      <c r="O235" s="128"/>
      <c r="P235" s="95"/>
      <c r="Q235" s="137"/>
      <c r="R235" s="129"/>
      <c r="S235" s="95"/>
      <c r="T235" s="95"/>
      <c r="V235" s="107"/>
    </row>
    <row r="236" ht="15.75" customHeight="1">
      <c r="A236" s="89"/>
      <c r="B236" s="182"/>
      <c r="C236" s="149"/>
      <c r="D236" s="95"/>
      <c r="E236" s="149"/>
      <c r="F236" s="149"/>
      <c r="G236" s="95"/>
      <c r="H236" s="149"/>
      <c r="I236" s="95"/>
      <c r="J236" s="95"/>
      <c r="K236" s="113"/>
      <c r="L236" s="113"/>
      <c r="M236" s="100"/>
      <c r="N236" s="127"/>
      <c r="O236" s="128"/>
      <c r="P236" s="95"/>
      <c r="Q236" s="137"/>
      <c r="R236" s="129"/>
      <c r="S236" s="95"/>
      <c r="T236" s="95"/>
      <c r="V236" s="107"/>
    </row>
    <row r="237" ht="15.75" customHeight="1">
      <c r="A237" s="89"/>
      <c r="B237" s="182"/>
      <c r="C237" s="149"/>
      <c r="D237" s="95"/>
      <c r="E237" s="149"/>
      <c r="F237" s="149"/>
      <c r="G237" s="95"/>
      <c r="H237" s="149"/>
      <c r="I237" s="95"/>
      <c r="J237" s="95"/>
      <c r="K237" s="99"/>
      <c r="L237" s="99"/>
      <c r="M237" s="100"/>
      <c r="N237" s="127"/>
      <c r="O237" s="128"/>
      <c r="P237" s="95"/>
      <c r="Q237" s="137"/>
      <c r="R237" s="129"/>
      <c r="S237" s="95"/>
      <c r="T237" s="95"/>
      <c r="V237" s="107"/>
    </row>
    <row r="238" ht="15.75" customHeight="1">
      <c r="A238" s="89"/>
      <c r="B238" s="182"/>
      <c r="C238" s="149"/>
      <c r="D238" s="95"/>
      <c r="E238" s="149"/>
      <c r="F238" s="149"/>
      <c r="G238" s="95"/>
      <c r="H238" s="149"/>
      <c r="I238" s="95"/>
      <c r="J238" s="95"/>
      <c r="K238" s="113"/>
      <c r="L238" s="113"/>
      <c r="M238" s="100"/>
      <c r="N238" s="127"/>
      <c r="O238" s="128"/>
      <c r="P238" s="95"/>
      <c r="Q238" s="137"/>
      <c r="R238" s="129"/>
      <c r="S238" s="95"/>
      <c r="T238" s="95"/>
      <c r="V238" s="107"/>
    </row>
    <row r="239" ht="15.75" customHeight="1">
      <c r="A239" s="89"/>
      <c r="B239" s="182"/>
      <c r="C239" s="149"/>
      <c r="D239" s="95"/>
      <c r="E239" s="149"/>
      <c r="F239" s="149"/>
      <c r="G239" s="95"/>
      <c r="H239" s="149"/>
      <c r="I239" s="95"/>
      <c r="J239" s="95"/>
      <c r="K239" s="99"/>
      <c r="L239" s="99"/>
      <c r="M239" s="100"/>
      <c r="N239" s="127"/>
      <c r="O239" s="128"/>
      <c r="P239" s="95"/>
      <c r="Q239" s="137"/>
      <c r="R239" s="129"/>
      <c r="S239" s="95"/>
      <c r="T239" s="95"/>
      <c r="V239" s="107"/>
    </row>
    <row r="240" ht="15.75" customHeight="1">
      <c r="A240" s="89"/>
      <c r="B240" s="182"/>
      <c r="C240" s="149"/>
      <c r="D240" s="95"/>
      <c r="E240" s="149"/>
      <c r="F240" s="149"/>
      <c r="G240" s="95"/>
      <c r="H240" s="149"/>
      <c r="I240" s="95"/>
      <c r="J240" s="95"/>
      <c r="K240" s="113"/>
      <c r="L240" s="113"/>
      <c r="M240" s="100"/>
      <c r="N240" s="127"/>
      <c r="O240" s="128"/>
      <c r="P240" s="95"/>
      <c r="Q240" s="137"/>
      <c r="R240" s="129"/>
      <c r="S240" s="95"/>
      <c r="T240" s="95"/>
      <c r="V240" s="107"/>
    </row>
    <row r="241" ht="15.75" customHeight="1">
      <c r="A241" s="89"/>
      <c r="B241" s="182"/>
      <c r="C241" s="107"/>
      <c r="D241" s="95"/>
      <c r="E241" s="149"/>
      <c r="F241" s="149"/>
      <c r="G241" s="95"/>
      <c r="H241" s="149"/>
      <c r="I241" s="95"/>
      <c r="J241" s="95"/>
      <c r="K241" s="99"/>
      <c r="L241" s="99"/>
      <c r="M241" s="100"/>
      <c r="N241" s="127"/>
      <c r="O241" s="128"/>
      <c r="P241" s="95"/>
      <c r="Q241" s="137"/>
      <c r="R241" s="129"/>
      <c r="S241" s="95"/>
      <c r="T241" s="95"/>
      <c r="V241" s="107"/>
    </row>
    <row r="242" ht="15.75" customHeight="1">
      <c r="A242" s="89"/>
      <c r="B242" s="182"/>
      <c r="C242" s="149"/>
      <c r="D242" s="95"/>
      <c r="E242" s="149"/>
      <c r="F242" s="149"/>
      <c r="G242" s="95"/>
      <c r="H242" s="149"/>
      <c r="I242" s="95"/>
      <c r="J242" s="95"/>
      <c r="K242" s="113"/>
      <c r="L242" s="113"/>
      <c r="M242" s="100"/>
      <c r="N242" s="127"/>
      <c r="O242" s="128"/>
      <c r="P242" s="95"/>
      <c r="Q242" s="137"/>
      <c r="R242" s="129"/>
      <c r="S242" s="95"/>
      <c r="T242" s="95"/>
      <c r="V242" s="107"/>
    </row>
    <row r="243" ht="15.75" customHeight="1">
      <c r="A243" s="89"/>
      <c r="B243" s="182"/>
      <c r="C243" s="149"/>
      <c r="D243" s="95"/>
      <c r="E243" s="149"/>
      <c r="F243" s="149"/>
      <c r="G243" s="95"/>
      <c r="H243" s="149"/>
      <c r="I243" s="95"/>
      <c r="J243" s="95"/>
      <c r="K243" s="99"/>
      <c r="L243" s="99"/>
      <c r="M243" s="100"/>
      <c r="N243" s="127"/>
      <c r="O243" s="128"/>
      <c r="P243" s="95"/>
      <c r="Q243" s="137"/>
      <c r="R243" s="129"/>
      <c r="S243" s="95"/>
      <c r="T243" s="95"/>
      <c r="V243" s="107"/>
    </row>
    <row r="244" ht="15.75" customHeight="1">
      <c r="A244" s="89"/>
      <c r="B244" s="182"/>
      <c r="C244" s="149"/>
      <c r="D244" s="95"/>
      <c r="E244" s="149"/>
      <c r="F244" s="149"/>
      <c r="G244" s="95"/>
      <c r="H244" s="149"/>
      <c r="I244" s="95"/>
      <c r="J244" s="95"/>
      <c r="K244" s="154"/>
      <c r="L244" s="154"/>
      <c r="M244" s="100"/>
      <c r="N244" s="127"/>
      <c r="O244" s="128"/>
      <c r="P244" s="95"/>
      <c r="Q244" s="137"/>
      <c r="R244" s="129"/>
      <c r="S244" s="95"/>
      <c r="T244" s="95"/>
      <c r="V244" s="107"/>
    </row>
    <row r="245" ht="15.75" customHeight="1">
      <c r="A245" s="89"/>
      <c r="B245" s="182"/>
      <c r="C245" s="149"/>
      <c r="D245" s="95"/>
      <c r="E245" s="149"/>
      <c r="F245" s="149"/>
      <c r="G245" s="95"/>
      <c r="H245" s="149"/>
      <c r="I245" s="95"/>
      <c r="J245" s="95"/>
      <c r="K245" s="156"/>
      <c r="L245" s="156"/>
      <c r="M245" s="100"/>
      <c r="N245" s="127"/>
      <c r="O245" s="128"/>
      <c r="P245" s="95"/>
      <c r="Q245" s="137"/>
      <c r="R245" s="129"/>
      <c r="S245" s="95"/>
      <c r="T245" s="95"/>
      <c r="V245" s="107"/>
    </row>
    <row r="246" ht="15.75" customHeight="1">
      <c r="A246" s="89"/>
      <c r="B246" s="182"/>
      <c r="C246" s="149"/>
      <c r="D246" s="95"/>
      <c r="E246" s="149"/>
      <c r="F246" s="149"/>
      <c r="G246" s="95"/>
      <c r="H246" s="149"/>
      <c r="I246" s="95"/>
      <c r="J246" s="95"/>
      <c r="K246" s="154"/>
      <c r="L246" s="154"/>
      <c r="M246" s="100"/>
      <c r="N246" s="127"/>
      <c r="O246" s="128"/>
      <c r="P246" s="95"/>
      <c r="Q246" s="137"/>
      <c r="R246" s="129"/>
      <c r="S246" s="95"/>
      <c r="T246" s="95"/>
      <c r="V246" s="107"/>
    </row>
    <row r="247" ht="15.75" customHeight="1">
      <c r="A247" s="89"/>
      <c r="B247" s="182"/>
      <c r="C247" s="107"/>
      <c r="D247" s="95"/>
      <c r="E247" s="149"/>
      <c r="F247" s="149"/>
      <c r="G247" s="95"/>
      <c r="H247" s="149"/>
      <c r="I247" s="95"/>
      <c r="J247" s="95"/>
      <c r="K247" s="156"/>
      <c r="L247" s="156"/>
      <c r="M247" s="100"/>
      <c r="N247" s="127"/>
      <c r="O247" s="128"/>
      <c r="P247" s="95"/>
      <c r="Q247" s="137"/>
      <c r="R247" s="129"/>
      <c r="S247" s="95"/>
      <c r="T247" s="95"/>
      <c r="V247" s="107"/>
    </row>
    <row r="248" ht="15.75" customHeight="1">
      <c r="A248" s="89"/>
      <c r="B248" s="182"/>
      <c r="C248" s="149"/>
      <c r="D248" s="95"/>
      <c r="E248" s="149"/>
      <c r="F248" s="149"/>
      <c r="G248" s="95"/>
      <c r="H248" s="149"/>
      <c r="I248" s="95"/>
      <c r="J248" s="95"/>
      <c r="K248" s="154"/>
      <c r="L248" s="154"/>
      <c r="M248" s="100"/>
      <c r="N248" s="127"/>
      <c r="O248" s="128"/>
      <c r="P248" s="95"/>
      <c r="Q248" s="137"/>
      <c r="R248" s="129"/>
      <c r="S248" s="95"/>
      <c r="T248" s="95"/>
      <c r="V248" s="107"/>
    </row>
    <row r="249" ht="15.75" customHeight="1">
      <c r="A249" s="89"/>
      <c r="B249" s="182"/>
      <c r="C249" s="149"/>
      <c r="D249" s="95"/>
      <c r="E249" s="149"/>
      <c r="F249" s="149"/>
      <c r="G249" s="95"/>
      <c r="H249" s="149"/>
      <c r="I249" s="95"/>
      <c r="J249" s="95"/>
      <c r="K249" s="156"/>
      <c r="L249" s="156"/>
      <c r="M249" s="100"/>
      <c r="N249" s="127"/>
      <c r="O249" s="128"/>
      <c r="P249" s="95"/>
      <c r="Q249" s="137"/>
      <c r="R249" s="129"/>
      <c r="S249" s="95"/>
      <c r="T249" s="95"/>
      <c r="V249" s="107"/>
    </row>
    <row r="250" ht="15.75" customHeight="1">
      <c r="A250" s="89"/>
      <c r="B250" s="182"/>
      <c r="C250" s="149"/>
      <c r="D250" s="95"/>
      <c r="E250" s="149"/>
      <c r="F250" s="149"/>
      <c r="G250" s="95"/>
      <c r="H250" s="149"/>
      <c r="I250" s="95"/>
      <c r="J250" s="95"/>
      <c r="K250" s="154"/>
      <c r="L250" s="154"/>
      <c r="M250" s="100"/>
      <c r="N250" s="127"/>
      <c r="O250" s="128"/>
      <c r="P250" s="95"/>
      <c r="Q250" s="137"/>
      <c r="R250" s="129"/>
      <c r="S250" s="95"/>
      <c r="T250" s="95"/>
      <c r="V250" s="107"/>
    </row>
    <row r="251" ht="15.75" customHeight="1">
      <c r="A251" s="89"/>
      <c r="B251" s="182"/>
      <c r="C251" s="149"/>
      <c r="D251" s="95"/>
      <c r="E251" s="149"/>
      <c r="F251" s="149"/>
      <c r="G251" s="95"/>
      <c r="H251" s="149"/>
      <c r="I251" s="95"/>
      <c r="J251" s="95"/>
      <c r="K251" s="156"/>
      <c r="L251" s="156"/>
      <c r="M251" s="100"/>
      <c r="N251" s="127"/>
      <c r="O251" s="128"/>
      <c r="P251" s="95"/>
      <c r="Q251" s="137"/>
      <c r="R251" s="129"/>
      <c r="S251" s="95"/>
      <c r="T251" s="95"/>
      <c r="V251" s="107"/>
    </row>
    <row r="252" ht="15.75" customHeight="1">
      <c r="A252" s="89"/>
      <c r="B252" s="182"/>
      <c r="C252" s="149"/>
      <c r="D252" s="95"/>
      <c r="E252" s="149"/>
      <c r="F252" s="149"/>
      <c r="G252" s="95"/>
      <c r="H252" s="149"/>
      <c r="I252" s="95"/>
      <c r="J252" s="95"/>
      <c r="K252" s="154"/>
      <c r="L252" s="154"/>
      <c r="M252" s="100"/>
      <c r="N252" s="127"/>
      <c r="O252" s="128"/>
      <c r="P252" s="95"/>
      <c r="Q252" s="137"/>
      <c r="R252" s="129"/>
      <c r="S252" s="95"/>
      <c r="T252" s="95"/>
      <c r="V252" s="107"/>
    </row>
    <row r="253" ht="15.75" customHeight="1">
      <c r="A253" s="89"/>
      <c r="B253" s="182"/>
      <c r="C253" s="107"/>
      <c r="D253" s="95"/>
      <c r="E253" s="149"/>
      <c r="F253" s="149"/>
      <c r="G253" s="95"/>
      <c r="H253" s="149"/>
      <c r="I253" s="95"/>
      <c r="J253" s="95"/>
      <c r="K253" s="156"/>
      <c r="L253" s="156"/>
      <c r="M253" s="100"/>
      <c r="N253" s="127"/>
      <c r="O253" s="128"/>
      <c r="P253" s="95"/>
      <c r="Q253" s="137"/>
      <c r="R253" s="129"/>
      <c r="S253" s="95"/>
      <c r="T253" s="95"/>
      <c r="V253" s="107"/>
    </row>
    <row r="254" ht="15.75" customHeight="1">
      <c r="A254" s="89"/>
      <c r="B254" s="182"/>
      <c r="C254" s="149"/>
      <c r="D254" s="95"/>
      <c r="E254" s="149"/>
      <c r="F254" s="149"/>
      <c r="G254" s="95"/>
      <c r="H254" s="149"/>
      <c r="I254" s="95"/>
      <c r="J254" s="95"/>
      <c r="K254" s="154"/>
      <c r="L254" s="154"/>
      <c r="M254" s="100"/>
      <c r="N254" s="127"/>
      <c r="O254" s="128"/>
      <c r="P254" s="95"/>
      <c r="Q254" s="137"/>
      <c r="R254" s="129"/>
      <c r="S254" s="95"/>
      <c r="T254" s="95"/>
      <c r="V254" s="107"/>
    </row>
    <row r="255" ht="15.75" customHeight="1">
      <c r="A255" s="89"/>
      <c r="B255" s="182"/>
      <c r="C255" s="149"/>
      <c r="D255" s="95"/>
      <c r="E255" s="149"/>
      <c r="F255" s="149"/>
      <c r="G255" s="95"/>
      <c r="H255" s="149"/>
      <c r="I255" s="95"/>
      <c r="J255" s="95"/>
      <c r="K255" s="156"/>
      <c r="L255" s="156"/>
      <c r="M255" s="100"/>
      <c r="N255" s="127"/>
      <c r="O255" s="128"/>
      <c r="P255" s="95"/>
      <c r="Q255" s="137"/>
      <c r="R255" s="129"/>
      <c r="S255" s="95"/>
      <c r="T255" s="95"/>
      <c r="V255" s="107"/>
    </row>
    <row r="256" ht="15.75" customHeight="1">
      <c r="A256" s="89"/>
      <c r="B256" s="182"/>
      <c r="C256" s="149"/>
      <c r="D256" s="95"/>
      <c r="E256" s="149"/>
      <c r="F256" s="149"/>
      <c r="G256" s="95"/>
      <c r="H256" s="149"/>
      <c r="I256" s="95"/>
      <c r="J256" s="95"/>
      <c r="K256" s="154"/>
      <c r="L256" s="154"/>
      <c r="M256" s="100"/>
      <c r="N256" s="127"/>
      <c r="O256" s="128"/>
      <c r="P256" s="95"/>
      <c r="Q256" s="137"/>
      <c r="R256" s="129"/>
      <c r="S256" s="95"/>
      <c r="T256" s="95"/>
      <c r="V256" s="107"/>
    </row>
    <row r="257" ht="15.75" customHeight="1">
      <c r="A257" s="89"/>
      <c r="B257" s="182"/>
      <c r="C257" s="149"/>
      <c r="D257" s="95"/>
      <c r="E257" s="149"/>
      <c r="F257" s="149"/>
      <c r="G257" s="95"/>
      <c r="H257" s="149"/>
      <c r="I257" s="95"/>
      <c r="J257" s="95"/>
      <c r="K257" s="156"/>
      <c r="L257" s="156"/>
      <c r="M257" s="100"/>
      <c r="N257" s="127"/>
      <c r="O257" s="128"/>
      <c r="P257" s="95"/>
      <c r="Q257" s="137"/>
      <c r="R257" s="129"/>
      <c r="S257" s="95"/>
      <c r="T257" s="95"/>
      <c r="V257" s="107"/>
    </row>
    <row r="258" ht="15.75" customHeight="1">
      <c r="A258" s="89"/>
      <c r="B258" s="182"/>
      <c r="C258" s="149"/>
      <c r="D258" s="95"/>
      <c r="E258" s="149"/>
      <c r="F258" s="149"/>
      <c r="G258" s="95"/>
      <c r="H258" s="149"/>
      <c r="I258" s="95"/>
      <c r="J258" s="95"/>
      <c r="K258" s="154"/>
      <c r="L258" s="154"/>
      <c r="M258" s="100"/>
      <c r="N258" s="127"/>
      <c r="O258" s="128"/>
      <c r="P258" s="95"/>
      <c r="Q258" s="137"/>
      <c r="R258" s="129"/>
      <c r="S258" s="95"/>
      <c r="T258" s="95"/>
      <c r="V258" s="107"/>
    </row>
    <row r="259" ht="15.75" customHeight="1">
      <c r="A259" s="89"/>
      <c r="B259" s="182"/>
      <c r="C259" s="107"/>
      <c r="D259" s="95"/>
      <c r="E259" s="149"/>
      <c r="F259" s="149"/>
      <c r="G259" s="95"/>
      <c r="H259" s="149"/>
      <c r="I259" s="95"/>
      <c r="J259" s="95"/>
      <c r="K259" s="156"/>
      <c r="L259" s="156"/>
      <c r="M259" s="100"/>
      <c r="N259" s="127"/>
      <c r="O259" s="128"/>
      <c r="P259" s="95"/>
      <c r="Q259" s="137"/>
      <c r="R259" s="129"/>
      <c r="S259" s="95"/>
      <c r="T259" s="95"/>
      <c r="V259" s="107"/>
    </row>
    <row r="260" ht="15.75" customHeight="1">
      <c r="A260" s="89"/>
      <c r="B260" s="182"/>
      <c r="C260" s="149"/>
      <c r="D260" s="95"/>
      <c r="E260" s="149"/>
      <c r="F260" s="149"/>
      <c r="G260" s="95"/>
      <c r="H260" s="149"/>
      <c r="I260" s="95"/>
      <c r="J260" s="95"/>
      <c r="K260" s="154"/>
      <c r="L260" s="154"/>
      <c r="M260" s="100"/>
      <c r="N260" s="127"/>
      <c r="O260" s="128"/>
      <c r="P260" s="95"/>
      <c r="Q260" s="137"/>
      <c r="R260" s="129"/>
      <c r="S260" s="95"/>
      <c r="T260" s="95"/>
      <c r="V260" s="107"/>
    </row>
    <row r="261" ht="15.75" customHeight="1">
      <c r="A261" s="89"/>
      <c r="B261" s="182"/>
      <c r="C261" s="149"/>
      <c r="D261" s="95"/>
      <c r="E261" s="149"/>
      <c r="F261" s="149"/>
      <c r="G261" s="95"/>
      <c r="H261" s="149"/>
      <c r="I261" s="95"/>
      <c r="J261" s="95"/>
      <c r="K261" s="156"/>
      <c r="L261" s="156"/>
      <c r="M261" s="100"/>
      <c r="N261" s="127"/>
      <c r="O261" s="128"/>
      <c r="P261" s="95"/>
      <c r="Q261" s="137"/>
      <c r="R261" s="129"/>
      <c r="S261" s="95"/>
      <c r="T261" s="95"/>
      <c r="V261" s="107"/>
    </row>
    <row r="262" ht="15.75" customHeight="1">
      <c r="A262" s="89"/>
      <c r="B262" s="182"/>
      <c r="C262" s="149"/>
      <c r="D262" s="95"/>
      <c r="E262" s="149"/>
      <c r="F262" s="149"/>
      <c r="G262" s="95"/>
      <c r="H262" s="149"/>
      <c r="I262" s="95"/>
      <c r="J262" s="95"/>
      <c r="K262" s="154"/>
      <c r="L262" s="154"/>
      <c r="M262" s="100"/>
      <c r="N262" s="127"/>
      <c r="O262" s="128"/>
      <c r="P262" s="95"/>
      <c r="Q262" s="137"/>
      <c r="R262" s="129"/>
      <c r="S262" s="95"/>
      <c r="T262" s="95"/>
      <c r="V262" s="107"/>
    </row>
    <row r="263" ht="15.75" customHeight="1">
      <c r="A263" s="89"/>
      <c r="B263" s="182"/>
      <c r="C263" s="149"/>
      <c r="D263" s="95"/>
      <c r="E263" s="149"/>
      <c r="F263" s="149"/>
      <c r="G263" s="95"/>
      <c r="H263" s="149"/>
      <c r="I263" s="95"/>
      <c r="J263" s="95"/>
      <c r="K263" s="156"/>
      <c r="L263" s="156"/>
      <c r="M263" s="100"/>
      <c r="N263" s="127"/>
      <c r="O263" s="128"/>
      <c r="P263" s="95"/>
      <c r="Q263" s="137"/>
      <c r="R263" s="129"/>
      <c r="S263" s="95"/>
      <c r="T263" s="95"/>
      <c r="V263" s="107"/>
    </row>
    <row r="264" ht="15.75" customHeight="1">
      <c r="A264" s="89"/>
      <c r="B264" s="182"/>
      <c r="C264" s="149"/>
      <c r="D264" s="95"/>
      <c r="E264" s="149"/>
      <c r="F264" s="149"/>
      <c r="G264" s="95"/>
      <c r="H264" s="149"/>
      <c r="I264" s="95"/>
      <c r="J264" s="95"/>
      <c r="K264" s="154"/>
      <c r="L264" s="154"/>
      <c r="M264" s="100"/>
      <c r="N264" s="127"/>
      <c r="O264" s="128"/>
      <c r="P264" s="95"/>
      <c r="Q264" s="137"/>
      <c r="R264" s="129"/>
      <c r="S264" s="95"/>
      <c r="T264" s="95"/>
      <c r="V264" s="107"/>
    </row>
    <row r="265" ht="15.75" customHeight="1">
      <c r="A265" s="89"/>
      <c r="B265" s="182"/>
      <c r="C265" s="107"/>
      <c r="D265" s="95"/>
      <c r="E265" s="149"/>
      <c r="F265" s="149"/>
      <c r="G265" s="95"/>
      <c r="H265" s="149"/>
      <c r="I265" s="95"/>
      <c r="J265" s="95"/>
      <c r="K265" s="156"/>
      <c r="L265" s="156"/>
      <c r="M265" s="100"/>
      <c r="N265" s="127"/>
      <c r="O265" s="128"/>
      <c r="P265" s="95"/>
      <c r="Q265" s="137"/>
      <c r="R265" s="129"/>
      <c r="S265" s="95"/>
      <c r="T265" s="95"/>
      <c r="V265" s="107"/>
    </row>
    <row r="266" ht="15.75" customHeight="1">
      <c r="A266" s="89"/>
      <c r="B266" s="182"/>
      <c r="C266" s="149"/>
      <c r="D266" s="95"/>
      <c r="E266" s="149"/>
      <c r="F266" s="149"/>
      <c r="G266" s="95"/>
      <c r="H266" s="149"/>
      <c r="I266" s="95"/>
      <c r="J266" s="95"/>
      <c r="K266" s="154"/>
      <c r="L266" s="154"/>
      <c r="M266" s="100"/>
      <c r="N266" s="127"/>
      <c r="O266" s="128"/>
      <c r="P266" s="95"/>
      <c r="Q266" s="137"/>
      <c r="R266" s="129"/>
      <c r="S266" s="95"/>
      <c r="T266" s="95"/>
      <c r="V266" s="107"/>
    </row>
    <row r="267" ht="15.75" customHeight="1">
      <c r="A267" s="89"/>
      <c r="B267" s="182"/>
      <c r="C267" s="149"/>
      <c r="D267" s="95"/>
      <c r="E267" s="149"/>
      <c r="F267" s="149"/>
      <c r="G267" s="95"/>
      <c r="H267" s="149"/>
      <c r="I267" s="95"/>
      <c r="J267" s="95"/>
      <c r="K267" s="156"/>
      <c r="L267" s="156"/>
      <c r="M267" s="100"/>
      <c r="N267" s="127"/>
      <c r="O267" s="128"/>
      <c r="P267" s="95"/>
      <c r="Q267" s="137"/>
      <c r="R267" s="129"/>
      <c r="S267" s="95"/>
      <c r="T267" s="95"/>
      <c r="V267" s="107"/>
    </row>
    <row r="268" ht="15.75" customHeight="1">
      <c r="A268" s="89"/>
      <c r="B268" s="182"/>
      <c r="C268" s="149"/>
      <c r="D268" s="95"/>
      <c r="E268" s="149"/>
      <c r="F268" s="149"/>
      <c r="G268" s="95"/>
      <c r="H268" s="149"/>
      <c r="I268" s="95"/>
      <c r="J268" s="95"/>
      <c r="K268" s="154"/>
      <c r="L268" s="154"/>
      <c r="M268" s="100"/>
      <c r="N268" s="127"/>
      <c r="O268" s="128"/>
      <c r="P268" s="95"/>
      <c r="Q268" s="137"/>
      <c r="R268" s="129"/>
      <c r="S268" s="95"/>
      <c r="T268" s="95"/>
      <c r="V268" s="107"/>
    </row>
    <row r="269" ht="15.75" customHeight="1">
      <c r="A269" s="89"/>
      <c r="B269" s="182"/>
      <c r="C269" s="149"/>
      <c r="D269" s="95"/>
      <c r="E269" s="149"/>
      <c r="F269" s="149"/>
      <c r="G269" s="95"/>
      <c r="H269" s="149"/>
      <c r="I269" s="95"/>
      <c r="J269" s="95"/>
      <c r="K269" s="156"/>
      <c r="L269" s="156"/>
      <c r="M269" s="100"/>
      <c r="N269" s="127"/>
      <c r="O269" s="128"/>
      <c r="P269" s="95"/>
      <c r="Q269" s="137"/>
      <c r="R269" s="129"/>
      <c r="S269" s="95"/>
      <c r="T269" s="95"/>
      <c r="V269" s="107"/>
    </row>
    <row r="270" ht="15.75" customHeight="1">
      <c r="A270" s="89"/>
      <c r="B270" s="182"/>
      <c r="C270" s="149"/>
      <c r="D270" s="95"/>
      <c r="E270" s="149"/>
      <c r="F270" s="149"/>
      <c r="G270" s="95"/>
      <c r="H270" s="149"/>
      <c r="I270" s="95"/>
      <c r="J270" s="95"/>
      <c r="K270" s="154"/>
      <c r="L270" s="154"/>
      <c r="M270" s="100"/>
      <c r="N270" s="127"/>
      <c r="O270" s="128"/>
      <c r="P270" s="95"/>
      <c r="Q270" s="137"/>
      <c r="R270" s="129"/>
      <c r="S270" s="95"/>
      <c r="T270" s="95"/>
      <c r="V270" s="107"/>
    </row>
    <row r="271" ht="15.75" customHeight="1">
      <c r="A271" s="89"/>
      <c r="B271" s="182"/>
      <c r="C271" s="107"/>
      <c r="D271" s="95"/>
      <c r="E271" s="149"/>
      <c r="F271" s="149"/>
      <c r="G271" s="95"/>
      <c r="H271" s="149"/>
      <c r="I271" s="95"/>
      <c r="J271" s="95"/>
      <c r="K271" s="156"/>
      <c r="L271" s="156"/>
      <c r="M271" s="100"/>
      <c r="N271" s="127"/>
      <c r="O271" s="128"/>
      <c r="P271" s="95"/>
      <c r="Q271" s="137"/>
      <c r="R271" s="129"/>
      <c r="S271" s="95"/>
      <c r="T271" s="95"/>
      <c r="V271" s="107"/>
    </row>
    <row r="272" ht="15.75" customHeight="1">
      <c r="A272" s="89"/>
      <c r="B272" s="182"/>
      <c r="C272" s="149"/>
      <c r="D272" s="95"/>
      <c r="E272" s="149"/>
      <c r="F272" s="149"/>
      <c r="G272" s="95"/>
      <c r="H272" s="149"/>
      <c r="I272" s="95"/>
      <c r="J272" s="95"/>
      <c r="K272" s="154"/>
      <c r="L272" s="154"/>
      <c r="M272" s="100"/>
      <c r="N272" s="127"/>
      <c r="O272" s="128"/>
      <c r="P272" s="95"/>
      <c r="Q272" s="137"/>
      <c r="R272" s="129"/>
      <c r="S272" s="95"/>
      <c r="T272" s="95"/>
      <c r="V272" s="107"/>
    </row>
    <row r="273" ht="15.75" customHeight="1">
      <c r="A273" s="89"/>
      <c r="B273" s="182"/>
      <c r="C273" s="149"/>
      <c r="D273" s="95"/>
      <c r="E273" s="149"/>
      <c r="F273" s="149"/>
      <c r="G273" s="95"/>
      <c r="H273" s="149"/>
      <c r="I273" s="95"/>
      <c r="J273" s="95"/>
      <c r="K273" s="156"/>
      <c r="L273" s="156"/>
      <c r="M273" s="100"/>
      <c r="N273" s="127"/>
      <c r="O273" s="128"/>
      <c r="P273" s="95"/>
      <c r="Q273" s="137"/>
      <c r="R273" s="129"/>
      <c r="S273" s="95"/>
      <c r="T273" s="95"/>
      <c r="V273" s="107"/>
    </row>
    <row r="274" ht="15.75" customHeight="1">
      <c r="A274" s="89"/>
      <c r="B274" s="182"/>
      <c r="C274" s="149"/>
      <c r="D274" s="95"/>
      <c r="E274" s="149"/>
      <c r="F274" s="149"/>
      <c r="G274" s="95"/>
      <c r="H274" s="149"/>
      <c r="I274" s="95"/>
      <c r="J274" s="95"/>
      <c r="K274" s="154"/>
      <c r="L274" s="154"/>
      <c r="M274" s="100"/>
      <c r="N274" s="127"/>
      <c r="O274" s="128"/>
      <c r="P274" s="95"/>
      <c r="Q274" s="137"/>
      <c r="R274" s="129"/>
      <c r="S274" s="95"/>
      <c r="T274" s="95"/>
      <c r="V274" s="107"/>
    </row>
    <row r="275" ht="15.75" customHeight="1">
      <c r="A275" s="89"/>
      <c r="B275" s="182"/>
      <c r="C275" s="149"/>
      <c r="D275" s="95"/>
      <c r="E275" s="149"/>
      <c r="F275" s="149"/>
      <c r="G275" s="95"/>
      <c r="H275" s="149"/>
      <c r="I275" s="95"/>
      <c r="J275" s="95"/>
      <c r="K275" s="156"/>
      <c r="L275" s="156"/>
      <c r="M275" s="100"/>
      <c r="N275" s="127"/>
      <c r="O275" s="128"/>
      <c r="P275" s="95"/>
      <c r="Q275" s="137"/>
      <c r="R275" s="129"/>
      <c r="S275" s="95"/>
      <c r="T275" s="95"/>
      <c r="V275" s="107"/>
    </row>
    <row r="276" ht="15.75" customHeight="1">
      <c r="A276" s="89"/>
      <c r="B276" s="182"/>
      <c r="C276" s="149"/>
      <c r="D276" s="95"/>
      <c r="E276" s="149"/>
      <c r="F276" s="149"/>
      <c r="G276" s="95"/>
      <c r="H276" s="149"/>
      <c r="I276" s="95"/>
      <c r="J276" s="95"/>
      <c r="K276" s="154"/>
      <c r="L276" s="154"/>
      <c r="M276" s="100"/>
      <c r="N276" s="127"/>
      <c r="O276" s="128"/>
      <c r="P276" s="95"/>
      <c r="Q276" s="137"/>
      <c r="R276" s="129"/>
      <c r="S276" s="95"/>
      <c r="T276" s="95"/>
      <c r="V276" s="107"/>
    </row>
    <row r="277" ht="15.75" customHeight="1">
      <c r="A277" s="89"/>
      <c r="B277" s="182"/>
      <c r="C277" s="107"/>
      <c r="D277" s="95"/>
      <c r="E277" s="149"/>
      <c r="F277" s="149"/>
      <c r="G277" s="95"/>
      <c r="H277" s="149"/>
      <c r="I277" s="95"/>
      <c r="J277" s="95"/>
      <c r="K277" s="156"/>
      <c r="L277" s="156"/>
      <c r="M277" s="100"/>
      <c r="N277" s="127"/>
      <c r="O277" s="128"/>
      <c r="P277" s="95"/>
      <c r="Q277" s="137"/>
      <c r="R277" s="129"/>
      <c r="S277" s="95"/>
      <c r="T277" s="95"/>
      <c r="V277" s="107"/>
    </row>
    <row r="278" ht="15.75" customHeight="1">
      <c r="A278" s="89"/>
      <c r="B278" s="182"/>
      <c r="C278" s="149"/>
      <c r="D278" s="95"/>
      <c r="E278" s="149"/>
      <c r="F278" s="149"/>
      <c r="G278" s="95"/>
      <c r="H278" s="149"/>
      <c r="I278" s="95"/>
      <c r="J278" s="95"/>
      <c r="K278" s="154"/>
      <c r="L278" s="154"/>
      <c r="M278" s="100"/>
      <c r="N278" s="127"/>
      <c r="O278" s="128"/>
      <c r="P278" s="95"/>
      <c r="Q278" s="137"/>
      <c r="R278" s="129"/>
      <c r="S278" s="95"/>
      <c r="T278" s="95"/>
      <c r="V278" s="107"/>
    </row>
    <row r="279" ht="15.75" customHeight="1">
      <c r="A279" s="89"/>
      <c r="B279" s="182"/>
      <c r="C279" s="149"/>
      <c r="D279" s="95"/>
      <c r="E279" s="149"/>
      <c r="F279" s="149"/>
      <c r="G279" s="95"/>
      <c r="H279" s="149"/>
      <c r="I279" s="95"/>
      <c r="J279" s="95"/>
      <c r="K279" s="156"/>
      <c r="L279" s="156"/>
      <c r="M279" s="100"/>
      <c r="N279" s="127"/>
      <c r="O279" s="128"/>
      <c r="P279" s="95"/>
      <c r="Q279" s="137"/>
      <c r="R279" s="129"/>
      <c r="S279" s="95"/>
      <c r="T279" s="95"/>
      <c r="V279" s="107"/>
    </row>
    <row r="280" ht="15.75" customHeight="1">
      <c r="A280" s="89"/>
      <c r="B280" s="182"/>
      <c r="C280" s="149"/>
      <c r="D280" s="95"/>
      <c r="E280" s="149"/>
      <c r="F280" s="149"/>
      <c r="G280" s="95"/>
      <c r="H280" s="149"/>
      <c r="I280" s="95"/>
      <c r="J280" s="95"/>
      <c r="K280" s="154"/>
      <c r="L280" s="154"/>
      <c r="M280" s="100"/>
      <c r="N280" s="127"/>
      <c r="O280" s="128"/>
      <c r="P280" s="95"/>
      <c r="Q280" s="137"/>
      <c r="R280" s="129"/>
      <c r="S280" s="95"/>
      <c r="T280" s="95"/>
      <c r="V280" s="107"/>
    </row>
    <row r="281" ht="15.75" customHeight="1">
      <c r="A281" s="89"/>
      <c r="B281" s="182"/>
      <c r="C281" s="149"/>
      <c r="D281" s="95"/>
      <c r="E281" s="149"/>
      <c r="F281" s="149"/>
      <c r="G281" s="95"/>
      <c r="H281" s="149"/>
      <c r="I281" s="95"/>
      <c r="J281" s="95"/>
      <c r="K281" s="156"/>
      <c r="L281" s="156"/>
      <c r="M281" s="100"/>
      <c r="N281" s="127"/>
      <c r="O281" s="128"/>
      <c r="P281" s="95"/>
      <c r="Q281" s="137"/>
      <c r="R281" s="129"/>
      <c r="S281" s="95"/>
      <c r="T281" s="95"/>
      <c r="V281" s="107"/>
    </row>
    <row r="282" ht="15.75" customHeight="1">
      <c r="A282" s="89"/>
      <c r="B282" s="182"/>
      <c r="C282" s="149"/>
      <c r="D282" s="95"/>
      <c r="E282" s="149"/>
      <c r="F282" s="149"/>
      <c r="G282" s="95"/>
      <c r="H282" s="149"/>
      <c r="I282" s="95"/>
      <c r="J282" s="95"/>
      <c r="K282" s="154"/>
      <c r="L282" s="154"/>
      <c r="M282" s="100"/>
      <c r="N282" s="127"/>
      <c r="O282" s="128"/>
      <c r="P282" s="95"/>
      <c r="Q282" s="137"/>
      <c r="R282" s="129"/>
      <c r="S282" s="95"/>
      <c r="T282" s="95"/>
      <c r="V282" s="107"/>
    </row>
    <row r="283" ht="15.75" customHeight="1">
      <c r="A283" s="89"/>
      <c r="B283" s="182"/>
      <c r="C283" s="107"/>
      <c r="D283" s="95"/>
      <c r="E283" s="149"/>
      <c r="F283" s="149"/>
      <c r="G283" s="95"/>
      <c r="H283" s="149"/>
      <c r="I283" s="95"/>
      <c r="J283" s="95"/>
      <c r="K283" s="156"/>
      <c r="L283" s="156"/>
      <c r="M283" s="100"/>
      <c r="N283" s="127"/>
      <c r="O283" s="128"/>
      <c r="P283" s="95"/>
      <c r="Q283" s="137"/>
      <c r="R283" s="129"/>
      <c r="S283" s="95"/>
      <c r="T283" s="95"/>
      <c r="V283" s="107"/>
    </row>
    <row r="284" ht="15.75" customHeight="1">
      <c r="A284" s="89"/>
      <c r="B284" s="182"/>
      <c r="C284" s="149"/>
      <c r="D284" s="95"/>
      <c r="E284" s="149"/>
      <c r="F284" s="149"/>
      <c r="G284" s="95"/>
      <c r="H284" s="149"/>
      <c r="I284" s="95"/>
      <c r="J284" s="95"/>
      <c r="K284" s="154"/>
      <c r="L284" s="154"/>
      <c r="M284" s="100"/>
      <c r="N284" s="127"/>
      <c r="O284" s="128"/>
      <c r="P284" s="95"/>
      <c r="Q284" s="137"/>
      <c r="R284" s="129"/>
      <c r="S284" s="95"/>
      <c r="T284" s="95"/>
      <c r="V284" s="107"/>
    </row>
    <row r="285" ht="15.75" customHeight="1">
      <c r="A285" s="89"/>
      <c r="B285" s="182"/>
      <c r="C285" s="149"/>
      <c r="D285" s="95"/>
      <c r="E285" s="149"/>
      <c r="F285" s="149"/>
      <c r="G285" s="95"/>
      <c r="H285" s="149"/>
      <c r="I285" s="95"/>
      <c r="J285" s="95"/>
      <c r="K285" s="156"/>
      <c r="L285" s="156"/>
      <c r="M285" s="100"/>
      <c r="N285" s="127"/>
      <c r="O285" s="128"/>
      <c r="P285" s="95"/>
      <c r="Q285" s="137"/>
      <c r="R285" s="129"/>
      <c r="S285" s="95"/>
      <c r="T285" s="95"/>
      <c r="V285" s="107"/>
    </row>
    <row r="286" ht="15.75" customHeight="1">
      <c r="A286" s="89"/>
      <c r="B286" s="182"/>
      <c r="C286" s="149"/>
      <c r="D286" s="95"/>
      <c r="E286" s="149"/>
      <c r="F286" s="149"/>
      <c r="G286" s="95"/>
      <c r="H286" s="149"/>
      <c r="I286" s="95"/>
      <c r="J286" s="95"/>
      <c r="K286" s="154"/>
      <c r="L286" s="154"/>
      <c r="M286" s="100"/>
      <c r="N286" s="127"/>
      <c r="O286" s="128"/>
      <c r="P286" s="95"/>
      <c r="Q286" s="137"/>
      <c r="R286" s="129"/>
      <c r="S286" s="95"/>
      <c r="T286" s="95"/>
      <c r="V286" s="107"/>
    </row>
    <row r="287" ht="15.75" customHeight="1">
      <c r="A287" s="89"/>
      <c r="B287" s="182"/>
      <c r="C287" s="149"/>
      <c r="D287" s="95"/>
      <c r="E287" s="149"/>
      <c r="F287" s="149"/>
      <c r="G287" s="95"/>
      <c r="H287" s="149"/>
      <c r="I287" s="95"/>
      <c r="J287" s="95"/>
      <c r="K287" s="156"/>
      <c r="L287" s="156"/>
      <c r="M287" s="100"/>
      <c r="N287" s="127"/>
      <c r="O287" s="128"/>
      <c r="P287" s="95"/>
      <c r="Q287" s="137"/>
      <c r="R287" s="129"/>
      <c r="S287" s="95"/>
      <c r="T287" s="95"/>
      <c r="V287" s="107"/>
    </row>
    <row r="288" ht="15.75" customHeight="1">
      <c r="A288" s="89"/>
      <c r="B288" s="182"/>
      <c r="C288" s="149"/>
      <c r="D288" s="95"/>
      <c r="E288" s="149"/>
      <c r="F288" s="149"/>
      <c r="G288" s="95"/>
      <c r="H288" s="149"/>
      <c r="I288" s="95"/>
      <c r="J288" s="95"/>
      <c r="K288" s="154"/>
      <c r="L288" s="154"/>
      <c r="M288" s="100"/>
      <c r="N288" s="127"/>
      <c r="O288" s="128"/>
      <c r="P288" s="95"/>
      <c r="Q288" s="137"/>
      <c r="R288" s="129"/>
      <c r="S288" s="95"/>
      <c r="T288" s="95"/>
      <c r="V288" s="107"/>
    </row>
    <row r="289" ht="15.75" customHeight="1">
      <c r="A289" s="89"/>
      <c r="B289" s="182"/>
      <c r="C289" s="107"/>
      <c r="D289" s="95"/>
      <c r="E289" s="149"/>
      <c r="F289" s="149"/>
      <c r="G289" s="95"/>
      <c r="H289" s="149"/>
      <c r="I289" s="95"/>
      <c r="J289" s="95"/>
      <c r="K289" s="156"/>
      <c r="L289" s="156"/>
      <c r="M289" s="100"/>
      <c r="N289" s="127"/>
      <c r="O289" s="128"/>
      <c r="P289" s="95"/>
      <c r="Q289" s="137"/>
      <c r="R289" s="129"/>
      <c r="S289" s="95"/>
      <c r="T289" s="95"/>
      <c r="V289" s="107"/>
    </row>
    <row r="290" ht="15.75" customHeight="1">
      <c r="A290" s="89"/>
      <c r="B290" s="182"/>
      <c r="C290" s="149"/>
      <c r="D290" s="95"/>
      <c r="E290" s="149"/>
      <c r="F290" s="149"/>
      <c r="G290" s="95"/>
      <c r="H290" s="149"/>
      <c r="I290" s="95"/>
      <c r="J290" s="95"/>
      <c r="K290" s="154"/>
      <c r="L290" s="154"/>
      <c r="M290" s="100"/>
      <c r="N290" s="127"/>
      <c r="O290" s="128"/>
      <c r="P290" s="95"/>
      <c r="Q290" s="137"/>
      <c r="R290" s="129"/>
      <c r="S290" s="95"/>
      <c r="T290" s="95"/>
      <c r="V290" s="107"/>
    </row>
    <row r="291" ht="15.75" customHeight="1">
      <c r="A291" s="89"/>
      <c r="B291" s="182"/>
      <c r="C291" s="149"/>
      <c r="D291" s="95"/>
      <c r="E291" s="149"/>
      <c r="F291" s="149"/>
      <c r="G291" s="95"/>
      <c r="H291" s="149"/>
      <c r="I291" s="95"/>
      <c r="J291" s="95"/>
      <c r="K291" s="156"/>
      <c r="L291" s="156"/>
      <c r="M291" s="100"/>
      <c r="N291" s="127"/>
      <c r="O291" s="128"/>
      <c r="P291" s="95"/>
      <c r="Q291" s="137"/>
      <c r="R291" s="129"/>
      <c r="S291" s="95"/>
      <c r="T291" s="95"/>
      <c r="V291" s="107"/>
    </row>
    <row r="292" ht="15.75" customHeight="1">
      <c r="A292" s="89"/>
      <c r="B292" s="182"/>
      <c r="C292" s="149"/>
      <c r="D292" s="95"/>
      <c r="E292" s="149"/>
      <c r="F292" s="149"/>
      <c r="G292" s="95"/>
      <c r="H292" s="149"/>
      <c r="I292" s="95"/>
      <c r="J292" s="95"/>
      <c r="K292" s="154"/>
      <c r="L292" s="154"/>
      <c r="M292" s="100"/>
      <c r="N292" s="127"/>
      <c r="O292" s="128"/>
      <c r="P292" s="95"/>
      <c r="Q292" s="137"/>
      <c r="R292" s="129"/>
      <c r="S292" s="95"/>
      <c r="T292" s="95"/>
      <c r="V292" s="107"/>
    </row>
    <row r="293" ht="15.75" customHeight="1">
      <c r="A293" s="89"/>
      <c r="B293" s="182"/>
      <c r="C293" s="149"/>
      <c r="D293" s="95"/>
      <c r="E293" s="149"/>
      <c r="F293" s="149"/>
      <c r="G293" s="95"/>
      <c r="H293" s="149"/>
      <c r="I293" s="95"/>
      <c r="J293" s="95"/>
      <c r="K293" s="156"/>
      <c r="L293" s="156"/>
      <c r="M293" s="100"/>
      <c r="N293" s="127"/>
      <c r="O293" s="128"/>
      <c r="P293" s="95"/>
      <c r="Q293" s="137"/>
      <c r="R293" s="129"/>
      <c r="S293" s="95"/>
      <c r="T293" s="95"/>
      <c r="V293" s="107"/>
    </row>
    <row r="294" ht="15.75" customHeight="1">
      <c r="A294" s="89"/>
      <c r="B294" s="182"/>
      <c r="C294" s="149"/>
      <c r="D294" s="95"/>
      <c r="E294" s="149"/>
      <c r="F294" s="149"/>
      <c r="G294" s="95"/>
      <c r="H294" s="149"/>
      <c r="I294" s="95"/>
      <c r="J294" s="95"/>
      <c r="K294" s="154"/>
      <c r="L294" s="154"/>
      <c r="M294" s="100"/>
      <c r="N294" s="127"/>
      <c r="O294" s="128"/>
      <c r="P294" s="95"/>
      <c r="Q294" s="137"/>
      <c r="R294" s="129"/>
      <c r="S294" s="95"/>
      <c r="T294" s="95"/>
      <c r="V294" s="107"/>
    </row>
    <row r="295" ht="15.75" customHeight="1">
      <c r="A295" s="89"/>
      <c r="B295" s="182"/>
      <c r="C295" s="107"/>
      <c r="D295" s="95"/>
      <c r="E295" s="149"/>
      <c r="F295" s="149"/>
      <c r="G295" s="95"/>
      <c r="H295" s="149"/>
      <c r="I295" s="95"/>
      <c r="J295" s="95"/>
      <c r="K295" s="156"/>
      <c r="L295" s="156"/>
      <c r="M295" s="100"/>
      <c r="N295" s="127"/>
      <c r="O295" s="128"/>
      <c r="P295" s="95"/>
      <c r="Q295" s="137"/>
      <c r="R295" s="129"/>
      <c r="S295" s="95"/>
      <c r="T295" s="95"/>
      <c r="V295" s="107"/>
    </row>
    <row r="296" ht="15.75" customHeight="1">
      <c r="A296" s="89"/>
      <c r="B296" s="182"/>
      <c r="C296" s="149"/>
      <c r="D296" s="95"/>
      <c r="E296" s="149"/>
      <c r="F296" s="149"/>
      <c r="G296" s="95"/>
      <c r="H296" s="149"/>
      <c r="I296" s="95"/>
      <c r="J296" s="95"/>
      <c r="K296" s="154"/>
      <c r="L296" s="154"/>
      <c r="M296" s="100"/>
      <c r="N296" s="127"/>
      <c r="O296" s="128"/>
      <c r="P296" s="95"/>
      <c r="Q296" s="137"/>
      <c r="R296" s="129"/>
      <c r="S296" s="95"/>
      <c r="T296" s="95"/>
      <c r="V296" s="107"/>
    </row>
    <row r="297" ht="15.75" customHeight="1">
      <c r="A297" s="89"/>
      <c r="B297" s="182"/>
      <c r="C297" s="149"/>
      <c r="D297" s="95"/>
      <c r="E297" s="149"/>
      <c r="F297" s="149"/>
      <c r="G297" s="95"/>
      <c r="H297" s="149"/>
      <c r="I297" s="95"/>
      <c r="J297" s="95"/>
      <c r="K297" s="156"/>
      <c r="L297" s="156"/>
      <c r="M297" s="100"/>
      <c r="N297" s="127"/>
      <c r="O297" s="128"/>
      <c r="P297" s="95"/>
      <c r="Q297" s="137"/>
      <c r="R297" s="129"/>
      <c r="S297" s="95"/>
      <c r="T297" s="95"/>
      <c r="V297" s="107"/>
    </row>
    <row r="298" ht="15.75" customHeight="1">
      <c r="A298" s="89"/>
      <c r="B298" s="182"/>
      <c r="C298" s="149"/>
      <c r="D298" s="95"/>
      <c r="E298" s="149"/>
      <c r="F298" s="149"/>
      <c r="G298" s="95"/>
      <c r="H298" s="149"/>
      <c r="I298" s="95"/>
      <c r="J298" s="95"/>
      <c r="K298" s="154"/>
      <c r="L298" s="154"/>
      <c r="M298" s="100"/>
      <c r="N298" s="127"/>
      <c r="O298" s="128"/>
      <c r="P298" s="95"/>
      <c r="Q298" s="137"/>
      <c r="R298" s="129"/>
      <c r="S298" s="95"/>
      <c r="T298" s="95"/>
      <c r="V298" s="107"/>
    </row>
    <row r="299" ht="15.75" customHeight="1">
      <c r="A299" s="89"/>
      <c r="B299" s="182"/>
      <c r="C299" s="149"/>
      <c r="D299" s="95"/>
      <c r="E299" s="149"/>
      <c r="F299" s="149"/>
      <c r="G299" s="95"/>
      <c r="H299" s="149"/>
      <c r="I299" s="95"/>
      <c r="J299" s="95"/>
      <c r="K299" s="156"/>
      <c r="L299" s="156"/>
      <c r="M299" s="100"/>
      <c r="N299" s="127"/>
      <c r="O299" s="128"/>
      <c r="P299" s="95"/>
      <c r="Q299" s="137"/>
      <c r="R299" s="129"/>
      <c r="S299" s="95"/>
      <c r="T299" s="95"/>
      <c r="V299" s="107"/>
    </row>
    <row r="300" ht="15.75" customHeight="1">
      <c r="A300" s="89"/>
      <c r="B300" s="182"/>
      <c r="C300" s="149"/>
      <c r="D300" s="95"/>
      <c r="E300" s="149"/>
      <c r="F300" s="149"/>
      <c r="G300" s="95"/>
      <c r="H300" s="149"/>
      <c r="I300" s="95"/>
      <c r="J300" s="95"/>
      <c r="K300" s="154"/>
      <c r="L300" s="154"/>
      <c r="M300" s="100"/>
      <c r="N300" s="127"/>
      <c r="O300" s="128"/>
      <c r="P300" s="95"/>
      <c r="Q300" s="137"/>
      <c r="R300" s="129"/>
      <c r="S300" s="95"/>
      <c r="T300" s="95"/>
      <c r="V300" s="107"/>
    </row>
    <row r="301" ht="15.75" customHeight="1">
      <c r="A301" s="89"/>
      <c r="B301" s="182"/>
      <c r="C301" s="107"/>
      <c r="D301" s="95"/>
      <c r="E301" s="149"/>
      <c r="F301" s="149"/>
      <c r="G301" s="95"/>
      <c r="H301" s="149"/>
      <c r="I301" s="95"/>
      <c r="J301" s="95"/>
      <c r="K301" s="156"/>
      <c r="L301" s="156"/>
      <c r="M301" s="100"/>
      <c r="N301" s="127"/>
      <c r="O301" s="128"/>
      <c r="P301" s="95"/>
      <c r="Q301" s="137"/>
      <c r="R301" s="129"/>
      <c r="S301" s="95"/>
      <c r="T301" s="95"/>
      <c r="V301" s="107"/>
    </row>
    <row r="302" ht="15.75" customHeight="1">
      <c r="A302" s="89"/>
      <c r="B302" s="182"/>
      <c r="C302" s="149"/>
      <c r="D302" s="95"/>
      <c r="E302" s="149"/>
      <c r="F302" s="149"/>
      <c r="G302" s="95"/>
      <c r="H302" s="149"/>
      <c r="I302" s="95"/>
      <c r="J302" s="95"/>
      <c r="K302" s="154"/>
      <c r="L302" s="154"/>
      <c r="M302" s="100"/>
      <c r="N302" s="127"/>
      <c r="O302" s="128"/>
      <c r="P302" s="95"/>
      <c r="Q302" s="137"/>
      <c r="R302" s="129"/>
      <c r="S302" s="95"/>
      <c r="T302" s="95"/>
      <c r="V302" s="107"/>
    </row>
    <row r="303" ht="15.75" customHeight="1">
      <c r="A303" s="89"/>
      <c r="B303" s="182"/>
      <c r="C303" s="149"/>
      <c r="D303" s="95"/>
      <c r="E303" s="149"/>
      <c r="F303" s="149"/>
      <c r="G303" s="95"/>
      <c r="H303" s="149"/>
      <c r="I303" s="95"/>
      <c r="J303" s="95"/>
      <c r="K303" s="156"/>
      <c r="L303" s="156"/>
      <c r="M303" s="100"/>
      <c r="N303" s="127"/>
      <c r="O303" s="128"/>
      <c r="P303" s="95"/>
      <c r="Q303" s="137"/>
      <c r="R303" s="129"/>
      <c r="S303" s="95"/>
      <c r="T303" s="95"/>
      <c r="V303" s="107"/>
    </row>
    <row r="304" ht="15.75" customHeight="1">
      <c r="A304" s="89"/>
      <c r="B304" s="182"/>
      <c r="C304" s="149"/>
      <c r="D304" s="95"/>
      <c r="E304" s="149"/>
      <c r="F304" s="149"/>
      <c r="G304" s="95"/>
      <c r="H304" s="149"/>
      <c r="I304" s="95"/>
      <c r="J304" s="95"/>
      <c r="K304" s="154"/>
      <c r="L304" s="154"/>
      <c r="M304" s="100"/>
      <c r="N304" s="127"/>
      <c r="O304" s="128"/>
      <c r="P304" s="95"/>
      <c r="Q304" s="137"/>
      <c r="R304" s="129"/>
      <c r="S304" s="95"/>
      <c r="T304" s="95"/>
      <c r="V304" s="107"/>
    </row>
    <row r="305" ht="15.75" customHeight="1">
      <c r="A305" s="89"/>
      <c r="B305" s="182"/>
      <c r="C305" s="149"/>
      <c r="D305" s="95"/>
      <c r="E305" s="149"/>
      <c r="F305" s="149"/>
      <c r="G305" s="95"/>
      <c r="H305" s="149"/>
      <c r="I305" s="95"/>
      <c r="J305" s="95"/>
      <c r="K305" s="156"/>
      <c r="L305" s="156"/>
      <c r="M305" s="100"/>
      <c r="N305" s="127"/>
      <c r="O305" s="128"/>
      <c r="P305" s="95"/>
      <c r="Q305" s="137"/>
      <c r="R305" s="129"/>
      <c r="S305" s="95"/>
      <c r="T305" s="95"/>
      <c r="V305" s="107"/>
    </row>
    <row r="306" ht="15.75" customHeight="1">
      <c r="A306" s="89"/>
      <c r="B306" s="182"/>
      <c r="C306" s="149"/>
      <c r="D306" s="95"/>
      <c r="E306" s="149"/>
      <c r="F306" s="149"/>
      <c r="G306" s="95"/>
      <c r="H306" s="149"/>
      <c r="I306" s="95"/>
      <c r="J306" s="95"/>
      <c r="K306" s="154"/>
      <c r="L306" s="154"/>
      <c r="M306" s="100"/>
      <c r="N306" s="127"/>
      <c r="O306" s="128"/>
      <c r="P306" s="95"/>
      <c r="Q306" s="137"/>
      <c r="R306" s="129"/>
      <c r="S306" s="95"/>
      <c r="T306" s="95"/>
      <c r="V306" s="107"/>
    </row>
    <row r="307" ht="15.75" customHeight="1">
      <c r="A307" s="89"/>
      <c r="B307" s="182"/>
      <c r="C307" s="107"/>
      <c r="D307" s="95"/>
      <c r="E307" s="149"/>
      <c r="F307" s="149"/>
      <c r="G307" s="95"/>
      <c r="H307" s="149"/>
      <c r="I307" s="95"/>
      <c r="J307" s="95"/>
      <c r="K307" s="156"/>
      <c r="L307" s="156"/>
      <c r="M307" s="100"/>
      <c r="N307" s="127"/>
      <c r="O307" s="128"/>
      <c r="P307" s="95"/>
      <c r="Q307" s="137"/>
      <c r="R307" s="129"/>
      <c r="S307" s="95"/>
      <c r="T307" s="95"/>
      <c r="V307" s="107"/>
    </row>
    <row r="308" ht="15.75" customHeight="1">
      <c r="A308" s="89"/>
      <c r="B308" s="182"/>
      <c r="C308" s="149"/>
      <c r="D308" s="95"/>
      <c r="E308" s="149"/>
      <c r="F308" s="149"/>
      <c r="G308" s="95"/>
      <c r="H308" s="149"/>
      <c r="I308" s="95"/>
      <c r="J308" s="95"/>
      <c r="K308" s="154"/>
      <c r="L308" s="154"/>
      <c r="M308" s="100"/>
      <c r="N308" s="127"/>
      <c r="O308" s="128"/>
      <c r="P308" s="95"/>
      <c r="Q308" s="137"/>
      <c r="R308" s="129"/>
      <c r="S308" s="95"/>
      <c r="T308" s="95"/>
      <c r="V308" s="107"/>
    </row>
    <row r="309" ht="15.75" customHeight="1">
      <c r="A309" s="89"/>
      <c r="B309" s="182"/>
      <c r="C309" s="149"/>
      <c r="D309" s="95"/>
      <c r="E309" s="149"/>
      <c r="F309" s="149"/>
      <c r="G309" s="95"/>
      <c r="H309" s="149"/>
      <c r="I309" s="95"/>
      <c r="J309" s="95"/>
      <c r="K309" s="156"/>
      <c r="L309" s="156"/>
      <c r="M309" s="100"/>
      <c r="N309" s="127"/>
      <c r="O309" s="128"/>
      <c r="P309" s="95"/>
      <c r="Q309" s="137"/>
      <c r="R309" s="129"/>
      <c r="S309" s="95"/>
      <c r="T309" s="95"/>
      <c r="V309" s="107"/>
    </row>
    <row r="310" ht="15.75" customHeight="1">
      <c r="A310" s="89"/>
      <c r="B310" s="182"/>
      <c r="C310" s="149"/>
      <c r="D310" s="95"/>
      <c r="E310" s="149"/>
      <c r="F310" s="149"/>
      <c r="G310" s="95"/>
      <c r="H310" s="149"/>
      <c r="I310" s="95"/>
      <c r="J310" s="95"/>
      <c r="K310" s="154"/>
      <c r="L310" s="154"/>
      <c r="M310" s="100"/>
      <c r="N310" s="127"/>
      <c r="O310" s="128"/>
      <c r="P310" s="95"/>
      <c r="Q310" s="137"/>
      <c r="R310" s="129"/>
      <c r="S310" s="95"/>
      <c r="T310" s="95"/>
      <c r="V310" s="107"/>
    </row>
    <row r="311" ht="15.75" customHeight="1">
      <c r="A311" s="89"/>
      <c r="B311" s="182"/>
      <c r="C311" s="149"/>
      <c r="D311" s="95"/>
      <c r="E311" s="149"/>
      <c r="F311" s="149"/>
      <c r="G311" s="95"/>
      <c r="H311" s="149"/>
      <c r="I311" s="95"/>
      <c r="J311" s="95"/>
      <c r="K311" s="156"/>
      <c r="L311" s="156"/>
      <c r="M311" s="100"/>
      <c r="N311" s="127"/>
      <c r="O311" s="128"/>
      <c r="P311" s="95"/>
      <c r="Q311" s="137"/>
      <c r="R311" s="129"/>
      <c r="S311" s="95"/>
      <c r="T311" s="95"/>
      <c r="V311" s="107"/>
    </row>
    <row r="312" ht="15.75" customHeight="1">
      <c r="A312" s="89"/>
      <c r="B312" s="182"/>
      <c r="C312" s="149"/>
      <c r="D312" s="95"/>
      <c r="E312" s="149"/>
      <c r="F312" s="149"/>
      <c r="G312" s="95"/>
      <c r="H312" s="149"/>
      <c r="I312" s="95"/>
      <c r="J312" s="95"/>
      <c r="K312" s="154"/>
      <c r="L312" s="154"/>
      <c r="M312" s="100"/>
      <c r="N312" s="127"/>
      <c r="O312" s="128"/>
      <c r="P312" s="95"/>
      <c r="Q312" s="137"/>
      <c r="R312" s="129"/>
      <c r="S312" s="95"/>
      <c r="T312" s="95"/>
      <c r="V312" s="107"/>
    </row>
    <row r="313" ht="15.75" customHeight="1">
      <c r="A313" s="89"/>
      <c r="B313" s="182"/>
      <c r="C313" s="107"/>
      <c r="D313" s="95"/>
      <c r="E313" s="149"/>
      <c r="F313" s="149"/>
      <c r="G313" s="95"/>
      <c r="H313" s="149"/>
      <c r="I313" s="95"/>
      <c r="J313" s="95"/>
      <c r="K313" s="156"/>
      <c r="L313" s="156"/>
      <c r="M313" s="100"/>
      <c r="N313" s="127"/>
      <c r="O313" s="128"/>
      <c r="P313" s="95"/>
      <c r="Q313" s="137"/>
      <c r="R313" s="129"/>
      <c r="S313" s="95"/>
      <c r="T313" s="95"/>
      <c r="V313" s="107"/>
    </row>
    <row r="314" ht="15.75" customHeight="1">
      <c r="A314" s="89"/>
      <c r="B314" s="182"/>
      <c r="C314" s="149"/>
      <c r="D314" s="95"/>
      <c r="E314" s="149"/>
      <c r="F314" s="149"/>
      <c r="G314" s="95"/>
      <c r="H314" s="149"/>
      <c r="I314" s="95"/>
      <c r="J314" s="95"/>
      <c r="K314" s="154"/>
      <c r="L314" s="154"/>
      <c r="M314" s="100"/>
      <c r="N314" s="127"/>
      <c r="O314" s="128"/>
      <c r="P314" s="95"/>
      <c r="Q314" s="137"/>
      <c r="R314" s="129"/>
      <c r="S314" s="95"/>
      <c r="T314" s="95"/>
      <c r="V314" s="107"/>
    </row>
    <row r="315" ht="15.75" customHeight="1">
      <c r="A315" s="89"/>
      <c r="B315" s="182"/>
      <c r="C315" s="149"/>
      <c r="D315" s="95"/>
      <c r="E315" s="149"/>
      <c r="F315" s="149"/>
      <c r="G315" s="95"/>
      <c r="H315" s="149"/>
      <c r="I315" s="95"/>
      <c r="J315" s="95"/>
      <c r="K315" s="156"/>
      <c r="L315" s="156"/>
      <c r="M315" s="100"/>
      <c r="N315" s="127"/>
      <c r="O315" s="128"/>
      <c r="P315" s="95"/>
      <c r="Q315" s="137"/>
      <c r="R315" s="129"/>
      <c r="S315" s="95"/>
      <c r="T315" s="95"/>
      <c r="V315" s="107"/>
    </row>
    <row r="316" ht="15.75" customHeight="1">
      <c r="A316" s="89"/>
      <c r="B316" s="182"/>
      <c r="C316" s="149"/>
      <c r="D316" s="95"/>
      <c r="E316" s="149"/>
      <c r="F316" s="149"/>
      <c r="G316" s="95"/>
      <c r="H316" s="149"/>
      <c r="I316" s="95"/>
      <c r="J316" s="95"/>
      <c r="K316" s="154"/>
      <c r="L316" s="154"/>
      <c r="M316" s="100"/>
      <c r="N316" s="127"/>
      <c r="O316" s="128"/>
      <c r="P316" s="95"/>
      <c r="Q316" s="137"/>
      <c r="R316" s="129"/>
      <c r="S316" s="95"/>
      <c r="T316" s="95"/>
      <c r="V316" s="107"/>
    </row>
    <row r="317" ht="15.75" customHeight="1">
      <c r="A317" s="89"/>
      <c r="B317" s="182"/>
      <c r="C317" s="149"/>
      <c r="D317" s="95"/>
      <c r="E317" s="149"/>
      <c r="F317" s="149"/>
      <c r="G317" s="95"/>
      <c r="H317" s="149"/>
      <c r="I317" s="95"/>
      <c r="J317" s="95"/>
      <c r="K317" s="156"/>
      <c r="L317" s="156"/>
      <c r="M317" s="100"/>
      <c r="N317" s="127"/>
      <c r="O317" s="128"/>
      <c r="P317" s="95"/>
      <c r="Q317" s="137"/>
      <c r="R317" s="129"/>
      <c r="S317" s="95"/>
      <c r="T317" s="95"/>
      <c r="V317" s="107"/>
    </row>
    <row r="318" ht="15.75" customHeight="1">
      <c r="A318" s="89"/>
      <c r="B318" s="182"/>
      <c r="C318" s="149"/>
      <c r="D318" s="95"/>
      <c r="E318" s="149"/>
      <c r="F318" s="149"/>
      <c r="G318" s="95"/>
      <c r="H318" s="149"/>
      <c r="I318" s="95"/>
      <c r="J318" s="95"/>
      <c r="K318" s="154"/>
      <c r="L318" s="154"/>
      <c r="M318" s="100"/>
      <c r="N318" s="127"/>
      <c r="O318" s="128"/>
      <c r="P318" s="95"/>
      <c r="Q318" s="137"/>
      <c r="R318" s="129"/>
      <c r="S318" s="95"/>
      <c r="T318" s="95"/>
      <c r="V318" s="107"/>
    </row>
    <row r="319" ht="15.75" customHeight="1">
      <c r="A319" s="89"/>
      <c r="B319" s="182"/>
      <c r="C319" s="107"/>
      <c r="D319" s="95"/>
      <c r="E319" s="149"/>
      <c r="F319" s="149"/>
      <c r="G319" s="95"/>
      <c r="H319" s="149"/>
      <c r="I319" s="95"/>
      <c r="J319" s="95"/>
      <c r="K319" s="156"/>
      <c r="L319" s="156"/>
      <c r="M319" s="100"/>
      <c r="N319" s="127"/>
      <c r="O319" s="128"/>
      <c r="P319" s="95"/>
      <c r="Q319" s="137"/>
      <c r="R319" s="129"/>
      <c r="S319" s="95"/>
      <c r="T319" s="95"/>
      <c r="V319" s="107"/>
    </row>
    <row r="320" ht="15.75" customHeight="1">
      <c r="A320" s="89"/>
      <c r="B320" s="182"/>
      <c r="C320" s="149"/>
      <c r="D320" s="95"/>
      <c r="E320" s="149"/>
      <c r="F320" s="149"/>
      <c r="G320" s="95"/>
      <c r="H320" s="149"/>
      <c r="I320" s="95"/>
      <c r="J320" s="95"/>
      <c r="K320" s="154"/>
      <c r="L320" s="154"/>
      <c r="M320" s="100"/>
      <c r="N320" s="127"/>
      <c r="O320" s="128"/>
      <c r="P320" s="95"/>
      <c r="Q320" s="137"/>
      <c r="R320" s="129"/>
      <c r="S320" s="95"/>
      <c r="T320" s="95"/>
      <c r="V320" s="107"/>
    </row>
    <row r="321" ht="15.75" customHeight="1">
      <c r="A321" s="89"/>
      <c r="B321" s="182"/>
      <c r="C321" s="149"/>
      <c r="D321" s="95"/>
      <c r="E321" s="149"/>
      <c r="F321" s="149"/>
      <c r="G321" s="95"/>
      <c r="H321" s="149"/>
      <c r="I321" s="95"/>
      <c r="J321" s="95"/>
      <c r="K321" s="156"/>
      <c r="L321" s="156"/>
      <c r="M321" s="100"/>
      <c r="N321" s="127"/>
      <c r="O321" s="128"/>
      <c r="P321" s="95"/>
      <c r="Q321" s="137"/>
      <c r="R321" s="129"/>
      <c r="S321" s="95"/>
      <c r="T321" s="95"/>
      <c r="V321" s="107"/>
    </row>
    <row r="322" ht="15.75" customHeight="1">
      <c r="A322" s="89"/>
      <c r="B322" s="182"/>
      <c r="C322" s="149"/>
      <c r="D322" s="95"/>
      <c r="E322" s="149"/>
      <c r="F322" s="149"/>
      <c r="G322" s="95"/>
      <c r="H322" s="149"/>
      <c r="I322" s="95"/>
      <c r="J322" s="95"/>
      <c r="K322" s="154"/>
      <c r="L322" s="154"/>
      <c r="M322" s="100"/>
      <c r="N322" s="127"/>
      <c r="O322" s="128"/>
      <c r="P322" s="95"/>
      <c r="Q322" s="137"/>
      <c r="R322" s="129"/>
      <c r="S322" s="95"/>
      <c r="T322" s="95"/>
      <c r="V322" s="107"/>
    </row>
    <row r="323" ht="15.75" customHeight="1">
      <c r="A323" s="89"/>
      <c r="B323" s="182"/>
      <c r="C323" s="149"/>
      <c r="D323" s="95"/>
      <c r="E323" s="149"/>
      <c r="F323" s="149"/>
      <c r="G323" s="95"/>
      <c r="H323" s="149"/>
      <c r="I323" s="95"/>
      <c r="J323" s="95"/>
      <c r="K323" s="156"/>
      <c r="L323" s="156"/>
      <c r="M323" s="100"/>
      <c r="N323" s="127"/>
      <c r="O323" s="128"/>
      <c r="P323" s="95"/>
      <c r="Q323" s="137"/>
      <c r="R323" s="129"/>
      <c r="S323" s="95"/>
      <c r="T323" s="95"/>
      <c r="V323" s="107"/>
    </row>
    <row r="324" ht="15.75" customHeight="1">
      <c r="A324" s="89"/>
      <c r="B324" s="182"/>
      <c r="C324" s="149"/>
      <c r="D324" s="95"/>
      <c r="E324" s="149"/>
      <c r="F324" s="149"/>
      <c r="G324" s="95"/>
      <c r="H324" s="149"/>
      <c r="I324" s="95"/>
      <c r="J324" s="95"/>
      <c r="K324" s="154"/>
      <c r="L324" s="154"/>
      <c r="M324" s="100"/>
      <c r="N324" s="127"/>
      <c r="O324" s="128"/>
      <c r="P324" s="95"/>
      <c r="Q324" s="137"/>
      <c r="R324" s="129"/>
      <c r="S324" s="95"/>
      <c r="T324" s="95"/>
      <c r="V324" s="107"/>
    </row>
    <row r="325" ht="15.75" customHeight="1">
      <c r="A325" s="89"/>
      <c r="B325" s="182"/>
      <c r="C325" s="107"/>
      <c r="D325" s="95"/>
      <c r="E325" s="149"/>
      <c r="F325" s="149"/>
      <c r="G325" s="95"/>
      <c r="H325" s="149"/>
      <c r="I325" s="95"/>
      <c r="J325" s="95"/>
      <c r="K325" s="156"/>
      <c r="L325" s="156"/>
      <c r="M325" s="100"/>
      <c r="N325" s="127"/>
      <c r="O325" s="128"/>
      <c r="P325" s="95"/>
      <c r="Q325" s="137"/>
      <c r="R325" s="129"/>
      <c r="S325" s="95"/>
      <c r="T325" s="95"/>
      <c r="V325" s="107"/>
    </row>
    <row r="326" ht="15.75" customHeight="1">
      <c r="A326" s="89"/>
      <c r="B326" s="182"/>
      <c r="C326" s="149"/>
      <c r="D326" s="95"/>
      <c r="E326" s="149"/>
      <c r="F326" s="149"/>
      <c r="G326" s="95"/>
      <c r="H326" s="149"/>
      <c r="I326" s="95"/>
      <c r="J326" s="95"/>
      <c r="K326" s="154"/>
      <c r="L326" s="154"/>
      <c r="M326" s="100"/>
      <c r="N326" s="127"/>
      <c r="O326" s="128"/>
      <c r="P326" s="95"/>
      <c r="Q326" s="137"/>
      <c r="R326" s="129"/>
      <c r="S326" s="95"/>
      <c r="T326" s="95"/>
      <c r="V326" s="107"/>
    </row>
    <row r="327" ht="15.75" customHeight="1">
      <c r="A327" s="89"/>
      <c r="B327" s="182"/>
      <c r="C327" s="149"/>
      <c r="D327" s="95"/>
      <c r="E327" s="149"/>
      <c r="F327" s="149"/>
      <c r="G327" s="95"/>
      <c r="H327" s="149"/>
      <c r="I327" s="95"/>
      <c r="J327" s="95"/>
      <c r="K327" s="156"/>
      <c r="L327" s="156"/>
      <c r="M327" s="100"/>
      <c r="N327" s="127"/>
      <c r="O327" s="128"/>
      <c r="P327" s="95"/>
      <c r="Q327" s="137"/>
      <c r="R327" s="129"/>
      <c r="S327" s="95"/>
      <c r="T327" s="95"/>
      <c r="V327" s="107"/>
    </row>
    <row r="328" ht="15.75" customHeight="1">
      <c r="A328" s="89"/>
      <c r="B328" s="182"/>
      <c r="C328" s="149"/>
      <c r="D328" s="95"/>
      <c r="E328" s="149"/>
      <c r="F328" s="149"/>
      <c r="G328" s="95"/>
      <c r="H328" s="149"/>
      <c r="I328" s="95"/>
      <c r="J328" s="95"/>
      <c r="K328" s="158"/>
      <c r="L328" s="158"/>
      <c r="M328" s="100"/>
      <c r="N328" s="127"/>
      <c r="O328" s="128"/>
      <c r="P328" s="95"/>
      <c r="Q328" s="137"/>
      <c r="R328" s="129"/>
      <c r="S328" s="95"/>
      <c r="T328" s="95"/>
      <c r="V328" s="107"/>
    </row>
    <row r="329" ht="15.75" customHeight="1">
      <c r="A329" s="89"/>
      <c r="B329" s="182"/>
      <c r="C329" s="149"/>
      <c r="D329" s="95"/>
      <c r="E329" s="149"/>
      <c r="F329" s="149"/>
      <c r="G329" s="95"/>
      <c r="H329" s="149"/>
      <c r="I329" s="95"/>
      <c r="J329" s="95"/>
      <c r="K329" s="158"/>
      <c r="L329" s="158"/>
      <c r="M329" s="100"/>
      <c r="N329" s="127"/>
      <c r="O329" s="128"/>
      <c r="P329" s="95"/>
      <c r="Q329" s="137"/>
      <c r="R329" s="129"/>
      <c r="S329" s="95"/>
      <c r="T329" s="95"/>
      <c r="V329" s="107"/>
    </row>
    <row r="330" ht="15.75" customHeight="1">
      <c r="A330" s="89"/>
      <c r="B330" s="182"/>
      <c r="C330" s="149"/>
      <c r="D330" s="95"/>
      <c r="E330" s="149"/>
      <c r="F330" s="149"/>
      <c r="G330" s="95"/>
      <c r="H330" s="149"/>
      <c r="I330" s="95"/>
      <c r="J330" s="95"/>
      <c r="K330" s="158"/>
      <c r="L330" s="158"/>
      <c r="M330" s="100"/>
      <c r="N330" s="127"/>
      <c r="O330" s="128"/>
      <c r="P330" s="95"/>
      <c r="Q330" s="137"/>
      <c r="R330" s="129"/>
      <c r="S330" s="95"/>
      <c r="T330" s="95"/>
      <c r="V330" s="107"/>
    </row>
    <row r="331" ht="15.75" customHeight="1">
      <c r="A331" s="89"/>
      <c r="B331" s="182"/>
      <c r="C331" s="107"/>
      <c r="D331" s="95"/>
      <c r="E331" s="149"/>
      <c r="F331" s="149"/>
      <c r="G331" s="95"/>
      <c r="H331" s="149"/>
      <c r="I331" s="95"/>
      <c r="J331" s="95"/>
      <c r="K331" s="158"/>
      <c r="L331" s="158"/>
      <c r="M331" s="100"/>
      <c r="N331" s="127"/>
      <c r="O331" s="128"/>
      <c r="P331" s="95"/>
      <c r="Q331" s="137"/>
      <c r="R331" s="129"/>
      <c r="S331" s="95"/>
      <c r="T331" s="95"/>
      <c r="V331" s="107"/>
    </row>
    <row r="332" ht="15.75" customHeight="1">
      <c r="A332" s="89"/>
      <c r="B332" s="182"/>
      <c r="C332" s="149"/>
      <c r="D332" s="95"/>
      <c r="E332" s="149"/>
      <c r="F332" s="149"/>
      <c r="G332" s="95"/>
      <c r="H332" s="149"/>
      <c r="I332" s="95"/>
      <c r="J332" s="95"/>
      <c r="K332" s="158"/>
      <c r="L332" s="158"/>
      <c r="M332" s="100"/>
      <c r="N332" s="127"/>
      <c r="O332" s="128"/>
      <c r="P332" s="95"/>
      <c r="Q332" s="137"/>
      <c r="R332" s="129"/>
      <c r="S332" s="95"/>
      <c r="T332" s="95"/>
      <c r="V332" s="107"/>
    </row>
    <row r="333" ht="15.75" customHeight="1">
      <c r="A333" s="89"/>
      <c r="B333" s="182"/>
      <c r="C333" s="149"/>
      <c r="D333" s="95"/>
      <c r="E333" s="149"/>
      <c r="F333" s="149"/>
      <c r="G333" s="95"/>
      <c r="H333" s="149"/>
      <c r="I333" s="95"/>
      <c r="J333" s="95"/>
      <c r="K333" s="158"/>
      <c r="L333" s="158"/>
      <c r="M333" s="100"/>
      <c r="N333" s="127"/>
      <c r="O333" s="128"/>
      <c r="P333" s="95"/>
      <c r="Q333" s="137"/>
      <c r="R333" s="129"/>
      <c r="S333" s="95"/>
      <c r="T333" s="95"/>
      <c r="V333" s="107"/>
    </row>
    <row r="334" ht="15.75" customHeight="1">
      <c r="A334" s="89"/>
      <c r="B334" s="182"/>
      <c r="C334" s="149"/>
      <c r="D334" s="95"/>
      <c r="E334" s="149"/>
      <c r="F334" s="149"/>
      <c r="G334" s="95"/>
      <c r="H334" s="149"/>
      <c r="I334" s="95"/>
      <c r="J334" s="95"/>
      <c r="K334" s="158"/>
      <c r="L334" s="158"/>
      <c r="M334" s="100"/>
      <c r="N334" s="127"/>
      <c r="O334" s="128"/>
      <c r="P334" s="95"/>
      <c r="Q334" s="137"/>
      <c r="R334" s="129"/>
      <c r="S334" s="95"/>
      <c r="T334" s="95"/>
      <c r="V334" s="107"/>
    </row>
    <row r="335" ht="15.75" customHeight="1">
      <c r="A335" s="89"/>
      <c r="B335" s="182"/>
      <c r="C335" s="149"/>
      <c r="D335" s="95"/>
      <c r="E335" s="149"/>
      <c r="F335" s="149"/>
      <c r="G335" s="95"/>
      <c r="H335" s="149"/>
      <c r="I335" s="95"/>
      <c r="J335" s="95"/>
      <c r="K335" s="158"/>
      <c r="L335" s="158"/>
      <c r="M335" s="100"/>
      <c r="N335" s="127"/>
      <c r="O335" s="128"/>
      <c r="P335" s="95"/>
      <c r="Q335" s="137"/>
      <c r="R335" s="129"/>
      <c r="S335" s="95"/>
      <c r="T335" s="95"/>
      <c r="V335" s="107"/>
    </row>
    <row r="336" ht="15.75" customHeight="1">
      <c r="A336" s="89"/>
      <c r="B336" s="182"/>
      <c r="C336" s="149"/>
      <c r="D336" s="95"/>
      <c r="E336" s="149"/>
      <c r="F336" s="149"/>
      <c r="G336" s="95"/>
      <c r="H336" s="149"/>
      <c r="I336" s="95"/>
      <c r="J336" s="95"/>
      <c r="K336" s="158"/>
      <c r="L336" s="158"/>
      <c r="M336" s="100"/>
      <c r="N336" s="127"/>
      <c r="O336" s="128"/>
      <c r="P336" s="95"/>
      <c r="Q336" s="137"/>
      <c r="R336" s="129"/>
      <c r="S336" s="95"/>
      <c r="T336" s="95"/>
      <c r="V336" s="107"/>
    </row>
    <row r="337" ht="15.75" customHeight="1">
      <c r="A337" s="89"/>
      <c r="B337" s="182"/>
      <c r="C337" s="107"/>
      <c r="D337" s="95"/>
      <c r="E337" s="149"/>
      <c r="F337" s="149"/>
      <c r="G337" s="95"/>
      <c r="H337" s="149"/>
      <c r="I337" s="95"/>
      <c r="J337" s="95"/>
      <c r="K337" s="158"/>
      <c r="L337" s="158"/>
      <c r="M337" s="100"/>
      <c r="N337" s="127"/>
      <c r="O337" s="128"/>
      <c r="P337" s="95"/>
      <c r="Q337" s="137"/>
      <c r="R337" s="129"/>
      <c r="S337" s="95"/>
      <c r="T337" s="95"/>
      <c r="V337" s="107"/>
    </row>
    <row r="338" ht="15.75" customHeight="1">
      <c r="A338" s="89"/>
      <c r="B338" s="182"/>
      <c r="C338" s="149"/>
      <c r="D338" s="95"/>
      <c r="E338" s="149"/>
      <c r="F338" s="149"/>
      <c r="G338" s="95"/>
      <c r="H338" s="149"/>
      <c r="I338" s="95"/>
      <c r="J338" s="95"/>
      <c r="K338" s="158"/>
      <c r="L338" s="158"/>
      <c r="M338" s="100"/>
      <c r="N338" s="127"/>
      <c r="O338" s="128"/>
      <c r="P338" s="95"/>
      <c r="Q338" s="137"/>
      <c r="R338" s="129"/>
      <c r="S338" s="95"/>
      <c r="T338" s="95"/>
      <c r="V338" s="107"/>
    </row>
    <row r="339" ht="15.75" customHeight="1">
      <c r="A339" s="89"/>
      <c r="B339" s="182"/>
      <c r="C339" s="149"/>
      <c r="D339" s="95"/>
      <c r="E339" s="149"/>
      <c r="F339" s="149"/>
      <c r="G339" s="95"/>
      <c r="H339" s="149"/>
      <c r="I339" s="95"/>
      <c r="J339" s="95"/>
      <c r="K339" s="158"/>
      <c r="L339" s="158"/>
      <c r="M339" s="100"/>
      <c r="N339" s="127"/>
      <c r="O339" s="128"/>
      <c r="P339" s="95"/>
      <c r="Q339" s="137"/>
      <c r="R339" s="129"/>
      <c r="S339" s="95"/>
      <c r="T339" s="95"/>
      <c r="V339" s="107"/>
    </row>
    <row r="340" ht="15.75" customHeight="1">
      <c r="A340" s="89"/>
      <c r="B340" s="182"/>
      <c r="C340" s="149"/>
      <c r="D340" s="95"/>
      <c r="E340" s="149"/>
      <c r="F340" s="149"/>
      <c r="G340" s="95"/>
      <c r="H340" s="149"/>
      <c r="I340" s="95"/>
      <c r="J340" s="95"/>
      <c r="K340" s="158"/>
      <c r="L340" s="158"/>
      <c r="M340" s="100"/>
      <c r="N340" s="127"/>
      <c r="O340" s="128"/>
      <c r="P340" s="95"/>
      <c r="Q340" s="137"/>
      <c r="R340" s="129"/>
      <c r="S340" s="95"/>
      <c r="T340" s="95"/>
      <c r="V340" s="107"/>
    </row>
    <row r="341" ht="15.75" customHeight="1">
      <c r="A341" s="89"/>
      <c r="B341" s="182"/>
      <c r="C341" s="149"/>
      <c r="D341" s="95"/>
      <c r="E341" s="149"/>
      <c r="F341" s="149"/>
      <c r="G341" s="95"/>
      <c r="H341" s="149"/>
      <c r="I341" s="95"/>
      <c r="J341" s="95"/>
      <c r="K341" s="158"/>
      <c r="L341" s="158"/>
      <c r="M341" s="100"/>
      <c r="N341" s="127"/>
      <c r="O341" s="128"/>
      <c r="P341" s="95"/>
      <c r="Q341" s="137"/>
      <c r="R341" s="129"/>
      <c r="S341" s="95"/>
      <c r="T341" s="95"/>
      <c r="V341" s="107"/>
    </row>
    <row r="342" ht="15.75" customHeight="1">
      <c r="A342" s="89"/>
      <c r="B342" s="182"/>
      <c r="C342" s="149"/>
      <c r="D342" s="95"/>
      <c r="E342" s="149"/>
      <c r="F342" s="149"/>
      <c r="G342" s="95"/>
      <c r="H342" s="149"/>
      <c r="I342" s="95"/>
      <c r="J342" s="95"/>
      <c r="K342" s="158"/>
      <c r="L342" s="158"/>
      <c r="M342" s="100"/>
      <c r="N342" s="127"/>
      <c r="O342" s="128"/>
      <c r="P342" s="95"/>
      <c r="Q342" s="137"/>
      <c r="R342" s="129"/>
      <c r="S342" s="95"/>
      <c r="T342" s="95"/>
      <c r="V342" s="107"/>
    </row>
    <row r="343" ht="15.75" customHeight="1">
      <c r="A343" s="89"/>
      <c r="B343" s="182"/>
      <c r="C343" s="107"/>
      <c r="D343" s="95"/>
      <c r="E343" s="149"/>
      <c r="F343" s="149"/>
      <c r="G343" s="95"/>
      <c r="H343" s="149"/>
      <c r="I343" s="95"/>
      <c r="J343" s="95"/>
      <c r="K343" s="158"/>
      <c r="L343" s="158"/>
      <c r="M343" s="100"/>
      <c r="N343" s="127"/>
      <c r="O343" s="128"/>
      <c r="P343" s="95"/>
      <c r="Q343" s="137"/>
      <c r="R343" s="129"/>
      <c r="S343" s="95"/>
      <c r="T343" s="95"/>
      <c r="V343" s="107"/>
    </row>
    <row r="344" ht="15.75" customHeight="1">
      <c r="A344" s="89"/>
      <c r="B344" s="182"/>
      <c r="C344" s="149"/>
      <c r="D344" s="95"/>
      <c r="E344" s="149"/>
      <c r="F344" s="149"/>
      <c r="G344" s="95"/>
      <c r="H344" s="149"/>
      <c r="I344" s="95"/>
      <c r="J344" s="95"/>
      <c r="K344" s="158"/>
      <c r="L344" s="158"/>
      <c r="M344" s="100"/>
      <c r="N344" s="127"/>
      <c r="O344" s="128"/>
      <c r="P344" s="95"/>
      <c r="Q344" s="137"/>
      <c r="R344" s="129"/>
      <c r="S344" s="95"/>
      <c r="T344" s="95"/>
      <c r="V344" s="107"/>
    </row>
    <row r="345" ht="15.75" customHeight="1">
      <c r="A345" s="89"/>
      <c r="B345" s="182"/>
      <c r="C345" s="149"/>
      <c r="D345" s="95"/>
      <c r="E345" s="149"/>
      <c r="F345" s="149"/>
      <c r="G345" s="95"/>
      <c r="H345" s="149"/>
      <c r="I345" s="95"/>
      <c r="J345" s="95"/>
      <c r="K345" s="158"/>
      <c r="L345" s="158"/>
      <c r="M345" s="100"/>
      <c r="N345" s="127"/>
      <c r="O345" s="128"/>
      <c r="P345" s="95"/>
      <c r="Q345" s="137"/>
      <c r="R345" s="129"/>
      <c r="S345" s="95"/>
      <c r="T345" s="95"/>
      <c r="V345" s="107"/>
    </row>
    <row r="346" ht="15.75" customHeight="1">
      <c r="A346" s="89"/>
      <c r="B346" s="182"/>
      <c r="C346" s="149"/>
      <c r="D346" s="95"/>
      <c r="E346" s="149"/>
      <c r="F346" s="149"/>
      <c r="G346" s="95"/>
      <c r="H346" s="149"/>
      <c r="I346" s="95"/>
      <c r="J346" s="95"/>
      <c r="K346" s="158"/>
      <c r="L346" s="158"/>
      <c r="M346" s="100"/>
      <c r="N346" s="127"/>
      <c r="O346" s="128"/>
      <c r="P346" s="95"/>
      <c r="Q346" s="137"/>
      <c r="R346" s="129"/>
      <c r="S346" s="95"/>
      <c r="T346" s="95"/>
      <c r="V346" s="107"/>
    </row>
    <row r="347" ht="15.75" customHeight="1">
      <c r="A347" s="89"/>
      <c r="B347" s="182"/>
      <c r="C347" s="149"/>
      <c r="D347" s="95"/>
      <c r="E347" s="149"/>
      <c r="F347" s="149"/>
      <c r="G347" s="95"/>
      <c r="H347" s="149"/>
      <c r="I347" s="95"/>
      <c r="J347" s="95"/>
      <c r="K347" s="158"/>
      <c r="L347" s="158"/>
      <c r="M347" s="100"/>
      <c r="N347" s="127"/>
      <c r="O347" s="128"/>
      <c r="P347" s="95"/>
      <c r="Q347" s="137"/>
      <c r="R347" s="129"/>
      <c r="S347" s="95"/>
      <c r="T347" s="95"/>
      <c r="V347" s="107"/>
    </row>
    <row r="348" ht="15.75" customHeight="1">
      <c r="A348" s="89"/>
      <c r="B348" s="182"/>
      <c r="C348" s="149"/>
      <c r="D348" s="95"/>
      <c r="E348" s="149"/>
      <c r="F348" s="149"/>
      <c r="G348" s="95"/>
      <c r="H348" s="149"/>
      <c r="I348" s="95"/>
      <c r="J348" s="95"/>
      <c r="K348" s="158"/>
      <c r="L348" s="158"/>
      <c r="M348" s="100"/>
      <c r="N348" s="127"/>
      <c r="O348" s="128"/>
      <c r="P348" s="95"/>
      <c r="Q348" s="137"/>
      <c r="R348" s="129"/>
      <c r="S348" s="95"/>
      <c r="T348" s="95"/>
      <c r="V348" s="107"/>
    </row>
    <row r="349" ht="15.75" customHeight="1">
      <c r="A349" s="89"/>
      <c r="B349" s="182"/>
      <c r="C349" s="107"/>
      <c r="D349" s="95"/>
      <c r="E349" s="149"/>
      <c r="F349" s="149"/>
      <c r="G349" s="95"/>
      <c r="H349" s="149"/>
      <c r="I349" s="95"/>
      <c r="J349" s="95"/>
      <c r="K349" s="158"/>
      <c r="L349" s="158"/>
      <c r="M349" s="100"/>
      <c r="N349" s="127"/>
      <c r="O349" s="128"/>
      <c r="P349" s="95"/>
      <c r="Q349" s="137"/>
      <c r="R349" s="129"/>
      <c r="S349" s="95"/>
      <c r="T349" s="95"/>
      <c r="V349" s="107"/>
    </row>
    <row r="350" ht="15.75" customHeight="1">
      <c r="A350" s="89"/>
      <c r="B350" s="182"/>
      <c r="C350" s="149"/>
      <c r="D350" s="95"/>
      <c r="E350" s="149"/>
      <c r="F350" s="149"/>
      <c r="G350" s="95"/>
      <c r="H350" s="149"/>
      <c r="I350" s="95"/>
      <c r="J350" s="95"/>
      <c r="K350" s="158"/>
      <c r="L350" s="158"/>
      <c r="M350" s="100"/>
      <c r="N350" s="127"/>
      <c r="O350" s="128"/>
      <c r="P350" s="95"/>
      <c r="Q350" s="137"/>
      <c r="R350" s="129"/>
      <c r="S350" s="95"/>
      <c r="T350" s="95"/>
      <c r="V350" s="107"/>
    </row>
    <row r="351" ht="15.75" customHeight="1">
      <c r="A351" s="89"/>
      <c r="B351" s="182"/>
      <c r="C351" s="149"/>
      <c r="D351" s="95"/>
      <c r="E351" s="149"/>
      <c r="F351" s="149"/>
      <c r="G351" s="95"/>
      <c r="H351" s="149"/>
      <c r="I351" s="95"/>
      <c r="J351" s="95"/>
      <c r="K351" s="158"/>
      <c r="L351" s="158"/>
      <c r="M351" s="100"/>
      <c r="N351" s="127"/>
      <c r="O351" s="128"/>
      <c r="P351" s="95"/>
      <c r="Q351" s="137"/>
      <c r="R351" s="129"/>
      <c r="S351" s="95"/>
      <c r="T351" s="95"/>
      <c r="V351" s="107"/>
    </row>
    <row r="352" ht="15.75" customHeight="1">
      <c r="A352" s="89"/>
      <c r="B352" s="182"/>
      <c r="C352" s="149"/>
      <c r="D352" s="95"/>
      <c r="E352" s="149"/>
      <c r="F352" s="149"/>
      <c r="G352" s="95"/>
      <c r="H352" s="149"/>
      <c r="I352" s="95"/>
      <c r="J352" s="95"/>
      <c r="K352" s="158"/>
      <c r="L352" s="158"/>
      <c r="M352" s="100"/>
      <c r="N352" s="127"/>
      <c r="O352" s="128"/>
      <c r="P352" s="95"/>
      <c r="Q352" s="137"/>
      <c r="R352" s="129"/>
      <c r="S352" s="95"/>
      <c r="T352" s="95"/>
      <c r="V352" s="107"/>
    </row>
    <row r="353" ht="15.75" customHeight="1">
      <c r="A353" s="89"/>
      <c r="B353" s="182"/>
      <c r="C353" s="149"/>
      <c r="D353" s="95"/>
      <c r="E353" s="149"/>
      <c r="F353" s="149"/>
      <c r="G353" s="95"/>
      <c r="H353" s="149"/>
      <c r="I353" s="95"/>
      <c r="J353" s="95"/>
      <c r="K353" s="158"/>
      <c r="L353" s="158"/>
      <c r="M353" s="100"/>
      <c r="N353" s="127"/>
      <c r="O353" s="128"/>
      <c r="P353" s="95"/>
      <c r="Q353" s="137"/>
      <c r="R353" s="129"/>
      <c r="S353" s="95"/>
      <c r="T353" s="95"/>
      <c r="V353" s="107"/>
    </row>
    <row r="354" ht="15.75" customHeight="1">
      <c r="A354" s="89"/>
      <c r="B354" s="182"/>
      <c r="C354" s="149"/>
      <c r="D354" s="95"/>
      <c r="E354" s="149"/>
      <c r="F354" s="149"/>
      <c r="G354" s="95"/>
      <c r="H354" s="149"/>
      <c r="I354" s="95"/>
      <c r="J354" s="95"/>
      <c r="K354" s="158"/>
      <c r="L354" s="158"/>
      <c r="M354" s="100"/>
      <c r="N354" s="127"/>
      <c r="O354" s="128"/>
      <c r="P354" s="95"/>
      <c r="Q354" s="137"/>
      <c r="R354" s="129"/>
      <c r="S354" s="95"/>
      <c r="T354" s="95"/>
      <c r="V354" s="107"/>
    </row>
    <row r="355" ht="15.75" customHeight="1">
      <c r="A355" s="89"/>
      <c r="B355" s="182"/>
      <c r="C355" s="107"/>
      <c r="D355" s="95"/>
      <c r="E355" s="149"/>
      <c r="F355" s="149"/>
      <c r="G355" s="95"/>
      <c r="H355" s="149"/>
      <c r="I355" s="95"/>
      <c r="J355" s="95"/>
      <c r="K355" s="158"/>
      <c r="L355" s="158"/>
      <c r="M355" s="100"/>
      <c r="N355" s="127"/>
      <c r="O355" s="128"/>
      <c r="P355" s="95"/>
      <c r="Q355" s="137"/>
      <c r="R355" s="129"/>
      <c r="S355" s="95"/>
      <c r="T355" s="95"/>
      <c r="V355" s="107"/>
    </row>
    <row r="356" ht="15.75" customHeight="1">
      <c r="A356" s="89"/>
      <c r="B356" s="182"/>
      <c r="C356" s="149"/>
      <c r="D356" s="95"/>
      <c r="E356" s="149"/>
      <c r="F356" s="149"/>
      <c r="G356" s="95"/>
      <c r="H356" s="149"/>
      <c r="I356" s="95"/>
      <c r="J356" s="95"/>
      <c r="K356" s="158"/>
      <c r="L356" s="158"/>
      <c r="M356" s="100"/>
      <c r="N356" s="127"/>
      <c r="O356" s="128"/>
      <c r="P356" s="95"/>
      <c r="Q356" s="137"/>
      <c r="R356" s="129"/>
      <c r="S356" s="95"/>
      <c r="T356" s="95"/>
      <c r="V356" s="107"/>
    </row>
    <row r="357" ht="15.75" customHeight="1">
      <c r="A357" s="89"/>
      <c r="B357" s="182"/>
      <c r="C357" s="149"/>
      <c r="D357" s="95"/>
      <c r="E357" s="149"/>
      <c r="F357" s="149"/>
      <c r="G357" s="95"/>
      <c r="H357" s="149"/>
      <c r="I357" s="95"/>
      <c r="J357" s="95"/>
      <c r="K357" s="158"/>
      <c r="L357" s="158"/>
      <c r="M357" s="100"/>
      <c r="N357" s="127"/>
      <c r="O357" s="128"/>
      <c r="P357" s="95"/>
      <c r="Q357" s="137"/>
      <c r="R357" s="129"/>
      <c r="S357" s="95"/>
      <c r="T357" s="95"/>
      <c r="V357" s="107"/>
    </row>
    <row r="358" ht="15.75" customHeight="1">
      <c r="A358" s="89"/>
      <c r="B358" s="182"/>
      <c r="C358" s="149"/>
      <c r="D358" s="95"/>
      <c r="E358" s="149"/>
      <c r="F358" s="149"/>
      <c r="G358" s="95"/>
      <c r="H358" s="149"/>
      <c r="I358" s="95"/>
      <c r="J358" s="95"/>
      <c r="K358" s="158"/>
      <c r="L358" s="158"/>
      <c r="M358" s="100"/>
      <c r="N358" s="127"/>
      <c r="O358" s="128"/>
      <c r="P358" s="95"/>
      <c r="Q358" s="137"/>
      <c r="R358" s="129"/>
      <c r="S358" s="95"/>
      <c r="T358" s="95"/>
      <c r="V358" s="107"/>
    </row>
    <row r="359" ht="15.75" customHeight="1">
      <c r="A359" s="89"/>
      <c r="B359" s="182"/>
      <c r="C359" s="149"/>
      <c r="D359" s="95"/>
      <c r="E359" s="149"/>
      <c r="F359" s="149"/>
      <c r="G359" s="95"/>
      <c r="H359" s="149"/>
      <c r="I359" s="95"/>
      <c r="J359" s="95"/>
      <c r="K359" s="158"/>
      <c r="L359" s="158"/>
      <c r="M359" s="100"/>
      <c r="N359" s="127"/>
      <c r="O359" s="128"/>
      <c r="P359" s="95"/>
      <c r="Q359" s="137"/>
      <c r="R359" s="129"/>
      <c r="S359" s="95"/>
      <c r="T359" s="95"/>
      <c r="V359" s="107"/>
    </row>
    <row r="360" ht="15.75" customHeight="1">
      <c r="A360" s="89"/>
      <c r="B360" s="182"/>
      <c r="C360" s="149"/>
      <c r="D360" s="95"/>
      <c r="E360" s="149"/>
      <c r="F360" s="149"/>
      <c r="G360" s="95"/>
      <c r="H360" s="149"/>
      <c r="I360" s="95"/>
      <c r="J360" s="95"/>
      <c r="K360" s="158"/>
      <c r="L360" s="158"/>
      <c r="M360" s="100"/>
      <c r="N360" s="127"/>
      <c r="O360" s="128"/>
      <c r="P360" s="95"/>
      <c r="Q360" s="137"/>
      <c r="R360" s="129"/>
      <c r="S360" s="95"/>
      <c r="T360" s="95"/>
      <c r="V360" s="107"/>
    </row>
  </sheetData>
  <autoFilter ref="$A$12:$V$109"/>
  <customSheetViews>
    <customSheetView guid="{3D5205AB-724F-426F-9D73-83BFCBF63977}" filter="1" showAutoFilter="1">
      <autoFilter ref="$R$18:$R$22"/>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29 N33:N360">
      <formula1>"Think About It,Money,Partner,Time,Fear,Value"</formula1>
    </dataValidation>
    <dataValidation type="list" allowBlank="1" showErrorMessage="1" sqref="J16">
      <formula1>"Option 1,Option 2"</formula1>
    </dataValidation>
    <dataValidation type="list" allowBlank="1" showErrorMessage="1" sqref="S13:S29 S3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29 H33:H360">
      <formula1>"IG,Setter,Facebook Ads,Landing page"</formula1>
    </dataValidation>
    <dataValidation type="list" allowBlank="1" showErrorMessage="1" sqref="I13:J15 I16 I17:J21 I22 I23:J29 I33:J35 I36 I37:J102 I103:I109 I110:J360">
      <formula1>"Full-Pay,split-pay,Deposit,Offer &amp; Didn't Buy,Bad Fit &amp; No Offer,Rescheduled,Cancelled,No-Show"</formula1>
    </dataValidation>
  </dataValidations>
  <hyperlinks>
    <hyperlink r:id="rId2" ref="R13"/>
    <hyperlink r:id="rId3" ref="R14"/>
    <hyperlink r:id="rId4" ref="R16"/>
    <hyperlink r:id="rId5" ref="R17"/>
    <hyperlink r:id="rId6" ref="R18"/>
    <hyperlink r:id="rId7" ref="R19"/>
    <hyperlink r:id="rId8" ref="R21"/>
    <hyperlink r:id="rId9" ref="R22"/>
    <hyperlink r:id="rId10" ref="R23"/>
    <hyperlink r:id="rId11" ref="R24"/>
    <hyperlink r:id="rId12" ref="R25"/>
    <hyperlink r:id="rId13" ref="R27"/>
  </hyperlinks>
  <drawing r:id="rId14"/>
  <legacyDrawing r:id="rId1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4.0"/>
    <col customWidth="1" min="4" max="4" width="0.38"/>
    <col customWidth="1" min="5" max="5" width="15.13"/>
    <col customWidth="1" min="6" max="6" width="22.38"/>
    <col customWidth="1" min="7" max="7" width="0.38"/>
    <col customWidth="1" min="8" max="8" width="15.63"/>
    <col customWidth="1" min="9" max="9" width="13.88"/>
    <col customWidth="1" min="10" max="10" width="0.38"/>
    <col customWidth="1" min="13" max="13" width="0.38"/>
    <col customWidth="1" min="15" max="15" width="31.0"/>
    <col customWidth="1" min="16" max="16" width="0.5"/>
    <col customWidth="1" min="17" max="17" width="13.13"/>
    <col customWidth="1" min="19" max="19" width="16.5"/>
    <col customWidth="1" min="21" max="21" width="23.75"/>
    <col customWidth="1" min="22" max="22" width="0.38"/>
  </cols>
  <sheetData>
    <row r="1">
      <c r="A1" s="35"/>
      <c r="B1" s="87" t="s">
        <v>31</v>
      </c>
      <c r="C1" s="87" t="s">
        <v>77</v>
      </c>
      <c r="D1" s="35"/>
      <c r="E1" s="38" t="s">
        <v>33</v>
      </c>
      <c r="F1" s="39"/>
      <c r="G1" s="35"/>
      <c r="H1" s="38" t="s">
        <v>34</v>
      </c>
      <c r="I1" s="39"/>
      <c r="J1" s="13"/>
      <c r="K1" s="159" t="s">
        <v>35</v>
      </c>
      <c r="L1" s="41"/>
      <c r="M1" s="13"/>
      <c r="N1" s="38" t="s">
        <v>36</v>
      </c>
      <c r="O1" s="42"/>
      <c r="P1" s="35"/>
      <c r="Q1" s="38" t="s">
        <v>37</v>
      </c>
      <c r="R1" s="43"/>
      <c r="S1" s="39"/>
      <c r="T1" s="39"/>
      <c r="U1" s="35" t="s">
        <v>38</v>
      </c>
      <c r="V1" s="35"/>
    </row>
    <row r="2">
      <c r="A2" s="35"/>
      <c r="B2" s="39"/>
      <c r="C2" s="39"/>
      <c r="D2" s="13"/>
      <c r="E2" s="160" t="s">
        <v>26</v>
      </c>
      <c r="F2" s="161">
        <f>IFERROR(COUNTIFS(I13:I287, "Full-Pay"),"")</f>
        <v>1</v>
      </c>
      <c r="G2" s="13"/>
      <c r="H2" s="46" t="s">
        <v>16</v>
      </c>
      <c r="I2" s="47">
        <f>iferror(I10/I8,"")</f>
        <v>0.5</v>
      </c>
      <c r="J2" s="12"/>
      <c r="K2" s="162" t="s">
        <v>39</v>
      </c>
      <c r="L2" s="49">
        <f>iferror(F8/I6,"")</f>
        <v>0</v>
      </c>
      <c r="M2" s="12"/>
      <c r="N2" s="50" t="s">
        <v>40</v>
      </c>
      <c r="O2" s="51">
        <f>IFERROR(COUNTIFS(N13:N286, "think about it"),"")</f>
        <v>0</v>
      </c>
      <c r="P2" s="13"/>
      <c r="Q2" s="52" t="s">
        <v>41</v>
      </c>
      <c r="R2" s="53">
        <f>IFERROR(COUNTIF(H13:H286,Q2),"")</f>
        <v>0</v>
      </c>
      <c r="S2" s="52" t="s">
        <v>42</v>
      </c>
      <c r="T2" s="54">
        <f>IFERROR(COUNTIF(H13:H286,S2),"")</f>
        <v>0</v>
      </c>
      <c r="U2" s="35"/>
      <c r="V2" s="55"/>
    </row>
    <row r="3">
      <c r="A3" s="13"/>
      <c r="B3" s="163" t="s">
        <v>43</v>
      </c>
      <c r="C3" s="57">
        <f>IFERROR(SUM(K13:K283),"")</f>
        <v>30000</v>
      </c>
      <c r="D3" s="58"/>
      <c r="E3" s="160" t="s">
        <v>27</v>
      </c>
      <c r="F3" s="161">
        <f>IFERROR(COUNTIFS(I13:I287, "Split-Pay"),"")</f>
        <v>2</v>
      </c>
      <c r="G3" s="13"/>
      <c r="H3" s="46" t="s">
        <v>17</v>
      </c>
      <c r="I3" s="47">
        <f>IFERROR(I10/I9,"")</f>
        <v>0.5</v>
      </c>
      <c r="J3" s="12"/>
      <c r="K3" s="162" t="s">
        <v>44</v>
      </c>
      <c r="L3" s="49">
        <f>iferror(F9/I6,"")</f>
        <v>0</v>
      </c>
      <c r="M3" s="12"/>
      <c r="N3" s="50" t="s">
        <v>45</v>
      </c>
      <c r="O3" s="59">
        <f>IFERROR(COUNTIFS(N13:N286, "money"),"")</f>
        <v>0</v>
      </c>
      <c r="P3" s="13"/>
      <c r="Q3" s="52" t="s">
        <v>46</v>
      </c>
      <c r="R3" s="53">
        <f>IFERROR(COUNTIF(H13:H286,Q3),"")</f>
        <v>0</v>
      </c>
      <c r="S3" s="52" t="s">
        <v>47</v>
      </c>
      <c r="T3" s="54">
        <f>IFERROR(COUNTIF(H13:H286,S3),"")</f>
        <v>0</v>
      </c>
      <c r="U3" s="35"/>
      <c r="V3" s="55"/>
    </row>
    <row r="4">
      <c r="A4" s="13"/>
      <c r="B4" s="164" t="s">
        <v>48</v>
      </c>
      <c r="C4" s="61">
        <f>IFERROR(SUM(L13:L284),"")</f>
        <v>15000</v>
      </c>
      <c r="D4" s="58"/>
      <c r="E4" s="160" t="s">
        <v>28</v>
      </c>
      <c r="F4" s="161">
        <f>IFERROR(COUNTIFS(I13:I287, "Deposit"),"")</f>
        <v>0</v>
      </c>
      <c r="G4" s="13"/>
      <c r="H4" s="46" t="s">
        <v>18</v>
      </c>
      <c r="I4" s="47">
        <f>IFERROR(I9/I8,"")</f>
        <v>1</v>
      </c>
      <c r="J4" s="12"/>
      <c r="K4" s="162" t="s">
        <v>49</v>
      </c>
      <c r="L4" s="49">
        <f>iferror(F10/I6,"")</f>
        <v>0</v>
      </c>
      <c r="M4" s="12"/>
      <c r="N4" s="50" t="s">
        <v>50</v>
      </c>
      <c r="O4" s="51">
        <f>IFERROR(COUNTIFS(N13:N286, "time"),"")</f>
        <v>1</v>
      </c>
      <c r="P4" s="13"/>
      <c r="Q4" s="52" t="s">
        <v>51</v>
      </c>
      <c r="R4" s="53">
        <f>IFERROR(COUNTIF(H13:H286,Q4),"")</f>
        <v>0</v>
      </c>
      <c r="S4" s="52" t="s">
        <v>52</v>
      </c>
      <c r="T4" s="54">
        <f>IFERROR(COUNTIF(H13:H286,S4),"")</f>
        <v>0</v>
      </c>
      <c r="U4" s="35"/>
      <c r="V4" s="35"/>
    </row>
    <row r="5">
      <c r="A5" s="35"/>
      <c r="B5" s="39"/>
      <c r="C5" s="39"/>
      <c r="D5" s="13"/>
      <c r="E5" s="160" t="s">
        <v>53</v>
      </c>
      <c r="F5" s="161">
        <f>IFERROR(COUNTIFS(I13:I287, "Offer &amp; Didn't Buy"),"")</f>
        <v>3</v>
      </c>
      <c r="G5" s="13"/>
      <c r="H5" s="46" t="s">
        <v>54</v>
      </c>
      <c r="I5" s="47">
        <f>IFERROR(F7/(C6+F7+F8),"")</f>
        <v>0</v>
      </c>
      <c r="J5" s="13"/>
      <c r="K5" s="162" t="s">
        <v>54</v>
      </c>
      <c r="L5" s="49">
        <f>iferror(F7/I6,"")</f>
        <v>0</v>
      </c>
      <c r="M5" s="12"/>
      <c r="N5" s="50" t="s">
        <v>55</v>
      </c>
      <c r="O5" s="51">
        <f>IFERROR(COUNTIFS(N13:N286, "partner"),"")</f>
        <v>0</v>
      </c>
      <c r="P5" s="13"/>
      <c r="Q5" s="52" t="s">
        <v>56</v>
      </c>
      <c r="R5" s="53">
        <f>IFERROR(COUNTIF(H13:H286,Q5),"")</f>
        <v>0</v>
      </c>
      <c r="S5" s="52" t="s">
        <v>57</v>
      </c>
      <c r="T5" s="54">
        <f>IFERROR(COUNTIF(H13:H286,S5),"")</f>
        <v>0</v>
      </c>
      <c r="U5" s="35"/>
      <c r="V5" s="55"/>
    </row>
    <row r="6">
      <c r="A6" s="13"/>
      <c r="B6" s="165" t="s">
        <v>58</v>
      </c>
      <c r="C6" s="63">
        <f>IFERROR(SUM(F2:F6),"")</f>
        <v>6</v>
      </c>
      <c r="D6" s="13"/>
      <c r="E6" s="160" t="s">
        <v>59</v>
      </c>
      <c r="F6" s="161">
        <f>IFERROR(COUNTIFS(I13:I287, "Bad Fit &amp; No Offer"),"")</f>
        <v>0</v>
      </c>
      <c r="G6" s="13"/>
      <c r="H6" s="46" t="s">
        <v>21</v>
      </c>
      <c r="I6" s="64">
        <f>IFERROR(SUM(F2:F10),"")</f>
        <v>6</v>
      </c>
      <c r="J6" s="13"/>
      <c r="K6" s="166" t="s">
        <v>29</v>
      </c>
      <c r="L6" s="49">
        <f>iferror(I7/I6,"")</f>
        <v>1</v>
      </c>
      <c r="M6" s="12"/>
      <c r="N6" s="50" t="s">
        <v>60</v>
      </c>
      <c r="O6" s="51">
        <f>IFERROR(COUNTIFS(N13:N286, "fear"),"")</f>
        <v>0</v>
      </c>
      <c r="P6" s="13"/>
      <c r="Q6" s="52" t="s">
        <v>61</v>
      </c>
      <c r="R6" s="53">
        <f>IFERROR(COUNTIF(H13:H286,Q6),"")</f>
        <v>0</v>
      </c>
      <c r="S6" s="52" t="s">
        <v>62</v>
      </c>
      <c r="T6" s="54">
        <f>IFERROR(COUNTIF(H13:H286,S6),"")</f>
        <v>0</v>
      </c>
      <c r="U6" s="35"/>
      <c r="V6" s="55"/>
    </row>
    <row r="7">
      <c r="A7" s="13"/>
      <c r="B7" s="165" t="s">
        <v>63</v>
      </c>
      <c r="C7" s="66">
        <f>IFERROR(F2+F3,"")</f>
        <v>3</v>
      </c>
      <c r="D7" s="13"/>
      <c r="E7" s="160" t="s">
        <v>64</v>
      </c>
      <c r="F7" s="161">
        <f>IFERROR(COUNTIFS(I13:I287, "Drag Over &amp; Show"),"")</f>
        <v>0</v>
      </c>
      <c r="G7" s="13"/>
      <c r="H7" s="46" t="s">
        <v>22</v>
      </c>
      <c r="I7" s="64">
        <f>IFERROR(SUM(F2:F7),"")</f>
        <v>6</v>
      </c>
      <c r="J7" s="13"/>
      <c r="K7" s="167" t="s">
        <v>30</v>
      </c>
      <c r="L7" s="68">
        <f>IFERROR(I8/I6,"")</f>
        <v>1</v>
      </c>
      <c r="M7" s="12"/>
      <c r="N7" s="69" t="s">
        <v>65</v>
      </c>
      <c r="O7" s="70">
        <f>IFERROR(COUNTIFS(N14:N287, "value"),"")</f>
        <v>0</v>
      </c>
      <c r="P7" s="13"/>
      <c r="Q7" s="52" t="s">
        <v>66</v>
      </c>
      <c r="R7" s="53">
        <f>IFERROR(COUNTIF(H13:H286,Q7),"")</f>
        <v>0</v>
      </c>
      <c r="S7" s="52" t="s">
        <v>67</v>
      </c>
      <c r="T7" s="54">
        <f>IFERROR(COUNTIF(H13:H286,S7),"")</f>
        <v>0</v>
      </c>
      <c r="U7" s="35"/>
      <c r="V7" s="35"/>
    </row>
    <row r="8">
      <c r="A8" s="13"/>
      <c r="B8" s="165" t="s">
        <v>68</v>
      </c>
      <c r="C8" s="71">
        <f>COUNTIF(I13:I286,"offer &amp; didn't buy")+countif(I13:I286,"deposit")+countif(I13:I286,"bad fit &amp; no offer")</f>
        <v>3</v>
      </c>
      <c r="D8" s="72"/>
      <c r="E8" s="160" t="s">
        <v>69</v>
      </c>
      <c r="F8" s="161">
        <f>IFERROR(COUNTIFS(I13:I287, "Rescheduled"),"")</f>
        <v>0</v>
      </c>
      <c r="G8" s="13"/>
      <c r="H8" s="46" t="s">
        <v>23</v>
      </c>
      <c r="I8" s="64">
        <f>IFERROR(SUM(F2:F6),"")</f>
        <v>6</v>
      </c>
      <c r="J8" s="35"/>
      <c r="K8" s="35"/>
      <c r="L8" s="35"/>
      <c r="M8" s="35"/>
      <c r="N8" s="35"/>
      <c r="O8" s="74"/>
      <c r="P8" s="13"/>
      <c r="Q8" s="75" t="s">
        <v>70</v>
      </c>
      <c r="R8" s="76">
        <f>IFERROR(COUNTIF(H13:H286,Q8),"")</f>
        <v>0</v>
      </c>
      <c r="S8" s="75" t="s">
        <v>71</v>
      </c>
      <c r="T8" s="77">
        <f>IFERROR(COUNTIF(H13:H286,S8),"")</f>
        <v>0</v>
      </c>
      <c r="U8" s="35"/>
      <c r="V8" s="35"/>
    </row>
    <row r="9">
      <c r="A9" s="13"/>
      <c r="B9" s="165" t="s">
        <v>72</v>
      </c>
      <c r="C9" s="78">
        <f>iferror(SUM(C7/C6),"")</f>
        <v>0.5</v>
      </c>
      <c r="D9" s="12"/>
      <c r="E9" s="160" t="s">
        <v>73</v>
      </c>
      <c r="F9" s="161">
        <f>IFERROR(COUNTIFS(I13:I287, "Cancelled"),"")</f>
        <v>0</v>
      </c>
      <c r="G9" s="13"/>
      <c r="H9" s="46" t="s">
        <v>24</v>
      </c>
      <c r="I9" s="64">
        <f>IFERROR(sum(F2:F5),"")</f>
        <v>6</v>
      </c>
      <c r="J9" s="35"/>
      <c r="K9" s="35"/>
      <c r="L9" s="35"/>
      <c r="M9" s="35"/>
      <c r="N9" s="35"/>
      <c r="O9" s="74"/>
      <c r="P9" s="35"/>
      <c r="Q9" s="35"/>
      <c r="R9" s="35"/>
      <c r="S9" s="35"/>
      <c r="T9" s="35"/>
      <c r="V9" s="35"/>
    </row>
    <row r="10">
      <c r="A10" s="35"/>
      <c r="B10" s="35"/>
      <c r="C10" s="35"/>
      <c r="D10" s="13"/>
      <c r="E10" s="168" t="s">
        <v>74</v>
      </c>
      <c r="F10" s="169">
        <f>IFERROR(COUNTIFS(I13:I287, "No-Show"),"")</f>
        <v>0</v>
      </c>
      <c r="G10" s="13"/>
      <c r="H10" s="81" t="s">
        <v>75</v>
      </c>
      <c r="I10" s="82">
        <f>F2+F3</f>
        <v>3</v>
      </c>
      <c r="J10" s="35"/>
      <c r="K10" s="35"/>
      <c r="L10" s="35"/>
      <c r="M10" s="35"/>
      <c r="N10" s="35"/>
      <c r="O10" s="74"/>
      <c r="P10" s="35"/>
      <c r="Q10" s="35"/>
      <c r="R10" s="35"/>
      <c r="S10" s="35"/>
      <c r="T10" s="35"/>
      <c r="V10" s="35"/>
    </row>
    <row r="11" ht="6.0" customHeight="1">
      <c r="A11" s="35"/>
      <c r="B11" s="35"/>
      <c r="C11" s="35"/>
      <c r="D11" s="35"/>
      <c r="E11" s="35"/>
      <c r="F11" s="35"/>
      <c r="G11" s="35"/>
      <c r="H11" s="35"/>
      <c r="I11" s="35"/>
      <c r="J11" s="35"/>
      <c r="K11" s="35"/>
      <c r="L11" s="35"/>
      <c r="M11" s="35"/>
      <c r="N11" s="35"/>
      <c r="O11" s="74"/>
      <c r="P11" s="35"/>
      <c r="Q11" s="35"/>
      <c r="R11" s="35"/>
      <c r="S11" s="35"/>
      <c r="T11" s="35"/>
      <c r="V11" s="35"/>
    </row>
    <row r="12">
      <c r="A12" s="35"/>
      <c r="B12" s="85" t="s">
        <v>76</v>
      </c>
      <c r="C12" s="85" t="s">
        <v>77</v>
      </c>
      <c r="D12" s="35"/>
      <c r="E12" s="87" t="s">
        <v>78</v>
      </c>
      <c r="F12" s="87" t="s">
        <v>56</v>
      </c>
      <c r="G12" s="35"/>
      <c r="H12" s="87" t="s">
        <v>37</v>
      </c>
      <c r="I12" s="87" t="s">
        <v>33</v>
      </c>
      <c r="J12" s="35"/>
      <c r="K12" s="87" t="s">
        <v>79</v>
      </c>
      <c r="L12" s="87" t="s">
        <v>48</v>
      </c>
      <c r="M12" s="35"/>
      <c r="N12" s="87" t="s">
        <v>80</v>
      </c>
      <c r="O12" s="88" t="s">
        <v>81</v>
      </c>
      <c r="P12" s="35"/>
      <c r="Q12" s="87" t="s">
        <v>82</v>
      </c>
      <c r="R12" s="87" t="s">
        <v>83</v>
      </c>
      <c r="S12" s="87" t="s">
        <v>84</v>
      </c>
      <c r="T12" s="87" t="s">
        <v>85</v>
      </c>
      <c r="V12" s="55"/>
    </row>
    <row r="13" ht="15.75" customHeight="1">
      <c r="A13" s="89"/>
      <c r="B13" s="96" t="s">
        <v>1905</v>
      </c>
      <c r="C13" s="184" t="s">
        <v>1906</v>
      </c>
      <c r="D13" s="92"/>
      <c r="E13" s="130" t="s">
        <v>1907</v>
      </c>
      <c r="F13" s="194" t="s">
        <v>1908</v>
      </c>
      <c r="G13" s="95"/>
      <c r="H13" s="96" t="s">
        <v>89</v>
      </c>
      <c r="I13" s="97" t="s">
        <v>90</v>
      </c>
      <c r="J13" s="95"/>
      <c r="K13" s="99"/>
      <c r="L13" s="99"/>
      <c r="M13" s="100"/>
      <c r="N13" s="101" t="s">
        <v>50</v>
      </c>
      <c r="O13" s="102" t="s">
        <v>1909</v>
      </c>
      <c r="P13" s="95"/>
      <c r="Q13" s="103">
        <v>6.0</v>
      </c>
      <c r="R13" s="171" t="s">
        <v>1910</v>
      </c>
      <c r="S13" s="103" t="s">
        <v>94</v>
      </c>
      <c r="T13" s="105" t="s">
        <v>1911</v>
      </c>
      <c r="U13" s="106"/>
      <c r="V13" s="107"/>
    </row>
    <row r="14" ht="15.75" customHeight="1">
      <c r="A14" s="89"/>
      <c r="B14" s="96" t="s">
        <v>1912</v>
      </c>
      <c r="C14" s="184" t="s">
        <v>1913</v>
      </c>
      <c r="D14" s="92"/>
      <c r="E14" s="130" t="s">
        <v>1914</v>
      </c>
      <c r="F14" s="194" t="s">
        <v>1915</v>
      </c>
      <c r="G14" s="95"/>
      <c r="H14" s="96" t="s">
        <v>89</v>
      </c>
      <c r="I14" s="97" t="s">
        <v>90</v>
      </c>
      <c r="J14" s="95"/>
      <c r="K14" s="99"/>
      <c r="L14" s="99"/>
      <c r="M14" s="100"/>
      <c r="N14" s="101"/>
      <c r="O14" s="102" t="s">
        <v>1916</v>
      </c>
      <c r="P14" s="95"/>
      <c r="Q14" s="103">
        <v>6.0</v>
      </c>
      <c r="R14" s="170" t="s">
        <v>1917</v>
      </c>
      <c r="S14" s="103" t="s">
        <v>94</v>
      </c>
      <c r="T14" s="105" t="s">
        <v>1918</v>
      </c>
      <c r="U14" s="106"/>
      <c r="V14" s="107"/>
    </row>
    <row r="15" ht="15.75" customHeight="1">
      <c r="A15" s="95"/>
      <c r="B15" s="96" t="s">
        <v>1912</v>
      </c>
      <c r="C15" s="210" t="s">
        <v>1919</v>
      </c>
      <c r="D15" s="95"/>
      <c r="E15" s="130" t="s">
        <v>1920</v>
      </c>
      <c r="F15" s="194" t="s">
        <v>1921</v>
      </c>
      <c r="G15" s="95"/>
      <c r="H15" s="96" t="s">
        <v>89</v>
      </c>
      <c r="I15" s="97" t="s">
        <v>1566</v>
      </c>
      <c r="J15" s="95"/>
      <c r="K15" s="99">
        <v>10500.0</v>
      </c>
      <c r="L15" s="99">
        <v>3000.0</v>
      </c>
      <c r="M15" s="100"/>
      <c r="N15" s="101"/>
      <c r="O15" s="102"/>
      <c r="P15" s="95"/>
      <c r="Q15" s="103">
        <v>6.0</v>
      </c>
      <c r="R15" s="170" t="s">
        <v>1922</v>
      </c>
      <c r="S15" s="103" t="s">
        <v>113</v>
      </c>
      <c r="T15" s="110" t="s">
        <v>1923</v>
      </c>
      <c r="U15" s="103"/>
      <c r="V15" s="107"/>
    </row>
    <row r="16" ht="15.75" customHeight="1">
      <c r="A16" s="95"/>
      <c r="B16" s="96" t="s">
        <v>1912</v>
      </c>
      <c r="C16" s="210" t="s">
        <v>1924</v>
      </c>
      <c r="D16" s="103"/>
      <c r="E16" s="130" t="s">
        <v>1925</v>
      </c>
      <c r="F16" s="194" t="s">
        <v>1926</v>
      </c>
      <c r="G16" s="95"/>
      <c r="H16" s="96" t="s">
        <v>89</v>
      </c>
      <c r="I16" s="97" t="s">
        <v>1566</v>
      </c>
      <c r="J16" s="95"/>
      <c r="K16" s="99">
        <v>10500.0</v>
      </c>
      <c r="L16" s="99">
        <v>3000.0</v>
      </c>
      <c r="M16" s="100"/>
      <c r="N16" s="101"/>
      <c r="O16" s="102" t="s">
        <v>1927</v>
      </c>
      <c r="P16" s="95"/>
      <c r="Q16" s="103">
        <v>6.0</v>
      </c>
      <c r="R16" s="170" t="s">
        <v>1928</v>
      </c>
      <c r="S16" s="103" t="s">
        <v>113</v>
      </c>
      <c r="T16" s="116" t="s">
        <v>1929</v>
      </c>
      <c r="U16" s="103"/>
      <c r="V16" s="107"/>
    </row>
    <row r="17" ht="15.75" customHeight="1">
      <c r="A17" s="95"/>
      <c r="B17" s="96" t="s">
        <v>1930</v>
      </c>
      <c r="C17" s="211" t="s">
        <v>1931</v>
      </c>
      <c r="D17" s="95"/>
      <c r="E17" s="130" t="s">
        <v>1932</v>
      </c>
      <c r="F17" s="194" t="s">
        <v>1933</v>
      </c>
      <c r="G17" s="95"/>
      <c r="H17" s="96" t="s">
        <v>89</v>
      </c>
      <c r="I17" s="97" t="s">
        <v>90</v>
      </c>
      <c r="J17" s="95"/>
      <c r="K17" s="99"/>
      <c r="L17" s="99"/>
      <c r="M17" s="100"/>
      <c r="N17" s="101"/>
      <c r="O17" s="102" t="s">
        <v>1934</v>
      </c>
      <c r="P17" s="95"/>
      <c r="Q17" s="103">
        <v>6.0</v>
      </c>
      <c r="R17" s="170" t="s">
        <v>1935</v>
      </c>
      <c r="S17" s="103" t="s">
        <v>94</v>
      </c>
      <c r="T17" s="103" t="s">
        <v>1936</v>
      </c>
      <c r="V17" s="107"/>
    </row>
    <row r="18" ht="15.75" customHeight="1">
      <c r="A18" s="95"/>
      <c r="B18" s="96" t="s">
        <v>1937</v>
      </c>
      <c r="C18" s="212" t="s">
        <v>1938</v>
      </c>
      <c r="D18" s="95"/>
      <c r="E18" s="130" t="s">
        <v>1939</v>
      </c>
      <c r="F18" s="194" t="s">
        <v>1940</v>
      </c>
      <c r="G18" s="95"/>
      <c r="H18" s="96" t="s">
        <v>89</v>
      </c>
      <c r="I18" s="97" t="s">
        <v>110</v>
      </c>
      <c r="J18" s="95"/>
      <c r="K18" s="99">
        <v>9000.0</v>
      </c>
      <c r="L18" s="99">
        <v>9000.0</v>
      </c>
      <c r="M18" s="100"/>
      <c r="N18" s="127"/>
      <c r="O18" s="102"/>
      <c r="P18" s="95"/>
      <c r="Q18" s="103">
        <v>6.0</v>
      </c>
      <c r="R18" s="171" t="s">
        <v>1941</v>
      </c>
      <c r="S18" s="103" t="s">
        <v>113</v>
      </c>
      <c r="T18" s="119" t="s">
        <v>1942</v>
      </c>
      <c r="U18" s="95"/>
      <c r="V18" s="107"/>
    </row>
    <row r="19" ht="15.75" customHeight="1">
      <c r="A19" s="95"/>
      <c r="B19" s="96"/>
      <c r="C19" s="119"/>
      <c r="D19" s="95"/>
      <c r="E19" s="130"/>
      <c r="F19" s="194"/>
      <c r="G19" s="95"/>
      <c r="H19" s="96"/>
      <c r="I19" s="97"/>
      <c r="J19" s="95"/>
      <c r="K19" s="99"/>
      <c r="L19" s="99"/>
      <c r="M19" s="100"/>
      <c r="N19" s="101"/>
      <c r="O19" s="128"/>
      <c r="P19" s="95"/>
      <c r="Q19" s="103"/>
      <c r="R19" s="106"/>
      <c r="S19" s="103"/>
      <c r="T19" s="119"/>
      <c r="U19" s="95"/>
      <c r="V19" s="107"/>
    </row>
    <row r="20" ht="15.75" customHeight="1">
      <c r="A20" s="95"/>
      <c r="B20" s="119"/>
      <c r="C20" s="119"/>
      <c r="D20" s="95"/>
      <c r="E20" s="130"/>
      <c r="F20" s="194"/>
      <c r="G20" s="95"/>
      <c r="H20" s="96"/>
      <c r="I20" s="97"/>
      <c r="J20" s="95"/>
      <c r="K20" s="113"/>
      <c r="L20" s="113"/>
      <c r="M20" s="100"/>
      <c r="N20" s="101"/>
      <c r="O20" s="102"/>
      <c r="P20" s="95"/>
      <c r="Q20" s="103"/>
      <c r="R20" s="106"/>
      <c r="S20" s="103"/>
      <c r="T20" s="119"/>
      <c r="U20" s="95"/>
      <c r="V20" s="107"/>
    </row>
    <row r="21" ht="15.75" customHeight="1">
      <c r="A21" s="89"/>
      <c r="B21" s="96"/>
      <c r="C21" s="210"/>
      <c r="D21" s="95"/>
      <c r="E21" s="130"/>
      <c r="F21" s="194"/>
      <c r="G21" s="95"/>
      <c r="H21" s="96"/>
      <c r="I21" s="97"/>
      <c r="J21" s="95"/>
      <c r="K21" s="99"/>
      <c r="L21" s="99"/>
      <c r="M21" s="100"/>
      <c r="N21" s="101"/>
      <c r="O21" s="102"/>
      <c r="P21" s="95"/>
      <c r="Q21" s="103"/>
      <c r="R21" s="175"/>
      <c r="S21" s="103"/>
      <c r="T21" s="103"/>
      <c r="V21" s="107"/>
    </row>
    <row r="22" ht="15.75" customHeight="1">
      <c r="A22" s="89"/>
      <c r="B22" s="96"/>
      <c r="C22" s="97"/>
      <c r="D22" s="95"/>
      <c r="E22" s="130"/>
      <c r="F22" s="194"/>
      <c r="G22" s="95"/>
      <c r="H22" s="96"/>
      <c r="I22" s="97"/>
      <c r="J22" s="95"/>
      <c r="K22" s="113"/>
      <c r="L22" s="113"/>
      <c r="M22" s="100"/>
      <c r="N22" s="127"/>
      <c r="O22" s="102"/>
      <c r="P22" s="95"/>
      <c r="Q22" s="103"/>
      <c r="R22" s="129"/>
      <c r="S22" s="103"/>
      <c r="T22" s="103"/>
      <c r="V22" s="107"/>
    </row>
    <row r="23" ht="15.75" customHeight="1">
      <c r="A23" s="89"/>
      <c r="B23" s="96"/>
      <c r="C23" s="97"/>
      <c r="D23" s="95"/>
      <c r="E23" s="130"/>
      <c r="F23" s="194"/>
      <c r="G23" s="95"/>
      <c r="H23" s="96"/>
      <c r="I23" s="103"/>
      <c r="J23" s="95"/>
      <c r="K23" s="99"/>
      <c r="L23" s="99"/>
      <c r="M23" s="100"/>
      <c r="N23" s="101"/>
      <c r="O23" s="102"/>
      <c r="P23" s="95"/>
      <c r="Q23" s="103"/>
      <c r="R23" s="106"/>
      <c r="S23" s="103"/>
      <c r="T23" s="103"/>
      <c r="V23" s="107"/>
    </row>
    <row r="24" ht="15.75" customHeight="1">
      <c r="A24" s="89"/>
      <c r="B24" s="96"/>
      <c r="C24" s="97"/>
      <c r="D24" s="95"/>
      <c r="E24" s="130"/>
      <c r="F24" s="194"/>
      <c r="G24" s="95"/>
      <c r="H24" s="96"/>
      <c r="I24" s="103"/>
      <c r="J24" s="95"/>
      <c r="K24" s="99"/>
      <c r="L24" s="99"/>
      <c r="M24" s="100"/>
      <c r="N24" s="101"/>
      <c r="O24" s="102"/>
      <c r="P24" s="95"/>
      <c r="Q24" s="103"/>
      <c r="R24" s="106"/>
      <c r="S24" s="103"/>
      <c r="T24" s="103"/>
      <c r="V24" s="107"/>
    </row>
    <row r="25" ht="15.75" customHeight="1">
      <c r="A25" s="89"/>
      <c r="B25" s="96"/>
      <c r="C25" s="97"/>
      <c r="D25" s="95"/>
      <c r="E25" s="213"/>
      <c r="F25" s="216"/>
      <c r="G25" s="95"/>
      <c r="H25" s="96"/>
      <c r="I25" s="103"/>
      <c r="J25" s="95"/>
      <c r="K25" s="99"/>
      <c r="L25" s="99"/>
      <c r="M25" s="100"/>
      <c r="N25" s="101"/>
      <c r="O25" s="102"/>
      <c r="P25" s="95"/>
      <c r="Q25" s="114"/>
      <c r="R25" s="106"/>
      <c r="S25" s="103"/>
      <c r="T25" s="103"/>
      <c r="V25" s="107"/>
    </row>
    <row r="26" ht="15.75" customHeight="1">
      <c r="A26" s="89"/>
      <c r="B26" s="96"/>
      <c r="C26" s="97"/>
      <c r="D26" s="95"/>
      <c r="E26" s="213"/>
      <c r="F26" s="216"/>
      <c r="G26" s="95"/>
      <c r="H26" s="96"/>
      <c r="I26" s="103"/>
      <c r="J26" s="95"/>
      <c r="K26" s="113"/>
      <c r="L26" s="113"/>
      <c r="M26" s="100"/>
      <c r="N26" s="101"/>
      <c r="O26" s="102"/>
      <c r="P26" s="95"/>
      <c r="Q26" s="114"/>
      <c r="R26" s="106"/>
      <c r="S26" s="103"/>
      <c r="T26" s="103"/>
      <c r="V26" s="107"/>
    </row>
    <row r="27" ht="15.75" customHeight="1">
      <c r="A27" s="89"/>
      <c r="B27" s="96"/>
      <c r="C27" s="97"/>
      <c r="D27" s="95"/>
      <c r="E27" s="213"/>
      <c r="F27" s="123"/>
      <c r="G27" s="95"/>
      <c r="H27" s="96"/>
      <c r="I27" s="103"/>
      <c r="J27" s="95"/>
      <c r="K27" s="99"/>
      <c r="L27" s="99"/>
      <c r="M27" s="100"/>
      <c r="N27" s="127"/>
      <c r="O27" s="102"/>
      <c r="P27" s="95"/>
      <c r="Q27" s="95"/>
      <c r="R27" s="129"/>
      <c r="S27" s="95"/>
      <c r="T27" s="95"/>
      <c r="V27" s="107"/>
    </row>
    <row r="28" ht="15.75" customHeight="1">
      <c r="A28" s="89"/>
      <c r="B28" s="96"/>
      <c r="C28" s="97"/>
      <c r="D28" s="95"/>
      <c r="E28" s="130"/>
      <c r="F28" s="194"/>
      <c r="G28" s="95"/>
      <c r="H28" s="96"/>
      <c r="I28" s="103"/>
      <c r="J28" s="95"/>
      <c r="K28" s="99"/>
      <c r="L28" s="99"/>
      <c r="M28" s="100"/>
      <c r="N28" s="101"/>
      <c r="O28" s="102"/>
      <c r="P28" s="95"/>
      <c r="Q28" s="103"/>
      <c r="R28" s="115"/>
      <c r="S28" s="103"/>
      <c r="T28" s="103"/>
      <c r="V28" s="107"/>
    </row>
    <row r="29" ht="15.75" customHeight="1">
      <c r="A29" s="89"/>
      <c r="B29" s="96"/>
      <c r="C29" s="103"/>
      <c r="D29" s="95"/>
      <c r="E29" s="130"/>
      <c r="F29" s="194"/>
      <c r="G29" s="95"/>
      <c r="H29" s="96"/>
      <c r="I29" s="103"/>
      <c r="J29" s="95"/>
      <c r="K29" s="99"/>
      <c r="L29" s="99"/>
      <c r="M29" s="100"/>
      <c r="N29" s="127"/>
      <c r="O29" s="102"/>
      <c r="P29" s="95"/>
      <c r="Q29" s="103"/>
      <c r="R29" s="106"/>
      <c r="S29" s="103"/>
      <c r="T29" s="103"/>
      <c r="V29" s="107"/>
    </row>
    <row r="30" ht="15.75" customHeight="1">
      <c r="A30" s="89"/>
      <c r="B30" s="177"/>
      <c r="C30" s="97"/>
      <c r="D30" s="95"/>
      <c r="E30" s="176"/>
      <c r="F30" s="144"/>
      <c r="G30" s="95"/>
      <c r="H30" s="96"/>
      <c r="I30" s="103"/>
      <c r="J30" s="95"/>
      <c r="K30" s="113"/>
      <c r="L30" s="113"/>
      <c r="M30" s="100"/>
      <c r="N30" s="127"/>
      <c r="O30" s="128"/>
      <c r="P30" s="95"/>
      <c r="Q30" s="95"/>
      <c r="R30" s="129"/>
      <c r="S30" s="95"/>
      <c r="T30" s="95"/>
      <c r="V30" s="107"/>
    </row>
    <row r="31" ht="15.75" customHeight="1">
      <c r="A31" s="89"/>
      <c r="B31" s="177"/>
      <c r="C31" s="97"/>
      <c r="D31" s="95"/>
      <c r="E31" s="176"/>
      <c r="F31" s="144"/>
      <c r="G31" s="95"/>
      <c r="H31" s="96"/>
      <c r="I31" s="103"/>
      <c r="J31" s="95"/>
      <c r="K31" s="99"/>
      <c r="L31" s="99"/>
      <c r="M31" s="100"/>
      <c r="N31" s="127"/>
      <c r="O31" s="102"/>
      <c r="P31" s="95"/>
      <c r="Q31" s="114"/>
      <c r="R31" s="106"/>
      <c r="S31" s="103"/>
      <c r="T31" s="103"/>
      <c r="V31" s="107"/>
    </row>
    <row r="32" ht="15.75" customHeight="1">
      <c r="A32" s="89"/>
      <c r="B32" s="177"/>
      <c r="C32" s="97"/>
      <c r="D32" s="95"/>
      <c r="E32" s="176"/>
      <c r="F32" s="144"/>
      <c r="G32" s="95"/>
      <c r="H32" s="96"/>
      <c r="I32" s="103"/>
      <c r="J32" s="95"/>
      <c r="K32" s="113"/>
      <c r="L32" s="113"/>
      <c r="M32" s="100"/>
      <c r="N32" s="127"/>
      <c r="O32" s="128"/>
      <c r="P32" s="95"/>
      <c r="Q32" s="95"/>
      <c r="R32" s="129"/>
      <c r="S32" s="95"/>
      <c r="T32" s="95"/>
      <c r="V32" s="107"/>
    </row>
    <row r="33" ht="15.75" customHeight="1">
      <c r="A33" s="89"/>
      <c r="B33" s="177"/>
      <c r="C33" s="97"/>
      <c r="D33" s="95"/>
      <c r="E33" s="176"/>
      <c r="F33" s="146"/>
      <c r="G33" s="95"/>
      <c r="H33" s="96"/>
      <c r="I33" s="103"/>
      <c r="J33" s="95"/>
      <c r="K33" s="99"/>
      <c r="L33" s="99"/>
      <c r="M33" s="100"/>
      <c r="N33" s="127"/>
      <c r="O33" s="102"/>
      <c r="P33" s="95"/>
      <c r="Q33" s="114"/>
      <c r="R33" s="106"/>
      <c r="S33" s="103"/>
      <c r="T33" s="103"/>
      <c r="V33" s="107"/>
    </row>
    <row r="34" ht="15.75" customHeight="1">
      <c r="A34" s="89"/>
      <c r="B34" s="177"/>
      <c r="C34" s="97"/>
      <c r="D34" s="95"/>
      <c r="E34" s="176"/>
      <c r="F34" s="144"/>
      <c r="G34" s="95"/>
      <c r="H34" s="96"/>
      <c r="I34" s="103"/>
      <c r="J34" s="95"/>
      <c r="K34" s="113"/>
      <c r="L34" s="113"/>
      <c r="M34" s="100"/>
      <c r="N34" s="127"/>
      <c r="O34" s="128"/>
      <c r="P34" s="95"/>
      <c r="Q34" s="95"/>
      <c r="R34" s="129"/>
      <c r="S34" s="95"/>
      <c r="T34" s="95"/>
      <c r="V34" s="107"/>
    </row>
    <row r="35" ht="15.75" customHeight="1">
      <c r="A35" s="89"/>
      <c r="B35" s="177"/>
      <c r="C35" s="103"/>
      <c r="D35" s="95"/>
      <c r="E35" s="176"/>
      <c r="F35" s="144"/>
      <c r="G35" s="95"/>
      <c r="H35" s="96"/>
      <c r="I35" s="103"/>
      <c r="J35" s="95"/>
      <c r="K35" s="99"/>
      <c r="L35" s="99"/>
      <c r="M35" s="100"/>
      <c r="N35" s="127"/>
      <c r="O35" s="128"/>
      <c r="P35" s="95"/>
      <c r="Q35" s="95"/>
      <c r="R35" s="129"/>
      <c r="S35" s="95"/>
      <c r="T35" s="95"/>
      <c r="V35" s="107"/>
    </row>
    <row r="36" ht="15.75" customHeight="1">
      <c r="A36" s="89"/>
      <c r="B36" s="177"/>
      <c r="C36" s="103"/>
      <c r="D36" s="95"/>
      <c r="E36" s="176"/>
      <c r="F36" s="146"/>
      <c r="G36" s="95"/>
      <c r="H36" s="96"/>
      <c r="I36" s="103"/>
      <c r="J36" s="95"/>
      <c r="K36" s="113"/>
      <c r="L36" s="113"/>
      <c r="M36" s="100"/>
      <c r="N36" s="127"/>
      <c r="O36" s="128"/>
      <c r="P36" s="95"/>
      <c r="Q36" s="95"/>
      <c r="R36" s="129"/>
      <c r="S36" s="95"/>
      <c r="T36" s="103"/>
      <c r="V36" s="107"/>
    </row>
    <row r="37" ht="15.75" customHeight="1">
      <c r="A37" s="89"/>
      <c r="B37" s="177"/>
      <c r="C37" s="97"/>
      <c r="D37" s="95"/>
      <c r="E37" s="176"/>
      <c r="F37" s="144"/>
      <c r="G37" s="95"/>
      <c r="H37" s="96"/>
      <c r="I37" s="103"/>
      <c r="J37" s="95"/>
      <c r="K37" s="99"/>
      <c r="L37" s="99"/>
      <c r="M37" s="100"/>
      <c r="N37" s="101"/>
      <c r="O37" s="102"/>
      <c r="P37" s="95"/>
      <c r="Q37" s="114"/>
      <c r="R37" s="106"/>
      <c r="S37" s="103"/>
      <c r="T37" s="103"/>
      <c r="V37" s="107"/>
    </row>
    <row r="38" ht="15.75" customHeight="1">
      <c r="A38" s="89"/>
      <c r="B38" s="177"/>
      <c r="C38" s="97"/>
      <c r="D38" s="95"/>
      <c r="E38" s="176"/>
      <c r="F38" s="144"/>
      <c r="G38" s="95"/>
      <c r="H38" s="96"/>
      <c r="I38" s="103"/>
      <c r="J38" s="95"/>
      <c r="K38" s="113"/>
      <c r="L38" s="113"/>
      <c r="M38" s="100"/>
      <c r="N38" s="127"/>
      <c r="O38" s="128"/>
      <c r="P38" s="95"/>
      <c r="Q38" s="135"/>
      <c r="R38" s="106"/>
      <c r="S38" s="95"/>
      <c r="V38" s="107"/>
    </row>
    <row r="39" ht="15.75" customHeight="1">
      <c r="A39" s="89"/>
      <c r="B39" s="177"/>
      <c r="C39" s="97"/>
      <c r="D39" s="95"/>
      <c r="E39" s="176"/>
      <c r="F39" s="178"/>
      <c r="G39" s="95"/>
      <c r="H39" s="96"/>
      <c r="I39" s="103"/>
      <c r="J39" s="95"/>
      <c r="K39" s="99"/>
      <c r="L39" s="99"/>
      <c r="M39" s="100"/>
      <c r="N39" s="127"/>
      <c r="O39" s="128"/>
      <c r="P39" s="95"/>
      <c r="Q39" s="114"/>
      <c r="R39" s="106"/>
      <c r="S39" s="95"/>
      <c r="T39" s="103"/>
      <c r="V39" s="107"/>
    </row>
    <row r="40" ht="15.75" customHeight="1">
      <c r="A40" s="89"/>
      <c r="B40" s="177"/>
      <c r="C40" s="97"/>
      <c r="D40" s="95"/>
      <c r="E40" s="176"/>
      <c r="F40" s="144"/>
      <c r="G40" s="95"/>
      <c r="H40" s="96"/>
      <c r="I40" s="103"/>
      <c r="J40" s="95"/>
      <c r="K40" s="113"/>
      <c r="L40" s="113"/>
      <c r="M40" s="100"/>
      <c r="N40" s="101"/>
      <c r="O40" s="102"/>
      <c r="P40" s="95"/>
      <c r="Q40" s="114"/>
      <c r="R40" s="106"/>
      <c r="S40" s="103"/>
      <c r="T40" s="103"/>
      <c r="V40" s="107"/>
    </row>
    <row r="41" ht="15.75" customHeight="1">
      <c r="A41" s="89"/>
      <c r="B41" s="177"/>
      <c r="C41" s="97"/>
      <c r="D41" s="95"/>
      <c r="E41" s="96"/>
      <c r="F41" s="146"/>
      <c r="G41" s="95"/>
      <c r="H41" s="96"/>
      <c r="I41" s="103"/>
      <c r="J41" s="95"/>
      <c r="K41" s="99"/>
      <c r="L41" s="99"/>
      <c r="M41" s="100"/>
      <c r="N41" s="127"/>
      <c r="O41" s="128"/>
      <c r="P41" s="95"/>
      <c r="Q41" s="95"/>
      <c r="R41" s="129"/>
      <c r="S41" s="95"/>
      <c r="T41" s="95"/>
      <c r="V41" s="107"/>
    </row>
    <row r="42" ht="15.75" customHeight="1">
      <c r="A42" s="89"/>
      <c r="B42" s="177"/>
      <c r="C42" s="103"/>
      <c r="D42" s="95"/>
      <c r="E42" s="176"/>
      <c r="F42" s="96"/>
      <c r="G42" s="95"/>
      <c r="H42" s="96"/>
      <c r="I42" s="103"/>
      <c r="J42" s="95"/>
      <c r="K42" s="113"/>
      <c r="L42" s="113"/>
      <c r="M42" s="100"/>
      <c r="N42" s="101"/>
      <c r="O42" s="102"/>
      <c r="P42" s="95"/>
      <c r="Q42" s="114"/>
      <c r="R42" s="106"/>
      <c r="S42" s="103"/>
      <c r="T42" s="103"/>
      <c r="V42" s="107"/>
    </row>
    <row r="43" ht="15.75" customHeight="1">
      <c r="A43" s="89"/>
      <c r="B43" s="177"/>
      <c r="C43" s="103"/>
      <c r="D43" s="95"/>
      <c r="E43" s="176"/>
      <c r="F43" s="144"/>
      <c r="G43" s="95"/>
      <c r="H43" s="96"/>
      <c r="I43" s="103"/>
      <c r="J43" s="95"/>
      <c r="K43" s="99"/>
      <c r="L43" s="99"/>
      <c r="M43" s="100"/>
      <c r="N43" s="127"/>
      <c r="O43" s="128"/>
      <c r="P43" s="95"/>
      <c r="Q43" s="137"/>
      <c r="R43" s="129"/>
      <c r="S43" s="95"/>
      <c r="T43" s="95"/>
      <c r="V43" s="107"/>
    </row>
    <row r="44" ht="15.75" customHeight="1">
      <c r="A44" s="89"/>
      <c r="B44" s="177"/>
      <c r="C44" s="103"/>
      <c r="D44" s="95"/>
      <c r="E44" s="176"/>
      <c r="F44" s="144"/>
      <c r="G44" s="95"/>
      <c r="H44" s="96"/>
      <c r="I44" s="103"/>
      <c r="J44" s="95"/>
      <c r="K44" s="113"/>
      <c r="L44" s="113"/>
      <c r="M44" s="100"/>
      <c r="N44" s="127"/>
      <c r="O44" s="128"/>
      <c r="P44" s="95"/>
      <c r="Q44" s="95"/>
      <c r="R44" s="129"/>
      <c r="S44" s="95"/>
      <c r="T44" s="95"/>
      <c r="V44" s="107"/>
    </row>
    <row r="45" ht="15.75" customHeight="1">
      <c r="A45" s="89"/>
      <c r="B45" s="177"/>
      <c r="C45" s="97"/>
      <c r="D45" s="95"/>
      <c r="E45" s="176"/>
      <c r="F45" s="144"/>
      <c r="G45" s="95"/>
      <c r="H45" s="96"/>
      <c r="I45" s="103"/>
      <c r="J45" s="95"/>
      <c r="K45" s="99"/>
      <c r="L45" s="99"/>
      <c r="M45" s="100"/>
      <c r="N45" s="127"/>
      <c r="O45" s="128"/>
      <c r="P45" s="95"/>
      <c r="Q45" s="95"/>
      <c r="R45" s="129"/>
      <c r="S45" s="95"/>
      <c r="T45" s="95"/>
      <c r="V45" s="107"/>
    </row>
    <row r="46" ht="15.75" customHeight="1">
      <c r="A46" s="89"/>
      <c r="B46" s="177"/>
      <c r="C46" s="97"/>
      <c r="D46" s="95"/>
      <c r="E46" s="176"/>
      <c r="F46" s="144"/>
      <c r="G46" s="95"/>
      <c r="H46" s="96"/>
      <c r="I46" s="103"/>
      <c r="J46" s="95"/>
      <c r="K46" s="113"/>
      <c r="L46" s="113"/>
      <c r="M46" s="100"/>
      <c r="N46" s="127"/>
      <c r="O46" s="128"/>
      <c r="P46" s="95"/>
      <c r="Q46" s="95"/>
      <c r="R46" s="129"/>
      <c r="S46" s="95"/>
      <c r="T46" s="95"/>
      <c r="V46" s="107"/>
    </row>
    <row r="47" ht="15.75" customHeight="1">
      <c r="A47" s="89"/>
      <c r="B47" s="177"/>
      <c r="C47" s="97"/>
      <c r="D47" s="95"/>
      <c r="E47" s="176"/>
      <c r="F47" s="144"/>
      <c r="G47" s="95"/>
      <c r="H47" s="96"/>
      <c r="I47" s="103"/>
      <c r="J47" s="95"/>
      <c r="K47" s="99"/>
      <c r="L47" s="99"/>
      <c r="M47" s="100"/>
      <c r="N47" s="101"/>
      <c r="O47" s="102"/>
      <c r="P47" s="95"/>
      <c r="Q47" s="114"/>
      <c r="R47" s="115"/>
      <c r="S47" s="103"/>
      <c r="T47" s="103"/>
      <c r="V47" s="107"/>
    </row>
    <row r="48" ht="15.75" customHeight="1">
      <c r="A48" s="89"/>
      <c r="B48" s="177"/>
      <c r="C48" s="97"/>
      <c r="D48" s="95"/>
      <c r="E48" s="176"/>
      <c r="F48" s="144"/>
      <c r="G48" s="95"/>
      <c r="H48" s="96"/>
      <c r="I48" s="103"/>
      <c r="J48" s="95"/>
      <c r="K48" s="113"/>
      <c r="L48" s="113"/>
      <c r="M48" s="100"/>
      <c r="N48" s="101"/>
      <c r="O48" s="102"/>
      <c r="P48" s="95"/>
      <c r="Q48" s="135"/>
      <c r="R48" s="106"/>
      <c r="S48" s="103"/>
      <c r="T48" s="103"/>
      <c r="V48" s="107"/>
    </row>
    <row r="49" ht="15.75" customHeight="1">
      <c r="A49" s="89"/>
      <c r="B49" s="177"/>
      <c r="C49" s="97"/>
      <c r="D49" s="95"/>
      <c r="E49" s="176"/>
      <c r="F49" s="144"/>
      <c r="G49" s="95"/>
      <c r="H49" s="96"/>
      <c r="I49" s="103"/>
      <c r="J49" s="95"/>
      <c r="K49" s="99"/>
      <c r="L49" s="99"/>
      <c r="M49" s="100"/>
      <c r="N49" s="101"/>
      <c r="O49" s="102"/>
      <c r="P49" s="95"/>
      <c r="Q49" s="135"/>
      <c r="R49" s="106"/>
      <c r="S49" s="103"/>
      <c r="T49" s="103"/>
      <c r="V49" s="107"/>
    </row>
    <row r="50" ht="15.75" customHeight="1">
      <c r="A50" s="89"/>
      <c r="B50" s="177"/>
      <c r="C50" s="103"/>
      <c r="D50" s="95"/>
      <c r="E50" s="176"/>
      <c r="F50" s="146"/>
      <c r="G50" s="95"/>
      <c r="H50" s="96"/>
      <c r="I50" s="103"/>
      <c r="J50" s="95"/>
      <c r="K50" s="113"/>
      <c r="L50" s="113"/>
      <c r="M50" s="100"/>
      <c r="N50" s="127"/>
      <c r="O50" s="128"/>
      <c r="P50" s="95"/>
      <c r="Q50" s="95"/>
      <c r="R50" s="129"/>
      <c r="S50" s="95"/>
      <c r="T50" s="103"/>
      <c r="V50" s="107"/>
    </row>
    <row r="51" ht="15.75" customHeight="1">
      <c r="A51" s="89"/>
      <c r="B51" s="177"/>
      <c r="C51" s="103"/>
      <c r="D51" s="95"/>
      <c r="E51" s="176"/>
      <c r="F51" s="179"/>
      <c r="G51" s="95"/>
      <c r="H51" s="96"/>
      <c r="I51" s="103"/>
      <c r="J51" s="95"/>
      <c r="K51" s="99"/>
      <c r="L51" s="99"/>
      <c r="M51" s="100"/>
      <c r="N51" s="101"/>
      <c r="O51" s="102"/>
      <c r="P51" s="95"/>
      <c r="Q51" s="137"/>
      <c r="R51" s="129"/>
      <c r="S51" s="103"/>
      <c r="T51" s="103"/>
      <c r="V51" s="107"/>
    </row>
    <row r="52" ht="15.75" customHeight="1">
      <c r="A52" s="89"/>
      <c r="B52" s="177"/>
      <c r="C52" s="103"/>
      <c r="D52" s="95"/>
      <c r="E52" s="176"/>
      <c r="F52" s="144"/>
      <c r="G52" s="95"/>
      <c r="H52" s="96"/>
      <c r="I52" s="103"/>
      <c r="J52" s="95"/>
      <c r="K52" s="113"/>
      <c r="L52" s="113"/>
      <c r="M52" s="100"/>
      <c r="N52" s="127"/>
      <c r="O52" s="128"/>
      <c r="P52" s="95"/>
      <c r="Q52" s="137"/>
      <c r="R52" s="129"/>
      <c r="S52" s="95"/>
      <c r="T52" s="95"/>
      <c r="V52" s="107"/>
    </row>
    <row r="53" ht="15.75" customHeight="1">
      <c r="A53" s="89"/>
      <c r="B53" s="177"/>
      <c r="C53" s="97"/>
      <c r="D53" s="95"/>
      <c r="E53" s="176"/>
      <c r="F53" s="144"/>
      <c r="G53" s="95"/>
      <c r="H53" s="96"/>
      <c r="I53" s="103"/>
      <c r="J53" s="95"/>
      <c r="K53" s="99"/>
      <c r="L53" s="99"/>
      <c r="M53" s="100"/>
      <c r="N53" s="127"/>
      <c r="O53" s="128"/>
      <c r="P53" s="95"/>
      <c r="Q53" s="135"/>
      <c r="R53" s="106"/>
      <c r="S53" s="95"/>
      <c r="T53" s="103"/>
      <c r="V53" s="107"/>
    </row>
    <row r="54" ht="15.75" customHeight="1">
      <c r="A54" s="89"/>
      <c r="B54" s="177"/>
      <c r="C54" s="96"/>
      <c r="D54" s="95"/>
      <c r="E54" s="176"/>
      <c r="F54" s="144"/>
      <c r="G54" s="95"/>
      <c r="H54" s="96"/>
      <c r="I54" s="103"/>
      <c r="J54" s="95"/>
      <c r="K54" s="113"/>
      <c r="L54" s="113"/>
      <c r="M54" s="100"/>
      <c r="N54" s="101"/>
      <c r="O54" s="102"/>
      <c r="P54" s="95"/>
      <c r="Q54" s="135"/>
      <c r="R54" s="139"/>
      <c r="S54" s="103"/>
      <c r="T54" s="103"/>
      <c r="V54" s="107"/>
    </row>
    <row r="55" ht="15.75" customHeight="1">
      <c r="A55" s="89"/>
      <c r="B55" s="177"/>
      <c r="C55" s="96"/>
      <c r="D55" s="95"/>
      <c r="E55" s="176"/>
      <c r="F55" s="146"/>
      <c r="G55" s="95"/>
      <c r="H55" s="96"/>
      <c r="I55" s="103"/>
      <c r="J55" s="95"/>
      <c r="K55" s="99"/>
      <c r="L55" s="99"/>
      <c r="M55" s="100"/>
      <c r="N55" s="101"/>
      <c r="O55" s="102"/>
      <c r="P55" s="95"/>
      <c r="Q55" s="135"/>
      <c r="R55" s="106"/>
      <c r="S55" s="103"/>
      <c r="T55" s="103"/>
      <c r="V55" s="107"/>
    </row>
    <row r="56" ht="15.75" customHeight="1">
      <c r="A56" s="89"/>
      <c r="B56" s="177"/>
      <c r="C56" s="96"/>
      <c r="D56" s="95"/>
      <c r="E56" s="176"/>
      <c r="F56" s="144"/>
      <c r="G56" s="95"/>
      <c r="H56" s="96"/>
      <c r="I56" s="103"/>
      <c r="J56" s="95"/>
      <c r="K56" s="113"/>
      <c r="L56" s="113"/>
      <c r="M56" s="100"/>
      <c r="N56" s="127"/>
      <c r="O56" s="128"/>
      <c r="P56" s="95"/>
      <c r="Q56" s="114"/>
      <c r="R56" s="106"/>
      <c r="S56" s="95"/>
      <c r="T56" s="103"/>
      <c r="V56" s="107"/>
    </row>
    <row r="57" ht="15.75" customHeight="1">
      <c r="A57" s="89"/>
      <c r="B57" s="177"/>
      <c r="C57" s="96"/>
      <c r="D57" s="95"/>
      <c r="E57" s="176"/>
      <c r="F57" s="144"/>
      <c r="G57" s="95"/>
      <c r="H57" s="96"/>
      <c r="I57" s="103"/>
      <c r="J57" s="95"/>
      <c r="K57" s="99"/>
      <c r="L57" s="99"/>
      <c r="M57" s="100"/>
      <c r="N57" s="127"/>
      <c r="O57" s="128"/>
      <c r="P57" s="95"/>
      <c r="Q57" s="137"/>
      <c r="R57" s="129"/>
      <c r="S57" s="95"/>
      <c r="T57" s="103"/>
      <c r="V57" s="107"/>
    </row>
    <row r="58" ht="15.75" customHeight="1">
      <c r="A58" s="89"/>
      <c r="B58" s="177"/>
      <c r="C58" s="106"/>
      <c r="D58" s="95"/>
      <c r="E58" s="176"/>
      <c r="F58" s="144"/>
      <c r="G58" s="95"/>
      <c r="H58" s="96"/>
      <c r="I58" s="103"/>
      <c r="J58" s="95"/>
      <c r="K58" s="113"/>
      <c r="L58" s="113"/>
      <c r="M58" s="100"/>
      <c r="N58" s="101"/>
      <c r="O58" s="102"/>
      <c r="P58" s="95"/>
      <c r="Q58" s="114"/>
      <c r="R58" s="106"/>
      <c r="S58" s="103"/>
      <c r="T58" s="103"/>
      <c r="V58" s="107"/>
    </row>
    <row r="59" ht="15.75" customHeight="1">
      <c r="A59" s="89"/>
      <c r="B59" s="177"/>
      <c r="C59" s="106"/>
      <c r="D59" s="95"/>
      <c r="E59" s="176"/>
      <c r="F59" s="144"/>
      <c r="G59" s="95"/>
      <c r="H59" s="96"/>
      <c r="I59" s="103"/>
      <c r="J59" s="95"/>
      <c r="K59" s="99"/>
      <c r="L59" s="99"/>
      <c r="M59" s="100"/>
      <c r="N59" s="127"/>
      <c r="O59" s="128"/>
      <c r="P59" s="95"/>
      <c r="Q59" s="95"/>
      <c r="R59" s="129"/>
      <c r="S59" s="95"/>
      <c r="T59" s="95"/>
      <c r="V59" s="107"/>
    </row>
    <row r="60" ht="15.75" customHeight="1">
      <c r="A60" s="89"/>
      <c r="B60" s="177"/>
      <c r="C60" s="106"/>
      <c r="D60" s="95"/>
      <c r="E60" s="96"/>
      <c r="F60" s="144"/>
      <c r="G60" s="95"/>
      <c r="H60" s="96"/>
      <c r="I60" s="103"/>
      <c r="J60" s="95"/>
      <c r="K60" s="113"/>
      <c r="L60" s="113"/>
      <c r="M60" s="100"/>
      <c r="N60" s="127"/>
      <c r="O60" s="128"/>
      <c r="P60" s="95"/>
      <c r="Q60" s="114"/>
      <c r="R60" s="106"/>
      <c r="S60" s="95"/>
      <c r="T60" s="103"/>
      <c r="V60" s="107"/>
    </row>
    <row r="61" ht="15.75" customHeight="1">
      <c r="A61" s="89"/>
      <c r="B61" s="177"/>
      <c r="C61" s="96"/>
      <c r="D61" s="95"/>
      <c r="E61" s="176"/>
      <c r="F61" s="146"/>
      <c r="G61" s="95"/>
      <c r="H61" s="96"/>
      <c r="I61" s="103"/>
      <c r="J61" s="95"/>
      <c r="K61" s="99"/>
      <c r="L61" s="99"/>
      <c r="M61" s="100"/>
      <c r="N61" s="127"/>
      <c r="O61" s="128"/>
      <c r="P61" s="95"/>
      <c r="Q61" s="95"/>
      <c r="R61" s="129"/>
      <c r="S61" s="95"/>
      <c r="T61" s="95"/>
      <c r="V61" s="107"/>
    </row>
    <row r="62" ht="15.75" customHeight="1">
      <c r="A62" s="89"/>
      <c r="B62" s="177"/>
      <c r="C62" s="96"/>
      <c r="D62" s="95"/>
      <c r="E62" s="176"/>
      <c r="F62" s="144"/>
      <c r="G62" s="95"/>
      <c r="H62" s="96"/>
      <c r="I62" s="103"/>
      <c r="J62" s="95"/>
      <c r="K62" s="113"/>
      <c r="L62" s="113"/>
      <c r="M62" s="100"/>
      <c r="N62" s="127"/>
      <c r="O62" s="128"/>
      <c r="P62" s="95"/>
      <c r="Q62" s="95"/>
      <c r="R62" s="129"/>
      <c r="S62" s="95"/>
      <c r="T62" s="95"/>
      <c r="V62" s="107"/>
    </row>
    <row r="63" ht="15.75" customHeight="1">
      <c r="A63" s="89"/>
      <c r="B63" s="177"/>
      <c r="C63" s="140"/>
      <c r="D63" s="95"/>
      <c r="E63" s="176"/>
      <c r="F63" s="146"/>
      <c r="G63" s="95"/>
      <c r="H63" s="96"/>
      <c r="I63" s="103"/>
      <c r="J63" s="95"/>
      <c r="K63" s="99"/>
      <c r="L63" s="99"/>
      <c r="M63" s="100"/>
      <c r="N63" s="127"/>
      <c r="O63" s="128"/>
      <c r="P63" s="95"/>
      <c r="Q63" s="95"/>
      <c r="R63" s="129"/>
      <c r="S63" s="95"/>
      <c r="T63" s="95"/>
      <c r="V63" s="107"/>
    </row>
    <row r="64" ht="15.75" customHeight="1">
      <c r="A64" s="89"/>
      <c r="B64" s="177"/>
      <c r="C64" s="141"/>
      <c r="D64" s="95"/>
      <c r="E64" s="176"/>
      <c r="F64" s="144"/>
      <c r="G64" s="95"/>
      <c r="H64" s="96"/>
      <c r="I64" s="103"/>
      <c r="J64" s="95"/>
      <c r="K64" s="113"/>
      <c r="L64" s="113"/>
      <c r="M64" s="100"/>
      <c r="N64" s="101"/>
      <c r="O64" s="102"/>
      <c r="P64" s="95"/>
      <c r="Q64" s="114"/>
      <c r="R64" s="115"/>
      <c r="S64" s="103"/>
      <c r="T64" s="103"/>
      <c r="V64" s="107"/>
    </row>
    <row r="65" ht="15.75" customHeight="1">
      <c r="A65" s="89"/>
      <c r="B65" s="177"/>
      <c r="C65" s="97"/>
      <c r="D65" s="95"/>
      <c r="E65" s="176"/>
      <c r="F65" s="144"/>
      <c r="G65" s="95"/>
      <c r="H65" s="96"/>
      <c r="I65" s="103"/>
      <c r="J65" s="95"/>
      <c r="K65" s="99"/>
      <c r="L65" s="99"/>
      <c r="M65" s="100"/>
      <c r="N65" s="101"/>
      <c r="O65" s="102"/>
      <c r="P65" s="95"/>
      <c r="Q65" s="135"/>
      <c r="R65" s="115"/>
      <c r="S65" s="103"/>
      <c r="T65" s="103"/>
      <c r="V65" s="107"/>
    </row>
    <row r="66" ht="15.75" customHeight="1">
      <c r="A66" s="89"/>
      <c r="B66" s="177"/>
      <c r="C66" s="106"/>
      <c r="D66" s="95"/>
      <c r="E66" s="176"/>
      <c r="F66" s="144"/>
      <c r="G66" s="95"/>
      <c r="H66" s="96"/>
      <c r="I66" s="103"/>
      <c r="J66" s="95"/>
      <c r="K66" s="113"/>
      <c r="L66" s="113"/>
      <c r="M66" s="100"/>
      <c r="N66" s="127"/>
      <c r="O66" s="128"/>
      <c r="P66" s="95"/>
      <c r="Q66" s="95"/>
      <c r="R66" s="129"/>
      <c r="S66" s="95"/>
      <c r="T66" s="95"/>
      <c r="V66" s="107"/>
    </row>
    <row r="67" ht="15.75" customHeight="1">
      <c r="A67" s="89"/>
      <c r="B67" s="177"/>
      <c r="C67" s="106"/>
      <c r="D67" s="95"/>
      <c r="E67" s="96"/>
      <c r="F67" s="144"/>
      <c r="G67" s="95"/>
      <c r="H67" s="96"/>
      <c r="I67" s="103"/>
      <c r="J67" s="95"/>
      <c r="K67" s="99"/>
      <c r="L67" s="99"/>
      <c r="M67" s="100"/>
      <c r="N67" s="127"/>
      <c r="O67" s="128"/>
      <c r="P67" s="95"/>
      <c r="Q67" s="135"/>
      <c r="R67" s="106"/>
      <c r="S67" s="103"/>
      <c r="T67" s="103"/>
      <c r="V67" s="107"/>
    </row>
    <row r="68" ht="15.75" customHeight="1">
      <c r="A68" s="89"/>
      <c r="B68" s="177"/>
      <c r="C68" s="106"/>
      <c r="D68" s="95"/>
      <c r="E68" s="96"/>
      <c r="F68" s="144"/>
      <c r="G68" s="95"/>
      <c r="H68" s="96"/>
      <c r="I68" s="103"/>
      <c r="J68" s="95"/>
      <c r="K68" s="113"/>
      <c r="L68" s="113"/>
      <c r="M68" s="100"/>
      <c r="N68" s="127"/>
      <c r="O68" s="128"/>
      <c r="P68" s="95"/>
      <c r="Q68" s="135"/>
      <c r="R68" s="129"/>
      <c r="S68" s="95"/>
      <c r="T68" s="103"/>
      <c r="V68" s="107"/>
    </row>
    <row r="69" ht="15.75" customHeight="1">
      <c r="A69" s="89"/>
      <c r="B69" s="177"/>
      <c r="C69" s="96"/>
      <c r="D69" s="95"/>
      <c r="E69" s="96"/>
      <c r="F69" s="146"/>
      <c r="G69" s="95"/>
      <c r="H69" s="96"/>
      <c r="I69" s="103"/>
      <c r="J69" s="95"/>
      <c r="K69" s="99"/>
      <c r="L69" s="99"/>
      <c r="M69" s="100"/>
      <c r="N69" s="127"/>
      <c r="O69" s="128"/>
      <c r="P69" s="95"/>
      <c r="Q69" s="114"/>
      <c r="R69" s="106"/>
      <c r="S69" s="103"/>
      <c r="T69" s="103"/>
      <c r="V69" s="107"/>
    </row>
    <row r="70" ht="15.75" customHeight="1">
      <c r="A70" s="89"/>
      <c r="B70" s="177"/>
      <c r="C70" s="96"/>
      <c r="D70" s="95"/>
      <c r="E70" s="96"/>
      <c r="F70" s="144"/>
      <c r="G70" s="95"/>
      <c r="H70" s="96"/>
      <c r="I70" s="103"/>
      <c r="J70" s="95"/>
      <c r="K70" s="113"/>
      <c r="L70" s="113"/>
      <c r="M70" s="100"/>
      <c r="N70" s="127"/>
      <c r="O70" s="128"/>
      <c r="P70" s="95"/>
      <c r="Q70" s="137"/>
      <c r="R70" s="129"/>
      <c r="S70" s="95"/>
      <c r="T70" s="95"/>
      <c r="V70" s="107"/>
    </row>
    <row r="71" ht="15.75" customHeight="1">
      <c r="A71" s="89"/>
      <c r="B71" s="177"/>
      <c r="C71" s="96"/>
      <c r="D71" s="95"/>
      <c r="E71" s="96"/>
      <c r="F71" s="144"/>
      <c r="G71" s="95"/>
      <c r="H71" s="96"/>
      <c r="I71" s="103"/>
      <c r="J71" s="95"/>
      <c r="K71" s="99"/>
      <c r="L71" s="99"/>
      <c r="M71" s="100"/>
      <c r="N71" s="127"/>
      <c r="O71" s="128"/>
      <c r="P71" s="95"/>
      <c r="Q71" s="135"/>
      <c r="R71" s="106"/>
      <c r="S71" s="103"/>
      <c r="T71" s="103"/>
      <c r="V71" s="107"/>
    </row>
    <row r="72" ht="15.75" customHeight="1">
      <c r="A72" s="89"/>
      <c r="B72" s="177"/>
      <c r="C72" s="96"/>
      <c r="D72" s="95"/>
      <c r="E72" s="176"/>
      <c r="F72" s="144"/>
      <c r="G72" s="95"/>
      <c r="H72" s="96"/>
      <c r="I72" s="103"/>
      <c r="J72" s="95"/>
      <c r="K72" s="113"/>
      <c r="L72" s="113"/>
      <c r="M72" s="100"/>
      <c r="N72" s="101"/>
      <c r="O72" s="128"/>
      <c r="P72" s="95"/>
      <c r="Q72" s="135"/>
      <c r="R72" s="106"/>
      <c r="S72" s="103"/>
      <c r="T72" s="103"/>
      <c r="V72" s="107"/>
    </row>
    <row r="73" ht="15.75" customHeight="1">
      <c r="A73" s="89"/>
      <c r="B73" s="177"/>
      <c r="C73" s="96"/>
      <c r="D73" s="95"/>
      <c r="E73" s="176"/>
      <c r="F73" s="146"/>
      <c r="G73" s="95"/>
      <c r="H73" s="96"/>
      <c r="I73" s="103"/>
      <c r="J73" s="95"/>
      <c r="K73" s="99"/>
      <c r="L73" s="99"/>
      <c r="M73" s="100"/>
      <c r="N73" s="101"/>
      <c r="O73" s="128"/>
      <c r="P73" s="95"/>
      <c r="Q73" s="114"/>
      <c r="R73" s="106"/>
      <c r="S73" s="103"/>
      <c r="T73" s="103"/>
      <c r="V73" s="107"/>
    </row>
    <row r="74" ht="15.75" customHeight="1">
      <c r="A74" s="89"/>
      <c r="B74" s="177"/>
      <c r="C74" s="106"/>
      <c r="D74" s="95"/>
      <c r="E74" s="176"/>
      <c r="F74" s="144"/>
      <c r="G74" s="95"/>
      <c r="H74" s="96"/>
      <c r="I74" s="103"/>
      <c r="J74" s="95"/>
      <c r="K74" s="113"/>
      <c r="L74" s="113"/>
      <c r="M74" s="100"/>
      <c r="N74" s="101"/>
      <c r="O74" s="128"/>
      <c r="P74" s="95"/>
      <c r="Q74" s="114"/>
      <c r="R74" s="106"/>
      <c r="S74" s="103"/>
      <c r="T74" s="103"/>
      <c r="V74" s="107"/>
    </row>
    <row r="75" ht="15.75" customHeight="1">
      <c r="A75" s="89"/>
      <c r="B75" s="177"/>
      <c r="C75" s="106"/>
      <c r="D75" s="95"/>
      <c r="E75" s="176"/>
      <c r="F75" s="144"/>
      <c r="G75" s="95"/>
      <c r="H75" s="96"/>
      <c r="I75" s="103"/>
      <c r="J75" s="95"/>
      <c r="K75" s="99"/>
      <c r="L75" s="99"/>
      <c r="M75" s="100"/>
      <c r="N75" s="127"/>
      <c r="O75" s="128"/>
      <c r="P75" s="95"/>
      <c r="Q75" s="137"/>
      <c r="R75" s="129"/>
      <c r="S75" s="95"/>
      <c r="T75" s="95"/>
      <c r="V75" s="107"/>
    </row>
    <row r="76" ht="15.75" customHeight="1">
      <c r="A76" s="89"/>
      <c r="B76" s="177"/>
      <c r="C76" s="96"/>
      <c r="D76" s="95"/>
      <c r="E76" s="176"/>
      <c r="F76" s="144"/>
      <c r="G76" s="95"/>
      <c r="H76" s="96"/>
      <c r="I76" s="103"/>
      <c r="J76" s="95"/>
      <c r="K76" s="113"/>
      <c r="L76" s="113"/>
      <c r="M76" s="100"/>
      <c r="N76" s="101"/>
      <c r="O76" s="128"/>
      <c r="P76" s="95"/>
      <c r="Q76" s="114"/>
      <c r="R76" s="106"/>
      <c r="S76" s="103"/>
      <c r="T76" s="103"/>
      <c r="V76" s="107"/>
    </row>
    <row r="77" ht="15.75" customHeight="1">
      <c r="A77" s="89"/>
      <c r="B77" s="177"/>
      <c r="C77" s="96"/>
      <c r="D77" s="95"/>
      <c r="E77" s="96"/>
      <c r="F77" s="144"/>
      <c r="G77" s="95"/>
      <c r="H77" s="96"/>
      <c r="I77" s="103"/>
      <c r="J77" s="95"/>
      <c r="K77" s="99"/>
      <c r="L77" s="99"/>
      <c r="M77" s="100"/>
      <c r="N77" s="127"/>
      <c r="O77" s="128"/>
      <c r="P77" s="95"/>
      <c r="Q77" s="137"/>
      <c r="R77" s="129"/>
      <c r="S77" s="95"/>
      <c r="T77" s="95"/>
      <c r="V77" s="107"/>
    </row>
    <row r="78" ht="15.75" customHeight="1">
      <c r="A78" s="89"/>
      <c r="B78" s="177"/>
      <c r="C78" s="96"/>
      <c r="D78" s="95"/>
      <c r="E78" s="176"/>
      <c r="F78" s="144"/>
      <c r="G78" s="95"/>
      <c r="H78" s="96"/>
      <c r="I78" s="103"/>
      <c r="J78" s="95"/>
      <c r="K78" s="113"/>
      <c r="L78" s="113"/>
      <c r="M78" s="100"/>
      <c r="N78" s="101"/>
      <c r="O78" s="128"/>
      <c r="P78" s="95"/>
      <c r="Q78" s="114"/>
      <c r="R78" s="106"/>
      <c r="S78" s="103"/>
      <c r="T78" s="103"/>
      <c r="V78" s="107"/>
    </row>
    <row r="79" ht="15.75" customHeight="1">
      <c r="A79" s="89"/>
      <c r="B79" s="177"/>
      <c r="C79" s="96"/>
      <c r="D79" s="95"/>
      <c r="E79" s="176"/>
      <c r="F79" s="144"/>
      <c r="G79" s="95"/>
      <c r="H79" s="96"/>
      <c r="I79" s="103"/>
      <c r="J79" s="95"/>
      <c r="K79" s="99"/>
      <c r="L79" s="99"/>
      <c r="M79" s="100"/>
      <c r="N79" s="127"/>
      <c r="O79" s="128"/>
      <c r="P79" s="95"/>
      <c r="Q79" s="137"/>
      <c r="R79" s="129"/>
      <c r="S79" s="95"/>
      <c r="T79" s="95"/>
      <c r="V79" s="107"/>
    </row>
    <row r="80" ht="15.75" customHeight="1">
      <c r="A80" s="89"/>
      <c r="B80" s="177"/>
      <c r="C80" s="96"/>
      <c r="D80" s="95"/>
      <c r="E80" s="176"/>
      <c r="F80" s="144"/>
      <c r="G80" s="95"/>
      <c r="H80" s="96"/>
      <c r="I80" s="103"/>
      <c r="J80" s="95"/>
      <c r="K80" s="113"/>
      <c r="L80" s="113"/>
      <c r="M80" s="100"/>
      <c r="N80" s="101"/>
      <c r="O80" s="102"/>
      <c r="P80" s="95"/>
      <c r="Q80" s="135"/>
      <c r="R80" s="106"/>
      <c r="S80" s="103"/>
      <c r="T80" s="103"/>
      <c r="V80" s="107"/>
    </row>
    <row r="81" ht="15.75" customHeight="1">
      <c r="A81" s="89"/>
      <c r="B81" s="177"/>
      <c r="C81" s="106"/>
      <c r="D81" s="95"/>
      <c r="E81" s="176"/>
      <c r="F81" s="144"/>
      <c r="G81" s="95"/>
      <c r="H81" s="96"/>
      <c r="I81" s="103"/>
      <c r="J81" s="95"/>
      <c r="K81" s="99"/>
      <c r="L81" s="99"/>
      <c r="M81" s="100"/>
      <c r="N81" s="101"/>
      <c r="O81" s="102"/>
      <c r="P81" s="95"/>
      <c r="Q81" s="114"/>
      <c r="R81" s="142"/>
      <c r="S81" s="103"/>
      <c r="T81" s="103"/>
      <c r="V81" s="107"/>
    </row>
    <row r="82" ht="15.75" customHeight="1">
      <c r="A82" s="89"/>
      <c r="B82" s="177"/>
      <c r="C82" s="106"/>
      <c r="D82" s="95"/>
      <c r="E82" s="176"/>
      <c r="F82" s="144"/>
      <c r="G82" s="95"/>
      <c r="H82" s="96"/>
      <c r="I82" s="103"/>
      <c r="J82" s="95"/>
      <c r="K82" s="113"/>
      <c r="L82" s="113"/>
      <c r="M82" s="100"/>
      <c r="N82" s="101"/>
      <c r="O82" s="102"/>
      <c r="P82" s="95"/>
      <c r="Q82" s="114"/>
      <c r="R82" s="106"/>
      <c r="S82" s="103"/>
      <c r="T82" s="103"/>
      <c r="V82" s="107"/>
    </row>
    <row r="83" ht="15.75" customHeight="1">
      <c r="A83" s="89"/>
      <c r="B83" s="177"/>
      <c r="C83" s="96"/>
      <c r="D83" s="95"/>
      <c r="E83" s="176"/>
      <c r="F83" s="144"/>
      <c r="G83" s="95"/>
      <c r="H83" s="96"/>
      <c r="I83" s="103"/>
      <c r="J83" s="95"/>
      <c r="K83" s="99"/>
      <c r="L83" s="99"/>
      <c r="M83" s="100"/>
      <c r="N83" s="127"/>
      <c r="O83" s="128"/>
      <c r="P83" s="95"/>
      <c r="Q83" s="137"/>
      <c r="R83" s="129"/>
      <c r="S83" s="95"/>
      <c r="T83" s="95"/>
      <c r="V83" s="107"/>
    </row>
    <row r="84" ht="15.75" customHeight="1">
      <c r="A84" s="89"/>
      <c r="B84" s="177"/>
      <c r="C84" s="96"/>
      <c r="D84" s="95"/>
      <c r="E84" s="176"/>
      <c r="F84" s="144"/>
      <c r="G84" s="95"/>
      <c r="H84" s="96"/>
      <c r="I84" s="103"/>
      <c r="J84" s="95"/>
      <c r="K84" s="113"/>
      <c r="L84" s="113"/>
      <c r="M84" s="100"/>
      <c r="N84" s="127"/>
      <c r="O84" s="128"/>
      <c r="P84" s="95"/>
      <c r="Q84" s="95"/>
      <c r="R84" s="129"/>
      <c r="S84" s="95"/>
      <c r="T84" s="95"/>
      <c r="V84" s="107"/>
    </row>
    <row r="85" ht="15.75" customHeight="1">
      <c r="A85" s="89"/>
      <c r="B85" s="177"/>
      <c r="C85" s="143"/>
      <c r="D85" s="95"/>
      <c r="E85" s="176"/>
      <c r="F85" s="144"/>
      <c r="G85" s="95"/>
      <c r="H85" s="96"/>
      <c r="I85" s="103"/>
      <c r="J85" s="95"/>
      <c r="K85" s="99"/>
      <c r="L85" s="99"/>
      <c r="M85" s="100"/>
      <c r="N85" s="127"/>
      <c r="O85" s="128"/>
      <c r="P85" s="95"/>
      <c r="Q85" s="137"/>
      <c r="R85" s="129"/>
      <c r="S85" s="95"/>
      <c r="T85" s="95"/>
      <c r="V85" s="107"/>
    </row>
    <row r="86" ht="15.75" customHeight="1">
      <c r="A86" s="89"/>
      <c r="B86" s="177"/>
      <c r="C86" s="97"/>
      <c r="D86" s="95"/>
      <c r="E86" s="176"/>
      <c r="F86" s="144"/>
      <c r="G86" s="95"/>
      <c r="H86" s="96"/>
      <c r="I86" s="103"/>
      <c r="J86" s="95"/>
      <c r="K86" s="113"/>
      <c r="L86" s="113"/>
      <c r="M86" s="100"/>
      <c r="N86" s="101"/>
      <c r="O86" s="102"/>
      <c r="P86" s="95"/>
      <c r="Q86" s="135"/>
      <c r="R86" s="115"/>
      <c r="S86" s="103"/>
      <c r="T86" s="103"/>
      <c r="V86" s="107"/>
    </row>
    <row r="87" ht="15.75" customHeight="1">
      <c r="A87" s="89"/>
      <c r="B87" s="177"/>
      <c r="C87" s="96"/>
      <c r="D87" s="95"/>
      <c r="E87" s="176"/>
      <c r="F87" s="144"/>
      <c r="G87" s="95"/>
      <c r="H87" s="96"/>
      <c r="I87" s="103"/>
      <c r="J87" s="95"/>
      <c r="K87" s="99"/>
      <c r="L87" s="99"/>
      <c r="M87" s="100"/>
      <c r="N87" s="127"/>
      <c r="O87" s="102"/>
      <c r="P87" s="95"/>
      <c r="Q87" s="137"/>
      <c r="R87" s="106"/>
      <c r="S87" s="103"/>
      <c r="T87" s="103"/>
      <c r="V87" s="107"/>
    </row>
    <row r="88" ht="15.75" customHeight="1">
      <c r="A88" s="89"/>
      <c r="B88" s="177"/>
      <c r="C88" s="96"/>
      <c r="D88" s="95"/>
      <c r="E88" s="176"/>
      <c r="F88" s="144"/>
      <c r="G88" s="95"/>
      <c r="H88" s="96"/>
      <c r="I88" s="103"/>
      <c r="J88" s="95"/>
      <c r="K88" s="113"/>
      <c r="L88" s="113"/>
      <c r="M88" s="100"/>
      <c r="N88" s="101"/>
      <c r="O88" s="102"/>
      <c r="P88" s="95"/>
      <c r="Q88" s="114"/>
      <c r="R88" s="106"/>
      <c r="S88" s="103"/>
      <c r="T88" s="103"/>
      <c r="V88" s="107"/>
    </row>
    <row r="89" ht="15.75" customHeight="1">
      <c r="A89" s="89"/>
      <c r="B89" s="177"/>
      <c r="C89" s="96"/>
      <c r="D89" s="95"/>
      <c r="E89" s="176"/>
      <c r="F89" s="144"/>
      <c r="G89" s="95"/>
      <c r="H89" s="96"/>
      <c r="I89" s="103"/>
      <c r="J89" s="95"/>
      <c r="K89" s="99"/>
      <c r="L89" s="99"/>
      <c r="M89" s="100"/>
      <c r="N89" s="127"/>
      <c r="O89" s="128"/>
      <c r="P89" s="95"/>
      <c r="Q89" s="95"/>
      <c r="R89" s="129"/>
      <c r="S89" s="95"/>
      <c r="T89" s="95"/>
      <c r="V89" s="107"/>
    </row>
    <row r="90" ht="15.75" customHeight="1">
      <c r="A90" s="89"/>
      <c r="B90" s="177"/>
      <c r="C90" s="144"/>
      <c r="D90" s="95"/>
      <c r="E90" s="176"/>
      <c r="F90" s="180"/>
      <c r="G90" s="95"/>
      <c r="H90" s="96"/>
      <c r="I90" s="103"/>
      <c r="J90" s="95"/>
      <c r="K90" s="113"/>
      <c r="L90" s="113"/>
      <c r="M90" s="100"/>
      <c r="N90" s="101"/>
      <c r="O90" s="102"/>
      <c r="P90" s="95"/>
      <c r="Q90" s="103"/>
      <c r="R90" s="106"/>
      <c r="S90" s="103"/>
      <c r="T90" s="103"/>
      <c r="V90" s="107"/>
    </row>
    <row r="91" ht="15.75" customHeight="1">
      <c r="A91" s="89"/>
      <c r="B91" s="177"/>
      <c r="C91" s="146"/>
      <c r="D91" s="95"/>
      <c r="E91" s="176"/>
      <c r="F91" s="144"/>
      <c r="G91" s="95"/>
      <c r="H91" s="96"/>
      <c r="I91" s="103"/>
      <c r="J91" s="95"/>
      <c r="K91" s="99"/>
      <c r="L91" s="99"/>
      <c r="M91" s="100"/>
      <c r="N91" s="127"/>
      <c r="O91" s="128"/>
      <c r="P91" s="95"/>
      <c r="Q91" s="95"/>
      <c r="R91" s="129"/>
      <c r="S91" s="95"/>
      <c r="T91" s="95"/>
      <c r="V91" s="107"/>
    </row>
    <row r="92" ht="15.75" customHeight="1">
      <c r="A92" s="89"/>
      <c r="B92" s="177"/>
      <c r="C92" s="144"/>
      <c r="D92" s="95"/>
      <c r="E92" s="176"/>
      <c r="F92" s="144"/>
      <c r="G92" s="95"/>
      <c r="H92" s="96"/>
      <c r="I92" s="103"/>
      <c r="J92" s="95"/>
      <c r="K92" s="113"/>
      <c r="L92" s="113"/>
      <c r="M92" s="100"/>
      <c r="N92" s="101"/>
      <c r="O92" s="102"/>
      <c r="P92" s="95"/>
      <c r="Q92" s="135"/>
      <c r="R92" s="106"/>
      <c r="S92" s="103"/>
      <c r="T92" s="103"/>
      <c r="V92" s="107"/>
    </row>
    <row r="93" ht="15.75" customHeight="1">
      <c r="A93" s="89"/>
      <c r="B93" s="177"/>
      <c r="C93" s="146"/>
      <c r="D93" s="95"/>
      <c r="E93" s="144"/>
      <c r="F93" s="144"/>
      <c r="G93" s="95"/>
      <c r="H93" s="96"/>
      <c r="I93" s="103"/>
      <c r="J93" s="95"/>
      <c r="K93" s="99"/>
      <c r="L93" s="99"/>
      <c r="M93" s="100"/>
      <c r="N93" s="127"/>
      <c r="O93" s="128"/>
      <c r="P93" s="95"/>
      <c r="Q93" s="137"/>
      <c r="R93" s="129"/>
      <c r="S93" s="95"/>
      <c r="T93" s="95"/>
      <c r="V93" s="107"/>
    </row>
    <row r="94" ht="15.75" customHeight="1">
      <c r="A94" s="89"/>
      <c r="B94" s="177"/>
      <c r="C94" s="96"/>
      <c r="D94" s="95"/>
      <c r="E94" s="176"/>
      <c r="F94" s="144"/>
      <c r="G94" s="95"/>
      <c r="H94" s="96"/>
      <c r="I94" s="103"/>
      <c r="J94" s="95"/>
      <c r="K94" s="113"/>
      <c r="L94" s="113"/>
      <c r="M94" s="100"/>
      <c r="N94" s="127"/>
      <c r="O94" s="128"/>
      <c r="P94" s="95"/>
      <c r="Q94" s="95"/>
      <c r="R94" s="129"/>
      <c r="S94" s="95"/>
      <c r="T94" s="95"/>
      <c r="V94" s="107"/>
    </row>
    <row r="95" ht="15.75" customHeight="1">
      <c r="A95" s="89"/>
      <c r="B95" s="177"/>
      <c r="C95" s="96"/>
      <c r="D95" s="95"/>
      <c r="E95" s="176"/>
      <c r="F95" s="144"/>
      <c r="G95" s="95"/>
      <c r="H95" s="96"/>
      <c r="I95" s="103"/>
      <c r="J95" s="95"/>
      <c r="K95" s="99"/>
      <c r="L95" s="99"/>
      <c r="M95" s="100"/>
      <c r="N95" s="101"/>
      <c r="O95" s="102"/>
      <c r="P95" s="95"/>
      <c r="Q95" s="114"/>
      <c r="R95" s="106"/>
      <c r="S95" s="103"/>
      <c r="T95" s="103"/>
      <c r="V95" s="107"/>
    </row>
    <row r="96" ht="15.75" customHeight="1">
      <c r="A96" s="89"/>
      <c r="B96" s="177"/>
      <c r="C96" s="96"/>
      <c r="D96" s="95"/>
      <c r="E96" s="176"/>
      <c r="F96" s="144"/>
      <c r="G96" s="95"/>
      <c r="H96" s="96"/>
      <c r="I96" s="103"/>
      <c r="J96" s="95"/>
      <c r="K96" s="113"/>
      <c r="L96" s="113"/>
      <c r="M96" s="100"/>
      <c r="N96" s="127"/>
      <c r="O96" s="128"/>
      <c r="P96" s="95"/>
      <c r="Q96" s="95"/>
      <c r="R96" s="129"/>
      <c r="S96" s="95"/>
      <c r="T96" s="95"/>
      <c r="V96" s="107"/>
    </row>
    <row r="97" ht="15.75" customHeight="1">
      <c r="A97" s="89"/>
      <c r="B97" s="177"/>
      <c r="C97" s="96"/>
      <c r="D97" s="95"/>
      <c r="E97" s="181"/>
      <c r="F97" s="144"/>
      <c r="G97" s="95"/>
      <c r="H97" s="96"/>
      <c r="I97" s="103"/>
      <c r="J97" s="95"/>
      <c r="K97" s="99"/>
      <c r="L97" s="99"/>
      <c r="M97" s="100"/>
      <c r="N97" s="127"/>
      <c r="O97" s="128"/>
      <c r="P97" s="95"/>
      <c r="Q97" s="137"/>
      <c r="R97" s="129"/>
      <c r="S97" s="95"/>
      <c r="T97" s="95"/>
      <c r="V97" s="107"/>
    </row>
    <row r="98" ht="15.75" customHeight="1">
      <c r="A98" s="89"/>
      <c r="B98" s="177"/>
      <c r="C98" s="106"/>
      <c r="D98" s="95"/>
      <c r="E98" s="176"/>
      <c r="F98" s="144"/>
      <c r="G98" s="95"/>
      <c r="H98" s="96"/>
      <c r="I98" s="103"/>
      <c r="J98" s="95"/>
      <c r="K98" s="113"/>
      <c r="L98" s="113"/>
      <c r="M98" s="100"/>
      <c r="N98" s="127"/>
      <c r="O98" s="128"/>
      <c r="P98" s="95"/>
      <c r="Q98" s="135"/>
      <c r="R98" s="106"/>
      <c r="S98" s="95"/>
      <c r="T98" s="103"/>
      <c r="V98" s="107"/>
    </row>
    <row r="99" ht="15.75" customHeight="1">
      <c r="A99" s="89"/>
      <c r="B99" s="177"/>
      <c r="C99" s="106"/>
      <c r="D99" s="95"/>
      <c r="E99" s="176"/>
      <c r="F99" s="144"/>
      <c r="G99" s="95"/>
      <c r="H99" s="96"/>
      <c r="I99" s="103"/>
      <c r="J99" s="95"/>
      <c r="K99" s="99"/>
      <c r="L99" s="99"/>
      <c r="M99" s="100"/>
      <c r="N99" s="127"/>
      <c r="O99" s="128"/>
      <c r="P99" s="95"/>
      <c r="Q99" s="135"/>
      <c r="R99" s="106"/>
      <c r="S99" s="95"/>
      <c r="T99" s="103"/>
      <c r="V99" s="107"/>
    </row>
    <row r="100" ht="15.75" customHeight="1">
      <c r="A100" s="89"/>
      <c r="B100" s="177"/>
      <c r="C100" s="96"/>
      <c r="D100" s="95"/>
      <c r="E100" s="96"/>
      <c r="F100" s="146"/>
      <c r="G100" s="95"/>
      <c r="H100" s="96"/>
      <c r="I100" s="103"/>
      <c r="J100" s="95"/>
      <c r="K100" s="113"/>
      <c r="L100" s="113"/>
      <c r="M100" s="100"/>
      <c r="N100" s="127"/>
      <c r="O100" s="128"/>
      <c r="P100" s="95"/>
      <c r="Q100" s="137"/>
      <c r="R100" s="129"/>
      <c r="S100" s="95"/>
      <c r="T100" s="95"/>
      <c r="V100" s="107"/>
    </row>
    <row r="101" ht="15.75" customHeight="1">
      <c r="A101" s="89"/>
      <c r="B101" s="177"/>
      <c r="C101" s="96"/>
      <c r="D101" s="95"/>
      <c r="E101" s="176"/>
      <c r="F101" s="144"/>
      <c r="G101" s="95"/>
      <c r="H101" s="96"/>
      <c r="I101" s="103"/>
      <c r="J101" s="95"/>
      <c r="K101" s="99"/>
      <c r="L101" s="99"/>
      <c r="M101" s="100"/>
      <c r="N101" s="127"/>
      <c r="O101" s="128"/>
      <c r="P101" s="95"/>
      <c r="Q101" s="95"/>
      <c r="R101" s="129"/>
      <c r="S101" s="95"/>
      <c r="T101" s="95"/>
      <c r="V101" s="107"/>
    </row>
    <row r="102" ht="15.75" customHeight="1">
      <c r="A102" s="89"/>
      <c r="B102" s="177"/>
      <c r="C102" s="96"/>
      <c r="D102" s="95"/>
      <c r="E102" s="176"/>
      <c r="F102" s="144"/>
      <c r="G102" s="95"/>
      <c r="H102" s="96"/>
      <c r="I102" s="103"/>
      <c r="J102" s="95"/>
      <c r="K102" s="113"/>
      <c r="L102" s="113"/>
      <c r="M102" s="100"/>
      <c r="N102" s="101"/>
      <c r="O102" s="102"/>
      <c r="P102" s="95"/>
      <c r="Q102" s="114"/>
      <c r="R102" s="115"/>
      <c r="S102" s="103"/>
      <c r="T102" s="103"/>
      <c r="V102" s="107"/>
    </row>
    <row r="103" ht="15.75" customHeight="1">
      <c r="A103" s="89"/>
      <c r="B103" s="182"/>
      <c r="C103" s="149"/>
      <c r="D103" s="95"/>
      <c r="E103" s="149"/>
      <c r="F103" s="180"/>
      <c r="G103" s="95"/>
      <c r="H103" s="96"/>
      <c r="I103" s="103"/>
      <c r="J103" s="95"/>
      <c r="K103" s="99"/>
      <c r="L103" s="99"/>
      <c r="M103" s="100"/>
      <c r="N103" s="101"/>
      <c r="O103" s="128"/>
      <c r="P103" s="95"/>
      <c r="Q103" s="137"/>
      <c r="R103" s="129"/>
      <c r="S103" s="103"/>
      <c r="T103" s="95"/>
      <c r="V103" s="107"/>
    </row>
    <row r="104" ht="15.75" customHeight="1">
      <c r="A104" s="89"/>
      <c r="B104" s="182"/>
      <c r="C104" s="149"/>
      <c r="D104" s="95"/>
      <c r="E104" s="149"/>
      <c r="F104" s="149"/>
      <c r="G104" s="95"/>
      <c r="H104" s="96"/>
      <c r="I104" s="103"/>
      <c r="J104" s="95"/>
      <c r="K104" s="113"/>
      <c r="L104" s="113"/>
      <c r="M104" s="100"/>
      <c r="N104" s="101"/>
      <c r="O104" s="128"/>
      <c r="P104" s="95"/>
      <c r="Q104" s="95"/>
      <c r="R104" s="129"/>
      <c r="S104" s="103"/>
      <c r="T104" s="95"/>
      <c r="V104" s="107"/>
    </row>
    <row r="105" ht="15.75" customHeight="1">
      <c r="A105" s="89"/>
      <c r="B105" s="182"/>
      <c r="C105" s="107"/>
      <c r="D105" s="95"/>
      <c r="E105" s="149"/>
      <c r="F105" s="149"/>
      <c r="G105" s="95"/>
      <c r="H105" s="96"/>
      <c r="I105" s="103"/>
      <c r="J105" s="95"/>
      <c r="K105" s="99"/>
      <c r="L105" s="99"/>
      <c r="M105" s="100"/>
      <c r="N105" s="101"/>
      <c r="O105" s="128"/>
      <c r="P105" s="95"/>
      <c r="Q105" s="137"/>
      <c r="R105" s="129"/>
      <c r="S105" s="103"/>
      <c r="T105" s="95"/>
      <c r="V105" s="107"/>
    </row>
    <row r="106" ht="15.75" customHeight="1">
      <c r="A106" s="89"/>
      <c r="B106" s="182"/>
      <c r="C106" s="107"/>
      <c r="D106" s="95"/>
      <c r="E106" s="149"/>
      <c r="F106" s="149"/>
      <c r="G106" s="95"/>
      <c r="H106" s="96"/>
      <c r="I106" s="103"/>
      <c r="J106" s="95"/>
      <c r="K106" s="113"/>
      <c r="L106" s="113"/>
      <c r="M106" s="100"/>
      <c r="N106" s="101"/>
      <c r="O106" s="128"/>
      <c r="P106" s="95"/>
      <c r="Q106" s="137"/>
      <c r="R106" s="129"/>
      <c r="S106" s="103"/>
      <c r="T106" s="95"/>
      <c r="V106" s="107"/>
    </row>
    <row r="107" ht="15.75" customHeight="1">
      <c r="A107" s="89"/>
      <c r="B107" s="182"/>
      <c r="C107" s="149"/>
      <c r="D107" s="95"/>
      <c r="E107" s="149"/>
      <c r="F107" s="149"/>
      <c r="G107" s="95"/>
      <c r="H107" s="96"/>
      <c r="I107" s="103"/>
      <c r="J107" s="95"/>
      <c r="K107" s="99"/>
      <c r="L107" s="99"/>
      <c r="M107" s="100"/>
      <c r="N107" s="101"/>
      <c r="O107" s="128"/>
      <c r="P107" s="95"/>
      <c r="Q107" s="137"/>
      <c r="R107" s="129"/>
      <c r="S107" s="103"/>
      <c r="T107" s="95"/>
      <c r="V107" s="107"/>
    </row>
    <row r="108" ht="15.75" customHeight="1">
      <c r="A108" s="89"/>
      <c r="B108" s="182"/>
      <c r="C108" s="149"/>
      <c r="D108" s="95"/>
      <c r="E108" s="149"/>
      <c r="F108" s="149"/>
      <c r="G108" s="95"/>
      <c r="H108" s="96"/>
      <c r="I108" s="103"/>
      <c r="J108" s="95"/>
      <c r="K108" s="113"/>
      <c r="L108" s="113"/>
      <c r="M108" s="100"/>
      <c r="N108" s="101"/>
      <c r="O108" s="128"/>
      <c r="P108" s="95"/>
      <c r="Q108" s="95"/>
      <c r="R108" s="129"/>
      <c r="S108" s="103"/>
      <c r="T108" s="95"/>
      <c r="V108" s="107"/>
    </row>
    <row r="109" ht="15.75" customHeight="1">
      <c r="A109" s="89"/>
      <c r="B109" s="182"/>
      <c r="C109" s="149"/>
      <c r="D109" s="95"/>
      <c r="E109" s="149"/>
      <c r="F109" s="149"/>
      <c r="G109" s="95"/>
      <c r="H109" s="96"/>
      <c r="I109" s="103"/>
      <c r="J109" s="95"/>
      <c r="K109" s="99"/>
      <c r="L109" s="99"/>
      <c r="M109" s="100"/>
      <c r="N109" s="101"/>
      <c r="O109" s="128"/>
      <c r="P109" s="95"/>
      <c r="Q109" s="137"/>
      <c r="R109" s="129"/>
      <c r="S109" s="103"/>
      <c r="T109" s="95"/>
      <c r="V109" s="107"/>
    </row>
    <row r="110" ht="15.75" customHeight="1">
      <c r="A110" s="89"/>
      <c r="B110" s="182"/>
      <c r="C110" s="149"/>
      <c r="D110" s="95"/>
      <c r="E110" s="149"/>
      <c r="F110" s="149"/>
      <c r="G110" s="95"/>
      <c r="H110" s="149"/>
      <c r="I110" s="151"/>
      <c r="J110" s="95"/>
      <c r="K110" s="113"/>
      <c r="L110" s="113"/>
      <c r="M110" s="100"/>
      <c r="N110" s="127"/>
      <c r="O110" s="128"/>
      <c r="P110" s="95"/>
      <c r="Q110" s="95"/>
      <c r="R110" s="129"/>
      <c r="S110" s="95"/>
      <c r="T110" s="95"/>
      <c r="V110" s="107"/>
    </row>
    <row r="111" ht="15.75" customHeight="1">
      <c r="A111" s="89"/>
      <c r="B111" s="182"/>
      <c r="C111" s="149"/>
      <c r="D111" s="95"/>
      <c r="E111" s="149"/>
      <c r="F111" s="149"/>
      <c r="G111" s="95"/>
      <c r="H111" s="149"/>
      <c r="I111" s="95"/>
      <c r="J111" s="95"/>
      <c r="K111" s="99"/>
      <c r="L111" s="99"/>
      <c r="M111" s="100"/>
      <c r="N111" s="127"/>
      <c r="O111" s="128"/>
      <c r="P111" s="95"/>
      <c r="Q111" s="137"/>
      <c r="R111" s="129"/>
      <c r="S111" s="95"/>
      <c r="T111" s="95"/>
      <c r="V111" s="107"/>
    </row>
    <row r="112" ht="15.75" customHeight="1">
      <c r="A112" s="89"/>
      <c r="B112" s="182"/>
      <c r="C112" s="107"/>
      <c r="D112" s="95"/>
      <c r="E112" s="149"/>
      <c r="F112" s="149"/>
      <c r="G112" s="95"/>
      <c r="H112" s="149"/>
      <c r="I112" s="95"/>
      <c r="J112" s="95"/>
      <c r="K112" s="113"/>
      <c r="L112" s="113"/>
      <c r="M112" s="100"/>
      <c r="N112" s="127"/>
      <c r="O112" s="128"/>
      <c r="P112" s="95"/>
      <c r="Q112" s="95"/>
      <c r="R112" s="129"/>
      <c r="S112" s="95"/>
      <c r="T112" s="95"/>
      <c r="V112" s="107"/>
    </row>
    <row r="113" ht="15.75" customHeight="1">
      <c r="A113" s="89"/>
      <c r="B113" s="182"/>
      <c r="C113" s="107"/>
      <c r="D113" s="95"/>
      <c r="E113" s="149"/>
      <c r="F113" s="149"/>
      <c r="G113" s="95"/>
      <c r="H113" s="149"/>
      <c r="I113" s="95"/>
      <c r="J113" s="95"/>
      <c r="K113" s="99"/>
      <c r="L113" s="99"/>
      <c r="M113" s="100"/>
      <c r="N113" s="127"/>
      <c r="O113" s="128"/>
      <c r="P113" s="95"/>
      <c r="Q113" s="95"/>
      <c r="R113" s="129"/>
      <c r="S113" s="95"/>
      <c r="T113" s="95"/>
      <c r="V113" s="107"/>
    </row>
    <row r="114" ht="15.75" customHeight="1">
      <c r="A114" s="89"/>
      <c r="B114" s="182"/>
      <c r="C114" s="107"/>
      <c r="D114" s="95"/>
      <c r="E114" s="149"/>
      <c r="F114" s="149"/>
      <c r="G114" s="95"/>
      <c r="H114" s="149"/>
      <c r="I114" s="95"/>
      <c r="J114" s="95"/>
      <c r="K114" s="113"/>
      <c r="L114" s="113"/>
      <c r="M114" s="100"/>
      <c r="N114" s="127"/>
      <c r="O114" s="128"/>
      <c r="P114" s="95"/>
      <c r="Q114" s="95"/>
      <c r="R114" s="129"/>
      <c r="S114" s="95"/>
      <c r="T114" s="95"/>
      <c r="V114" s="107"/>
    </row>
    <row r="115" ht="15.75" customHeight="1">
      <c r="A115" s="89"/>
      <c r="B115" s="182"/>
      <c r="C115" s="149"/>
      <c r="D115" s="95"/>
      <c r="E115" s="149"/>
      <c r="F115" s="149"/>
      <c r="G115" s="95"/>
      <c r="H115" s="149"/>
      <c r="I115" s="95"/>
      <c r="J115" s="95"/>
      <c r="K115" s="99"/>
      <c r="L115" s="99"/>
      <c r="M115" s="100"/>
      <c r="N115" s="127"/>
      <c r="O115" s="128"/>
      <c r="P115" s="95"/>
      <c r="Q115" s="95"/>
      <c r="R115" s="129"/>
      <c r="S115" s="95"/>
      <c r="T115" s="95"/>
      <c r="V115" s="107"/>
    </row>
    <row r="116" ht="15.75" customHeight="1">
      <c r="A116" s="89"/>
      <c r="B116" s="182"/>
      <c r="C116" s="149"/>
      <c r="D116" s="95"/>
      <c r="E116" s="149"/>
      <c r="F116" s="149"/>
      <c r="G116" s="95"/>
      <c r="H116" s="149"/>
      <c r="I116" s="95"/>
      <c r="J116" s="95"/>
      <c r="K116" s="113"/>
      <c r="L116" s="113"/>
      <c r="M116" s="100"/>
      <c r="N116" s="127"/>
      <c r="O116" s="128"/>
      <c r="P116" s="95"/>
      <c r="Q116" s="95"/>
      <c r="R116" s="129"/>
      <c r="S116" s="95"/>
      <c r="T116" s="95"/>
      <c r="V116" s="107"/>
    </row>
    <row r="117" ht="15.75" customHeight="1">
      <c r="A117" s="89"/>
      <c r="B117" s="182"/>
      <c r="C117" s="149"/>
      <c r="D117" s="95"/>
      <c r="E117" s="149"/>
      <c r="F117" s="149"/>
      <c r="G117" s="95"/>
      <c r="H117" s="149"/>
      <c r="I117" s="95"/>
      <c r="J117" s="95"/>
      <c r="K117" s="99"/>
      <c r="L117" s="99"/>
      <c r="M117" s="100"/>
      <c r="N117" s="127"/>
      <c r="O117" s="128"/>
      <c r="P117" s="95"/>
      <c r="Q117" s="95"/>
      <c r="R117" s="129"/>
      <c r="S117" s="95"/>
      <c r="T117" s="95"/>
      <c r="V117" s="107"/>
    </row>
    <row r="118" ht="15.75" customHeight="1">
      <c r="A118" s="89"/>
      <c r="B118" s="182"/>
      <c r="C118" s="149"/>
      <c r="D118" s="95"/>
      <c r="E118" s="149"/>
      <c r="F118" s="149"/>
      <c r="G118" s="95"/>
      <c r="H118" s="149"/>
      <c r="I118" s="95"/>
      <c r="J118" s="95"/>
      <c r="K118" s="113"/>
      <c r="L118" s="113"/>
      <c r="M118" s="100"/>
      <c r="N118" s="127"/>
      <c r="O118" s="128"/>
      <c r="P118" s="95"/>
      <c r="Q118" s="95"/>
      <c r="R118" s="129"/>
      <c r="S118" s="95"/>
      <c r="T118" s="95"/>
      <c r="V118" s="107"/>
    </row>
    <row r="119" ht="15.75" customHeight="1">
      <c r="A119" s="89"/>
      <c r="B119" s="182"/>
      <c r="C119" s="149"/>
      <c r="D119" s="95"/>
      <c r="E119" s="149"/>
      <c r="F119" s="149"/>
      <c r="G119" s="95"/>
      <c r="H119" s="149"/>
      <c r="I119" s="95"/>
      <c r="J119" s="95"/>
      <c r="K119" s="99"/>
      <c r="L119" s="99"/>
      <c r="M119" s="100"/>
      <c r="N119" s="127"/>
      <c r="O119" s="128"/>
      <c r="P119" s="95"/>
      <c r="Q119" s="137"/>
      <c r="R119" s="129"/>
      <c r="S119" s="95"/>
      <c r="T119" s="95"/>
      <c r="V119" s="107"/>
    </row>
    <row r="120" ht="15.75" customHeight="1">
      <c r="A120" s="89"/>
      <c r="B120" s="182"/>
      <c r="C120" s="107"/>
      <c r="D120" s="95"/>
      <c r="E120" s="149"/>
      <c r="F120" s="149"/>
      <c r="G120" s="95"/>
      <c r="H120" s="149"/>
      <c r="I120" s="95"/>
      <c r="J120" s="95"/>
      <c r="K120" s="113"/>
      <c r="L120" s="113"/>
      <c r="M120" s="100"/>
      <c r="N120" s="127"/>
      <c r="O120" s="128"/>
      <c r="P120" s="95"/>
      <c r="Q120" s="95"/>
      <c r="R120" s="129"/>
      <c r="S120" s="95"/>
      <c r="T120" s="95"/>
      <c r="V120" s="107"/>
    </row>
    <row r="121" ht="15.75" customHeight="1">
      <c r="A121" s="89"/>
      <c r="B121" s="182"/>
      <c r="C121" s="107"/>
      <c r="D121" s="95"/>
      <c r="E121" s="149"/>
      <c r="F121" s="149"/>
      <c r="G121" s="95"/>
      <c r="H121" s="149"/>
      <c r="I121" s="95"/>
      <c r="J121" s="95"/>
      <c r="K121" s="99"/>
      <c r="L121" s="99"/>
      <c r="M121" s="100"/>
      <c r="N121" s="127"/>
      <c r="O121" s="128"/>
      <c r="P121" s="95"/>
      <c r="Q121" s="95"/>
      <c r="R121" s="129"/>
      <c r="S121" s="95"/>
      <c r="T121" s="95"/>
      <c r="V121" s="107"/>
    </row>
    <row r="122" ht="15.75" customHeight="1">
      <c r="A122" s="89"/>
      <c r="B122" s="182"/>
      <c r="C122" s="107"/>
      <c r="D122" s="95"/>
      <c r="E122" s="149"/>
      <c r="F122" s="149"/>
      <c r="G122" s="95"/>
      <c r="H122" s="149"/>
      <c r="I122" s="95"/>
      <c r="J122" s="95"/>
      <c r="K122" s="113"/>
      <c r="L122" s="113"/>
      <c r="M122" s="100"/>
      <c r="N122" s="127"/>
      <c r="O122" s="128"/>
      <c r="P122" s="95"/>
      <c r="Q122" s="137"/>
      <c r="R122" s="129"/>
      <c r="S122" s="95"/>
      <c r="T122" s="95"/>
      <c r="V122" s="107"/>
    </row>
    <row r="123" ht="15.75" customHeight="1">
      <c r="A123" s="89"/>
      <c r="B123" s="182"/>
      <c r="C123" s="149"/>
      <c r="D123" s="95"/>
      <c r="E123" s="149"/>
      <c r="F123" s="149"/>
      <c r="G123" s="95"/>
      <c r="H123" s="149"/>
      <c r="I123" s="95"/>
      <c r="J123" s="95"/>
      <c r="K123" s="99"/>
      <c r="L123" s="99"/>
      <c r="M123" s="100"/>
      <c r="N123" s="127"/>
      <c r="O123" s="128"/>
      <c r="P123" s="95"/>
      <c r="Q123" s="137"/>
      <c r="R123" s="129"/>
      <c r="S123" s="95"/>
      <c r="T123" s="95"/>
      <c r="V123" s="107"/>
    </row>
    <row r="124" ht="15.75" customHeight="1">
      <c r="A124" s="89"/>
      <c r="B124" s="182"/>
      <c r="C124" s="149"/>
      <c r="D124" s="95"/>
      <c r="E124" s="149"/>
      <c r="F124" s="149"/>
      <c r="G124" s="95"/>
      <c r="H124" s="149"/>
      <c r="I124" s="95"/>
      <c r="J124" s="95"/>
      <c r="K124" s="113"/>
      <c r="L124" s="113"/>
      <c r="M124" s="100"/>
      <c r="N124" s="127"/>
      <c r="O124" s="128"/>
      <c r="P124" s="95"/>
      <c r="Q124" s="137"/>
      <c r="R124" s="129"/>
      <c r="S124" s="95"/>
      <c r="T124" s="95"/>
      <c r="V124" s="107"/>
    </row>
    <row r="125" ht="15.75" customHeight="1">
      <c r="A125" s="89"/>
      <c r="B125" s="182"/>
      <c r="C125" s="149"/>
      <c r="D125" s="95"/>
      <c r="E125" s="149"/>
      <c r="F125" s="149"/>
      <c r="G125" s="95"/>
      <c r="H125" s="149"/>
      <c r="I125" s="95"/>
      <c r="J125" s="95"/>
      <c r="K125" s="99"/>
      <c r="L125" s="99"/>
      <c r="M125" s="100"/>
      <c r="N125" s="127"/>
      <c r="O125" s="128"/>
      <c r="P125" s="95"/>
      <c r="Q125" s="137"/>
      <c r="R125" s="129"/>
      <c r="S125" s="95"/>
      <c r="T125" s="95"/>
      <c r="V125" s="107"/>
    </row>
    <row r="126" ht="15.75" customHeight="1">
      <c r="A126" s="89"/>
      <c r="B126" s="182"/>
      <c r="C126" s="149"/>
      <c r="D126" s="95"/>
      <c r="E126" s="149"/>
      <c r="F126" s="149"/>
      <c r="G126" s="95"/>
      <c r="H126" s="149"/>
      <c r="I126" s="95"/>
      <c r="J126" s="95"/>
      <c r="K126" s="113"/>
      <c r="L126" s="113"/>
      <c r="M126" s="100"/>
      <c r="N126" s="127"/>
      <c r="O126" s="128"/>
      <c r="P126" s="95"/>
      <c r="Q126" s="137"/>
      <c r="R126" s="129"/>
      <c r="S126" s="95"/>
      <c r="T126" s="95"/>
      <c r="V126" s="107"/>
    </row>
    <row r="127" ht="15.75" customHeight="1">
      <c r="A127" s="89"/>
      <c r="B127" s="182"/>
      <c r="C127" s="149"/>
      <c r="D127" s="95"/>
      <c r="E127" s="149"/>
      <c r="F127" s="149"/>
      <c r="G127" s="95"/>
      <c r="H127" s="149"/>
      <c r="I127" s="95"/>
      <c r="J127" s="95"/>
      <c r="K127" s="99"/>
      <c r="L127" s="99"/>
      <c r="M127" s="100"/>
      <c r="N127" s="127"/>
      <c r="O127" s="128"/>
      <c r="P127" s="95"/>
      <c r="Q127" s="137"/>
      <c r="R127" s="129"/>
      <c r="S127" s="95"/>
      <c r="T127" s="95"/>
      <c r="V127" s="107"/>
    </row>
    <row r="128" ht="15.75" customHeight="1">
      <c r="A128" s="89"/>
      <c r="B128" s="182"/>
      <c r="C128" s="107"/>
      <c r="D128" s="95"/>
      <c r="E128" s="149"/>
      <c r="F128" s="149"/>
      <c r="G128" s="95"/>
      <c r="H128" s="149"/>
      <c r="I128" s="95"/>
      <c r="J128" s="95"/>
      <c r="K128" s="113"/>
      <c r="L128" s="113"/>
      <c r="M128" s="100"/>
      <c r="N128" s="127"/>
      <c r="O128" s="128"/>
      <c r="P128" s="95"/>
      <c r="Q128" s="95"/>
      <c r="R128" s="129"/>
      <c r="S128" s="95"/>
      <c r="T128" s="95"/>
      <c r="V128" s="107"/>
    </row>
    <row r="129" ht="15.75" customHeight="1">
      <c r="A129" s="89"/>
      <c r="B129" s="182"/>
      <c r="C129" s="107"/>
      <c r="D129" s="95"/>
      <c r="E129" s="149"/>
      <c r="F129" s="149"/>
      <c r="G129" s="95"/>
      <c r="H129" s="149"/>
      <c r="I129" s="95"/>
      <c r="J129" s="95"/>
      <c r="K129" s="99"/>
      <c r="L129" s="99"/>
      <c r="M129" s="100"/>
      <c r="N129" s="127"/>
      <c r="O129" s="128"/>
      <c r="P129" s="95"/>
      <c r="Q129" s="137"/>
      <c r="R129" s="129"/>
      <c r="S129" s="95"/>
      <c r="T129" s="95"/>
      <c r="V129" s="107"/>
    </row>
    <row r="130" ht="15.75" customHeight="1">
      <c r="A130" s="89"/>
      <c r="B130" s="182"/>
      <c r="C130" s="107"/>
      <c r="D130" s="95"/>
      <c r="E130" s="149"/>
      <c r="F130" s="149"/>
      <c r="G130" s="95"/>
      <c r="H130" s="149"/>
      <c r="I130" s="95"/>
      <c r="J130" s="95"/>
      <c r="K130" s="113"/>
      <c r="L130" s="113"/>
      <c r="M130" s="100"/>
      <c r="N130" s="127"/>
      <c r="O130" s="128"/>
      <c r="P130" s="95"/>
      <c r="Q130" s="95"/>
      <c r="R130" s="129"/>
      <c r="S130" s="95"/>
      <c r="T130" s="95"/>
      <c r="V130" s="107"/>
    </row>
    <row r="131" ht="15.75" customHeight="1">
      <c r="A131" s="89"/>
      <c r="B131" s="182"/>
      <c r="C131" s="149"/>
      <c r="D131" s="95"/>
      <c r="E131" s="149"/>
      <c r="F131" s="149"/>
      <c r="G131" s="95"/>
      <c r="H131" s="149"/>
      <c r="I131" s="95"/>
      <c r="J131" s="95"/>
      <c r="K131" s="99"/>
      <c r="L131" s="99"/>
      <c r="M131" s="100"/>
      <c r="N131" s="127"/>
      <c r="O131" s="128"/>
      <c r="P131" s="95"/>
      <c r="Q131" s="95"/>
      <c r="R131" s="129"/>
      <c r="S131" s="95"/>
      <c r="T131" s="95"/>
      <c r="V131" s="107"/>
    </row>
    <row r="132" ht="15.75" customHeight="1">
      <c r="A132" s="89"/>
      <c r="B132" s="182"/>
      <c r="C132" s="149"/>
      <c r="D132" s="95"/>
      <c r="E132" s="149"/>
      <c r="F132" s="149"/>
      <c r="G132" s="95"/>
      <c r="H132" s="149"/>
      <c r="I132" s="95"/>
      <c r="J132" s="95"/>
      <c r="K132" s="113"/>
      <c r="L132" s="113"/>
      <c r="M132" s="100"/>
      <c r="N132" s="127"/>
      <c r="O132" s="128"/>
      <c r="P132" s="95"/>
      <c r="Q132" s="137"/>
      <c r="R132" s="129"/>
      <c r="S132" s="95"/>
      <c r="T132" s="95"/>
      <c r="V132" s="107"/>
    </row>
    <row r="133" ht="15.75" customHeight="1">
      <c r="A133" s="89"/>
      <c r="B133" s="182"/>
      <c r="C133" s="149"/>
      <c r="D133" s="95"/>
      <c r="E133" s="149"/>
      <c r="F133" s="149"/>
      <c r="G133" s="95"/>
      <c r="H133" s="149"/>
      <c r="I133" s="95"/>
      <c r="J133" s="95"/>
      <c r="K133" s="99"/>
      <c r="L133" s="99"/>
      <c r="M133" s="100"/>
      <c r="N133" s="127"/>
      <c r="O133" s="128"/>
      <c r="P133" s="95"/>
      <c r="Q133" s="95"/>
      <c r="R133" s="129"/>
      <c r="S133" s="95"/>
      <c r="T133" s="95"/>
      <c r="V133" s="107"/>
    </row>
    <row r="134" ht="15.75" customHeight="1">
      <c r="A134" s="89"/>
      <c r="B134" s="182"/>
      <c r="C134" s="149"/>
      <c r="D134" s="95"/>
      <c r="E134" s="149"/>
      <c r="F134" s="149"/>
      <c r="G134" s="95"/>
      <c r="H134" s="149"/>
      <c r="I134" s="95"/>
      <c r="J134" s="95"/>
      <c r="K134" s="113"/>
      <c r="L134" s="113"/>
      <c r="M134" s="100"/>
      <c r="N134" s="127"/>
      <c r="O134" s="128"/>
      <c r="P134" s="95"/>
      <c r="Q134" s="95"/>
      <c r="R134" s="129"/>
      <c r="S134" s="95"/>
      <c r="T134" s="95"/>
      <c r="V134" s="107"/>
    </row>
    <row r="135" ht="15.75" customHeight="1">
      <c r="A135" s="89"/>
      <c r="B135" s="182"/>
      <c r="C135" s="149"/>
      <c r="D135" s="95"/>
      <c r="E135" s="149"/>
      <c r="F135" s="149"/>
      <c r="G135" s="95"/>
      <c r="H135" s="149"/>
      <c r="I135" s="95"/>
      <c r="J135" s="95"/>
      <c r="K135" s="99"/>
      <c r="L135" s="99"/>
      <c r="M135" s="100"/>
      <c r="N135" s="127"/>
      <c r="O135" s="128"/>
      <c r="P135" s="95"/>
      <c r="Q135" s="137"/>
      <c r="R135" s="129"/>
      <c r="S135" s="95"/>
      <c r="T135" s="95"/>
      <c r="V135" s="107"/>
    </row>
    <row r="136" ht="15.75" customHeight="1">
      <c r="A136" s="89"/>
      <c r="B136" s="182"/>
      <c r="C136" s="107"/>
      <c r="D136" s="95"/>
      <c r="E136" s="149"/>
      <c r="F136" s="149"/>
      <c r="G136" s="95"/>
      <c r="H136" s="149"/>
      <c r="I136" s="95"/>
      <c r="J136" s="95"/>
      <c r="K136" s="113"/>
      <c r="L136" s="113"/>
      <c r="M136" s="100"/>
      <c r="N136" s="127"/>
      <c r="O136" s="128"/>
      <c r="P136" s="95"/>
      <c r="Q136" s="95"/>
      <c r="R136" s="129"/>
      <c r="S136" s="95"/>
      <c r="T136" s="95"/>
      <c r="V136" s="107"/>
    </row>
    <row r="137" ht="15.75" customHeight="1">
      <c r="A137" s="89"/>
      <c r="B137" s="182"/>
      <c r="C137" s="107"/>
      <c r="D137" s="95"/>
      <c r="E137" s="149"/>
      <c r="F137" s="149"/>
      <c r="G137" s="95"/>
      <c r="H137" s="149"/>
      <c r="I137" s="95"/>
      <c r="J137" s="95"/>
      <c r="K137" s="99"/>
      <c r="L137" s="99"/>
      <c r="M137" s="100"/>
      <c r="N137" s="127"/>
      <c r="O137" s="128"/>
      <c r="P137" s="95"/>
      <c r="Q137" s="137"/>
      <c r="R137" s="129"/>
      <c r="S137" s="95"/>
      <c r="T137" s="95"/>
      <c r="V137" s="107"/>
    </row>
    <row r="138" ht="15.75" customHeight="1">
      <c r="A138" s="89"/>
      <c r="B138" s="182"/>
      <c r="C138" s="107"/>
      <c r="D138" s="95"/>
      <c r="E138" s="149"/>
      <c r="F138" s="149"/>
      <c r="G138" s="95"/>
      <c r="H138" s="149"/>
      <c r="I138" s="95"/>
      <c r="J138" s="95"/>
      <c r="K138" s="113"/>
      <c r="L138" s="113"/>
      <c r="M138" s="100"/>
      <c r="N138" s="127"/>
      <c r="O138" s="128"/>
      <c r="P138" s="95"/>
      <c r="Q138" s="137"/>
      <c r="R138" s="129"/>
      <c r="S138" s="95"/>
      <c r="T138" s="95"/>
      <c r="V138" s="107"/>
    </row>
    <row r="139" ht="15.75" customHeight="1">
      <c r="A139" s="89"/>
      <c r="B139" s="182"/>
      <c r="C139" s="149"/>
      <c r="D139" s="95"/>
      <c r="E139" s="149"/>
      <c r="F139" s="149"/>
      <c r="G139" s="95"/>
      <c r="H139" s="149"/>
      <c r="I139" s="95"/>
      <c r="J139" s="95"/>
      <c r="K139" s="99"/>
      <c r="L139" s="99"/>
      <c r="M139" s="100"/>
      <c r="N139" s="127"/>
      <c r="O139" s="128"/>
      <c r="P139" s="95"/>
      <c r="Q139" s="137"/>
      <c r="R139" s="129"/>
      <c r="S139" s="95"/>
      <c r="T139" s="95"/>
      <c r="V139" s="107"/>
    </row>
    <row r="140" ht="15.75" customHeight="1">
      <c r="A140" s="89"/>
      <c r="B140" s="182"/>
      <c r="C140" s="149"/>
      <c r="D140" s="95"/>
      <c r="E140" s="149"/>
      <c r="F140" s="149"/>
      <c r="G140" s="95"/>
      <c r="H140" s="149"/>
      <c r="I140" s="95"/>
      <c r="J140" s="95"/>
      <c r="K140" s="113"/>
      <c r="L140" s="113"/>
      <c r="M140" s="100"/>
      <c r="N140" s="127"/>
      <c r="O140" s="128"/>
      <c r="P140" s="95"/>
      <c r="Q140" s="95"/>
      <c r="R140" s="129"/>
      <c r="S140" s="95"/>
      <c r="T140" s="95"/>
      <c r="V140" s="107"/>
    </row>
    <row r="141" ht="15.75" customHeight="1">
      <c r="A141" s="89"/>
      <c r="B141" s="182"/>
      <c r="C141" s="149"/>
      <c r="D141" s="95"/>
      <c r="E141" s="149"/>
      <c r="F141" s="149"/>
      <c r="G141" s="95"/>
      <c r="H141" s="149"/>
      <c r="I141" s="95"/>
      <c r="J141" s="95"/>
      <c r="K141" s="99"/>
      <c r="L141" s="99"/>
      <c r="M141" s="100"/>
      <c r="N141" s="127"/>
      <c r="O141" s="128"/>
      <c r="P141" s="95"/>
      <c r="Q141" s="137"/>
      <c r="R141" s="129"/>
      <c r="S141" s="95"/>
      <c r="T141" s="95"/>
      <c r="V141" s="107"/>
    </row>
    <row r="142" ht="15.75" customHeight="1">
      <c r="A142" s="89"/>
      <c r="B142" s="182"/>
      <c r="C142" s="149"/>
      <c r="D142" s="95"/>
      <c r="E142" s="149"/>
      <c r="F142" s="149"/>
      <c r="G142" s="95"/>
      <c r="H142" s="149"/>
      <c r="I142" s="95"/>
      <c r="J142" s="95"/>
      <c r="K142" s="113"/>
      <c r="L142" s="113"/>
      <c r="M142" s="100"/>
      <c r="N142" s="127"/>
      <c r="O142" s="128"/>
      <c r="P142" s="95"/>
      <c r="Q142" s="95"/>
      <c r="R142" s="129"/>
      <c r="S142" s="95"/>
      <c r="T142" s="95"/>
      <c r="V142" s="107"/>
    </row>
    <row r="143" ht="15.75" customHeight="1">
      <c r="A143" s="89"/>
      <c r="B143" s="182"/>
      <c r="C143" s="149"/>
      <c r="D143" s="95"/>
      <c r="E143" s="149"/>
      <c r="F143" s="183"/>
      <c r="G143" s="95"/>
      <c r="H143" s="149"/>
      <c r="I143" s="95"/>
      <c r="J143" s="95"/>
      <c r="K143" s="99"/>
      <c r="L143" s="99"/>
      <c r="M143" s="100"/>
      <c r="N143" s="127"/>
      <c r="O143" s="128"/>
      <c r="P143" s="95"/>
      <c r="Q143" s="137"/>
      <c r="R143" s="129"/>
      <c r="S143" s="95"/>
      <c r="T143" s="95"/>
      <c r="V143" s="107"/>
    </row>
    <row r="144" ht="15.75" customHeight="1">
      <c r="A144" s="89"/>
      <c r="B144" s="182"/>
      <c r="C144" s="107"/>
      <c r="D144" s="95"/>
      <c r="E144" s="149"/>
      <c r="F144" s="149"/>
      <c r="G144" s="95"/>
      <c r="H144" s="149"/>
      <c r="I144" s="95"/>
      <c r="J144" s="95"/>
      <c r="K144" s="113"/>
      <c r="L144" s="113"/>
      <c r="M144" s="100"/>
      <c r="N144" s="127"/>
      <c r="O144" s="128"/>
      <c r="P144" s="95"/>
      <c r="Q144" s="95"/>
      <c r="R144" s="129"/>
      <c r="S144" s="95"/>
      <c r="T144" s="95"/>
      <c r="V144" s="107"/>
    </row>
    <row r="145" ht="15.75" customHeight="1">
      <c r="A145" s="89"/>
      <c r="B145" s="182"/>
      <c r="C145" s="107"/>
      <c r="D145" s="95"/>
      <c r="E145" s="149"/>
      <c r="F145" s="149"/>
      <c r="G145" s="95"/>
      <c r="H145" s="149"/>
      <c r="I145" s="95"/>
      <c r="J145" s="95"/>
      <c r="K145" s="99"/>
      <c r="L145" s="99"/>
      <c r="M145" s="100"/>
      <c r="N145" s="127"/>
      <c r="O145" s="128"/>
      <c r="P145" s="95"/>
      <c r="Q145" s="137"/>
      <c r="R145" s="129"/>
      <c r="S145" s="95"/>
      <c r="T145" s="95"/>
      <c r="V145" s="107"/>
    </row>
    <row r="146" ht="15.75" customHeight="1">
      <c r="A146" s="89"/>
      <c r="B146" s="182"/>
      <c r="C146" s="149"/>
      <c r="D146" s="95"/>
      <c r="E146" s="149"/>
      <c r="F146" s="149"/>
      <c r="G146" s="95"/>
      <c r="H146" s="149"/>
      <c r="I146" s="95"/>
      <c r="J146" s="95"/>
      <c r="K146" s="113"/>
      <c r="L146" s="113"/>
      <c r="M146" s="100"/>
      <c r="N146" s="127"/>
      <c r="O146" s="128"/>
      <c r="P146" s="95"/>
      <c r="Q146" s="137"/>
      <c r="R146" s="129"/>
      <c r="S146" s="95"/>
      <c r="T146" s="95"/>
      <c r="V146" s="107"/>
    </row>
    <row r="147" ht="15.75" customHeight="1">
      <c r="A147" s="89"/>
      <c r="B147" s="182"/>
      <c r="C147" s="149"/>
      <c r="D147" s="95"/>
      <c r="E147" s="149"/>
      <c r="F147" s="149"/>
      <c r="G147" s="95"/>
      <c r="H147" s="149"/>
      <c r="I147" s="95"/>
      <c r="J147" s="95"/>
      <c r="K147" s="99"/>
      <c r="L147" s="99"/>
      <c r="M147" s="100"/>
      <c r="N147" s="127"/>
      <c r="O147" s="128"/>
      <c r="P147" s="95"/>
      <c r="Q147" s="137"/>
      <c r="R147" s="129"/>
      <c r="S147" s="95"/>
      <c r="T147" s="95"/>
      <c r="V147" s="107"/>
    </row>
    <row r="148" ht="15.75" customHeight="1">
      <c r="A148" s="89"/>
      <c r="B148" s="182"/>
      <c r="C148" s="149"/>
      <c r="D148" s="95"/>
      <c r="E148" s="149"/>
      <c r="F148" s="149"/>
      <c r="G148" s="95"/>
      <c r="H148" s="149"/>
      <c r="I148" s="95"/>
      <c r="J148" s="95"/>
      <c r="K148" s="113"/>
      <c r="L148" s="113"/>
      <c r="M148" s="100"/>
      <c r="N148" s="127"/>
      <c r="O148" s="128"/>
      <c r="P148" s="95"/>
      <c r="Q148" s="137"/>
      <c r="R148" s="129"/>
      <c r="S148" s="95"/>
      <c r="T148" s="95"/>
      <c r="V148" s="107"/>
    </row>
    <row r="149" ht="15.75" customHeight="1">
      <c r="A149" s="89"/>
      <c r="B149" s="182"/>
      <c r="C149" s="149"/>
      <c r="D149" s="95"/>
      <c r="E149" s="149"/>
      <c r="F149" s="149"/>
      <c r="G149" s="95"/>
      <c r="H149" s="149"/>
      <c r="I149" s="95"/>
      <c r="J149" s="95"/>
      <c r="K149" s="99"/>
      <c r="L149" s="99"/>
      <c r="M149" s="100"/>
      <c r="N149" s="127"/>
      <c r="O149" s="128"/>
      <c r="P149" s="95"/>
      <c r="Q149" s="137"/>
      <c r="R149" s="129"/>
      <c r="S149" s="95"/>
      <c r="T149" s="95"/>
      <c r="V149" s="107"/>
    </row>
    <row r="150" ht="15.75" customHeight="1">
      <c r="A150" s="89"/>
      <c r="B150" s="182"/>
      <c r="C150" s="149"/>
      <c r="D150" s="95"/>
      <c r="E150" s="149"/>
      <c r="F150" s="149"/>
      <c r="G150" s="95"/>
      <c r="H150" s="149"/>
      <c r="I150" s="95"/>
      <c r="J150" s="95"/>
      <c r="K150" s="113"/>
      <c r="L150" s="113"/>
      <c r="M150" s="100"/>
      <c r="N150" s="127"/>
      <c r="O150" s="128"/>
      <c r="P150" s="95"/>
      <c r="Q150" s="137"/>
      <c r="R150" s="129"/>
      <c r="S150" s="95"/>
      <c r="T150" s="95"/>
      <c r="V150" s="107"/>
    </row>
    <row r="151" ht="15.75" customHeight="1">
      <c r="A151" s="89"/>
      <c r="B151" s="182"/>
      <c r="C151" s="107"/>
      <c r="D151" s="95"/>
      <c r="E151" s="149"/>
      <c r="F151" s="149"/>
      <c r="G151" s="95"/>
      <c r="H151" s="149"/>
      <c r="I151" s="95"/>
      <c r="J151" s="95"/>
      <c r="K151" s="99"/>
      <c r="L151" s="99"/>
      <c r="M151" s="100"/>
      <c r="N151" s="127"/>
      <c r="O151" s="128"/>
      <c r="P151" s="95"/>
      <c r="Q151" s="137"/>
      <c r="R151" s="129"/>
      <c r="S151" s="95"/>
      <c r="T151" s="95"/>
      <c r="V151" s="107"/>
    </row>
    <row r="152" ht="15.75" customHeight="1">
      <c r="A152" s="89"/>
      <c r="B152" s="182"/>
      <c r="C152" s="149"/>
      <c r="D152" s="95"/>
      <c r="E152" s="149"/>
      <c r="F152" s="149"/>
      <c r="G152" s="95"/>
      <c r="H152" s="149"/>
      <c r="I152" s="95"/>
      <c r="J152" s="95"/>
      <c r="K152" s="113"/>
      <c r="L152" s="113"/>
      <c r="M152" s="100"/>
      <c r="N152" s="127"/>
      <c r="O152" s="128"/>
      <c r="P152" s="95"/>
      <c r="Q152" s="137"/>
      <c r="R152" s="129"/>
      <c r="S152" s="95"/>
      <c r="T152" s="95"/>
      <c r="V152" s="107"/>
    </row>
    <row r="153" ht="15.75" customHeight="1">
      <c r="A153" s="89"/>
      <c r="B153" s="182"/>
      <c r="C153" s="149"/>
      <c r="D153" s="95"/>
      <c r="E153" s="149"/>
      <c r="F153" s="149"/>
      <c r="G153" s="95"/>
      <c r="H153" s="149"/>
      <c r="I153" s="95"/>
      <c r="J153" s="95"/>
      <c r="K153" s="99"/>
      <c r="L153" s="99"/>
      <c r="M153" s="100"/>
      <c r="N153" s="127"/>
      <c r="O153" s="128"/>
      <c r="P153" s="95"/>
      <c r="Q153" s="137"/>
      <c r="R153" s="129"/>
      <c r="S153" s="95"/>
      <c r="T153" s="95"/>
      <c r="V153" s="107"/>
    </row>
    <row r="154" ht="15.75" customHeight="1">
      <c r="A154" s="89"/>
      <c r="B154" s="182"/>
      <c r="C154" s="149"/>
      <c r="D154" s="95"/>
      <c r="E154" s="149"/>
      <c r="F154" s="149"/>
      <c r="G154" s="95"/>
      <c r="H154" s="149"/>
      <c r="I154" s="95"/>
      <c r="J154" s="95"/>
      <c r="K154" s="113"/>
      <c r="L154" s="113"/>
      <c r="M154" s="100"/>
      <c r="N154" s="127"/>
      <c r="O154" s="128"/>
      <c r="P154" s="95"/>
      <c r="Q154" s="137"/>
      <c r="R154" s="129"/>
      <c r="S154" s="95"/>
      <c r="T154" s="95"/>
      <c r="V154" s="107"/>
    </row>
    <row r="155" ht="15.75" customHeight="1">
      <c r="A155" s="89"/>
      <c r="B155" s="182"/>
      <c r="C155" s="149"/>
      <c r="D155" s="95"/>
      <c r="E155" s="149"/>
      <c r="F155" s="149"/>
      <c r="G155" s="95"/>
      <c r="H155" s="149"/>
      <c r="I155" s="95"/>
      <c r="J155" s="95"/>
      <c r="K155" s="99"/>
      <c r="L155" s="99"/>
      <c r="M155" s="100"/>
      <c r="N155" s="127"/>
      <c r="O155" s="128"/>
      <c r="P155" s="95"/>
      <c r="Q155" s="137"/>
      <c r="R155" s="129"/>
      <c r="S155" s="95"/>
      <c r="T155" s="95"/>
      <c r="V155" s="107"/>
    </row>
    <row r="156" ht="15.75" customHeight="1">
      <c r="A156" s="89"/>
      <c r="B156" s="182"/>
      <c r="C156" s="149"/>
      <c r="D156" s="95"/>
      <c r="E156" s="149"/>
      <c r="F156" s="149"/>
      <c r="G156" s="95"/>
      <c r="H156" s="149"/>
      <c r="I156" s="95"/>
      <c r="J156" s="95"/>
      <c r="K156" s="113"/>
      <c r="L156" s="113"/>
      <c r="M156" s="100"/>
      <c r="N156" s="127"/>
      <c r="O156" s="128"/>
      <c r="P156" s="95"/>
      <c r="Q156" s="137"/>
      <c r="R156" s="129"/>
      <c r="S156" s="95"/>
      <c r="T156" s="95"/>
      <c r="V156" s="107"/>
    </row>
    <row r="157" ht="15.75" customHeight="1">
      <c r="A157" s="89"/>
      <c r="B157" s="182"/>
      <c r="C157" s="107"/>
      <c r="D157" s="95"/>
      <c r="E157" s="149"/>
      <c r="F157" s="149"/>
      <c r="G157" s="95"/>
      <c r="H157" s="149"/>
      <c r="I157" s="95"/>
      <c r="J157" s="95"/>
      <c r="K157" s="99"/>
      <c r="L157" s="99"/>
      <c r="M157" s="100"/>
      <c r="N157" s="127"/>
      <c r="O157" s="128"/>
      <c r="P157" s="95"/>
      <c r="Q157" s="137"/>
      <c r="R157" s="129"/>
      <c r="S157" s="95"/>
      <c r="T157" s="95"/>
      <c r="V157" s="107"/>
    </row>
    <row r="158" ht="15.75" customHeight="1">
      <c r="A158" s="89"/>
      <c r="B158" s="182"/>
      <c r="C158" s="149"/>
      <c r="D158" s="95"/>
      <c r="E158" s="149"/>
      <c r="F158" s="149"/>
      <c r="G158" s="95"/>
      <c r="H158" s="149"/>
      <c r="I158" s="95"/>
      <c r="J158" s="95"/>
      <c r="K158" s="113"/>
      <c r="L158" s="113"/>
      <c r="M158" s="100"/>
      <c r="N158" s="127"/>
      <c r="O158" s="128"/>
      <c r="P158" s="95"/>
      <c r="Q158" s="137"/>
      <c r="R158" s="129"/>
      <c r="S158" s="95"/>
      <c r="T158" s="95"/>
      <c r="V158" s="107"/>
    </row>
    <row r="159" ht="15.75" customHeight="1">
      <c r="A159" s="89"/>
      <c r="B159" s="182"/>
      <c r="C159" s="149"/>
      <c r="D159" s="95"/>
      <c r="E159" s="149"/>
      <c r="F159" s="149"/>
      <c r="G159" s="95"/>
      <c r="H159" s="149"/>
      <c r="I159" s="95"/>
      <c r="J159" s="95"/>
      <c r="K159" s="99"/>
      <c r="L159" s="99"/>
      <c r="M159" s="100"/>
      <c r="N159" s="127"/>
      <c r="O159" s="128"/>
      <c r="P159" s="95"/>
      <c r="Q159" s="137"/>
      <c r="R159" s="129"/>
      <c r="S159" s="95"/>
      <c r="T159" s="95"/>
      <c r="V159" s="107"/>
    </row>
    <row r="160" ht="15.75" customHeight="1">
      <c r="A160" s="89"/>
      <c r="B160" s="182"/>
      <c r="C160" s="149"/>
      <c r="D160" s="95"/>
      <c r="E160" s="149"/>
      <c r="F160" s="149"/>
      <c r="G160" s="95"/>
      <c r="H160" s="149"/>
      <c r="I160" s="95"/>
      <c r="J160" s="95"/>
      <c r="K160" s="113"/>
      <c r="L160" s="113"/>
      <c r="M160" s="100"/>
      <c r="N160" s="127"/>
      <c r="O160" s="128"/>
      <c r="P160" s="95"/>
      <c r="Q160" s="137"/>
      <c r="R160" s="129"/>
      <c r="S160" s="95"/>
      <c r="T160" s="95"/>
      <c r="V160" s="107"/>
    </row>
    <row r="161" ht="15.75" customHeight="1">
      <c r="A161" s="89"/>
      <c r="B161" s="182"/>
      <c r="C161" s="149"/>
      <c r="D161" s="95"/>
      <c r="E161" s="149"/>
      <c r="F161" s="149"/>
      <c r="G161" s="95"/>
      <c r="H161" s="149"/>
      <c r="I161" s="95"/>
      <c r="J161" s="95"/>
      <c r="K161" s="99"/>
      <c r="L161" s="99"/>
      <c r="M161" s="100"/>
      <c r="N161" s="127"/>
      <c r="O161" s="128"/>
      <c r="P161" s="95"/>
      <c r="Q161" s="137"/>
      <c r="R161" s="129"/>
      <c r="S161" s="95"/>
      <c r="T161" s="95"/>
      <c r="V161" s="107"/>
    </row>
    <row r="162" ht="15.75" customHeight="1">
      <c r="A162" s="89"/>
      <c r="B162" s="182"/>
      <c r="C162" s="149"/>
      <c r="D162" s="95"/>
      <c r="E162" s="149"/>
      <c r="F162" s="149"/>
      <c r="G162" s="95"/>
      <c r="H162" s="149"/>
      <c r="I162" s="95"/>
      <c r="J162" s="95"/>
      <c r="K162" s="113"/>
      <c r="L162" s="113"/>
      <c r="M162" s="100"/>
      <c r="N162" s="127"/>
      <c r="O162" s="128"/>
      <c r="P162" s="95"/>
      <c r="Q162" s="137"/>
      <c r="R162" s="129"/>
      <c r="S162" s="95"/>
      <c r="T162" s="95"/>
      <c r="V162" s="107"/>
    </row>
    <row r="163" ht="15.75" customHeight="1">
      <c r="A163" s="89"/>
      <c r="B163" s="182"/>
      <c r="C163" s="107"/>
      <c r="D163" s="95"/>
      <c r="E163" s="149"/>
      <c r="F163" s="149"/>
      <c r="G163" s="95"/>
      <c r="H163" s="149"/>
      <c r="I163" s="95"/>
      <c r="J163" s="95"/>
      <c r="K163" s="99"/>
      <c r="L163" s="99"/>
      <c r="M163" s="100"/>
      <c r="N163" s="127"/>
      <c r="O163" s="128"/>
      <c r="P163" s="95"/>
      <c r="Q163" s="137"/>
      <c r="R163" s="129"/>
      <c r="S163" s="95"/>
      <c r="T163" s="95"/>
      <c r="V163" s="107"/>
    </row>
    <row r="164" ht="15.75" customHeight="1">
      <c r="A164" s="89"/>
      <c r="B164" s="182"/>
      <c r="C164" s="149"/>
      <c r="D164" s="95"/>
      <c r="E164" s="149"/>
      <c r="F164" s="149"/>
      <c r="G164" s="95"/>
      <c r="H164" s="149"/>
      <c r="I164" s="95"/>
      <c r="J164" s="95"/>
      <c r="K164" s="113"/>
      <c r="L164" s="113"/>
      <c r="M164" s="100"/>
      <c r="N164" s="127"/>
      <c r="O164" s="128"/>
      <c r="P164" s="95"/>
      <c r="Q164" s="137"/>
      <c r="R164" s="129"/>
      <c r="S164" s="95"/>
      <c r="T164" s="95"/>
      <c r="V164" s="107"/>
    </row>
    <row r="165" ht="15.75" customHeight="1">
      <c r="A165" s="89"/>
      <c r="B165" s="182"/>
      <c r="C165" s="149"/>
      <c r="D165" s="95"/>
      <c r="E165" s="149"/>
      <c r="F165" s="149"/>
      <c r="G165" s="95"/>
      <c r="H165" s="149"/>
      <c r="I165" s="95"/>
      <c r="J165" s="95"/>
      <c r="K165" s="99"/>
      <c r="L165" s="99"/>
      <c r="M165" s="100"/>
      <c r="N165" s="127"/>
      <c r="O165" s="128"/>
      <c r="P165" s="95"/>
      <c r="Q165" s="137"/>
      <c r="R165" s="129"/>
      <c r="S165" s="95"/>
      <c r="T165" s="95"/>
      <c r="V165" s="107"/>
    </row>
    <row r="166" ht="15.75" customHeight="1">
      <c r="A166" s="89"/>
      <c r="B166" s="182"/>
      <c r="C166" s="149"/>
      <c r="D166" s="95"/>
      <c r="E166" s="149"/>
      <c r="F166" s="149"/>
      <c r="G166" s="95"/>
      <c r="H166" s="149"/>
      <c r="I166" s="95"/>
      <c r="J166" s="95"/>
      <c r="K166" s="113"/>
      <c r="L166" s="113"/>
      <c r="M166" s="100"/>
      <c r="N166" s="127"/>
      <c r="O166" s="128"/>
      <c r="P166" s="95"/>
      <c r="Q166" s="137"/>
      <c r="R166" s="129"/>
      <c r="S166" s="95"/>
      <c r="T166" s="95"/>
      <c r="V166" s="107"/>
    </row>
    <row r="167" ht="15.75" customHeight="1">
      <c r="A167" s="89"/>
      <c r="B167" s="182"/>
      <c r="C167" s="149"/>
      <c r="D167" s="95"/>
      <c r="E167" s="149"/>
      <c r="F167" s="149"/>
      <c r="G167" s="95"/>
      <c r="H167" s="149"/>
      <c r="I167" s="95"/>
      <c r="J167" s="95"/>
      <c r="K167" s="99"/>
      <c r="L167" s="99"/>
      <c r="M167" s="100"/>
      <c r="N167" s="127"/>
      <c r="O167" s="128"/>
      <c r="P167" s="95"/>
      <c r="Q167" s="137"/>
      <c r="R167" s="129"/>
      <c r="S167" s="95"/>
      <c r="T167" s="95"/>
      <c r="V167" s="107"/>
    </row>
    <row r="168" ht="15.75" customHeight="1">
      <c r="A168" s="89"/>
      <c r="B168" s="182"/>
      <c r="C168" s="149"/>
      <c r="D168" s="95"/>
      <c r="E168" s="149"/>
      <c r="F168" s="149"/>
      <c r="G168" s="95"/>
      <c r="H168" s="149"/>
      <c r="I168" s="95"/>
      <c r="J168" s="95"/>
      <c r="K168" s="113"/>
      <c r="L168" s="113"/>
      <c r="M168" s="100"/>
      <c r="N168" s="127"/>
      <c r="O168" s="128"/>
      <c r="P168" s="95"/>
      <c r="Q168" s="137"/>
      <c r="R168" s="129"/>
      <c r="S168" s="95"/>
      <c r="T168" s="95"/>
      <c r="V168" s="107"/>
    </row>
    <row r="169" ht="15.75" customHeight="1">
      <c r="A169" s="89"/>
      <c r="B169" s="182"/>
      <c r="C169" s="107"/>
      <c r="D169" s="95"/>
      <c r="E169" s="149"/>
      <c r="F169" s="149"/>
      <c r="G169" s="95"/>
      <c r="H169" s="149"/>
      <c r="I169" s="95"/>
      <c r="J169" s="95"/>
      <c r="K169" s="99"/>
      <c r="L169" s="99"/>
      <c r="M169" s="100"/>
      <c r="N169" s="127"/>
      <c r="O169" s="128"/>
      <c r="P169" s="95"/>
      <c r="Q169" s="137"/>
      <c r="R169" s="129"/>
      <c r="S169" s="95"/>
      <c r="T169" s="95"/>
      <c r="V169" s="107"/>
    </row>
    <row r="170" ht="15.75" customHeight="1">
      <c r="A170" s="89"/>
      <c r="B170" s="182"/>
      <c r="C170" s="149"/>
      <c r="D170" s="95"/>
      <c r="E170" s="149"/>
      <c r="F170" s="149"/>
      <c r="G170" s="95"/>
      <c r="H170" s="149"/>
      <c r="I170" s="95"/>
      <c r="J170" s="95"/>
      <c r="K170" s="113"/>
      <c r="L170" s="113"/>
      <c r="M170" s="100"/>
      <c r="N170" s="127"/>
      <c r="O170" s="128"/>
      <c r="P170" s="95"/>
      <c r="Q170" s="137"/>
      <c r="R170" s="129"/>
      <c r="S170" s="95"/>
      <c r="T170" s="95"/>
      <c r="V170" s="107"/>
    </row>
    <row r="171" ht="15.75" customHeight="1">
      <c r="A171" s="89"/>
      <c r="B171" s="182"/>
      <c r="C171" s="149"/>
      <c r="D171" s="95"/>
      <c r="E171" s="149"/>
      <c r="F171" s="149"/>
      <c r="G171" s="95"/>
      <c r="H171" s="149"/>
      <c r="I171" s="95"/>
      <c r="J171" s="95"/>
      <c r="K171" s="99"/>
      <c r="L171" s="99"/>
      <c r="M171" s="100"/>
      <c r="N171" s="127"/>
      <c r="O171" s="128"/>
      <c r="P171" s="95"/>
      <c r="Q171" s="137"/>
      <c r="R171" s="129"/>
      <c r="S171" s="95"/>
      <c r="T171" s="95"/>
      <c r="V171" s="107"/>
    </row>
    <row r="172" ht="15.75" customHeight="1">
      <c r="A172" s="89"/>
      <c r="B172" s="182"/>
      <c r="C172" s="149"/>
      <c r="D172" s="95"/>
      <c r="E172" s="149"/>
      <c r="F172" s="149"/>
      <c r="G172" s="95"/>
      <c r="H172" s="149"/>
      <c r="I172" s="95"/>
      <c r="J172" s="95"/>
      <c r="K172" s="113"/>
      <c r="L172" s="113"/>
      <c r="M172" s="100"/>
      <c r="N172" s="127"/>
      <c r="O172" s="128"/>
      <c r="P172" s="95"/>
      <c r="Q172" s="137"/>
      <c r="R172" s="129"/>
      <c r="S172" s="95"/>
      <c r="T172" s="95"/>
      <c r="V172" s="107"/>
    </row>
    <row r="173" ht="15.75" customHeight="1">
      <c r="A173" s="89"/>
      <c r="B173" s="182"/>
      <c r="C173" s="149"/>
      <c r="D173" s="95"/>
      <c r="E173" s="149"/>
      <c r="F173" s="149"/>
      <c r="G173" s="95"/>
      <c r="H173" s="149"/>
      <c r="I173" s="95"/>
      <c r="J173" s="95"/>
      <c r="K173" s="99"/>
      <c r="L173" s="99"/>
      <c r="M173" s="100"/>
      <c r="N173" s="127"/>
      <c r="O173" s="128"/>
      <c r="P173" s="95"/>
      <c r="Q173" s="137"/>
      <c r="R173" s="129"/>
      <c r="S173" s="95"/>
      <c r="T173" s="95"/>
      <c r="V173" s="107"/>
    </row>
    <row r="174" ht="15.75" customHeight="1">
      <c r="A174" s="89"/>
      <c r="B174" s="182"/>
      <c r="C174" s="149"/>
      <c r="D174" s="95"/>
      <c r="E174" s="149"/>
      <c r="F174" s="149"/>
      <c r="G174" s="95"/>
      <c r="H174" s="149"/>
      <c r="I174" s="95"/>
      <c r="J174" s="95"/>
      <c r="K174" s="113"/>
      <c r="L174" s="113"/>
      <c r="M174" s="100"/>
      <c r="N174" s="127"/>
      <c r="O174" s="128"/>
      <c r="P174" s="95"/>
      <c r="Q174" s="137"/>
      <c r="R174" s="129"/>
      <c r="S174" s="95"/>
      <c r="T174" s="95"/>
      <c r="V174" s="107"/>
    </row>
    <row r="175" ht="15.75" customHeight="1">
      <c r="A175" s="89"/>
      <c r="B175" s="182"/>
      <c r="C175" s="107"/>
      <c r="D175" s="95"/>
      <c r="E175" s="149"/>
      <c r="F175" s="149"/>
      <c r="G175" s="95"/>
      <c r="H175" s="149"/>
      <c r="I175" s="95"/>
      <c r="J175" s="95"/>
      <c r="K175" s="99"/>
      <c r="L175" s="99"/>
      <c r="M175" s="100"/>
      <c r="N175" s="127"/>
      <c r="O175" s="128"/>
      <c r="P175" s="95"/>
      <c r="Q175" s="137"/>
      <c r="R175" s="129"/>
      <c r="S175" s="95"/>
      <c r="T175" s="95"/>
      <c r="V175" s="107"/>
    </row>
    <row r="176" ht="15.75" customHeight="1">
      <c r="A176" s="89"/>
      <c r="B176" s="182"/>
      <c r="C176" s="149"/>
      <c r="D176" s="95"/>
      <c r="E176" s="149"/>
      <c r="F176" s="149"/>
      <c r="G176" s="95"/>
      <c r="H176" s="149"/>
      <c r="I176" s="95"/>
      <c r="J176" s="95"/>
      <c r="K176" s="113"/>
      <c r="L176" s="113"/>
      <c r="M176" s="100"/>
      <c r="N176" s="127"/>
      <c r="O176" s="128"/>
      <c r="P176" s="95"/>
      <c r="Q176" s="137"/>
      <c r="R176" s="129"/>
      <c r="S176" s="95"/>
      <c r="T176" s="95"/>
      <c r="V176" s="107"/>
    </row>
    <row r="177" ht="15.75" customHeight="1">
      <c r="A177" s="89"/>
      <c r="B177" s="182"/>
      <c r="C177" s="149"/>
      <c r="D177" s="95"/>
      <c r="E177" s="149"/>
      <c r="F177" s="149"/>
      <c r="G177" s="95"/>
      <c r="H177" s="149"/>
      <c r="I177" s="95"/>
      <c r="J177" s="95"/>
      <c r="K177" s="99"/>
      <c r="L177" s="99"/>
      <c r="M177" s="100"/>
      <c r="N177" s="127"/>
      <c r="O177" s="128"/>
      <c r="P177" s="95"/>
      <c r="Q177" s="137"/>
      <c r="R177" s="129"/>
      <c r="S177" s="95"/>
      <c r="T177" s="95"/>
      <c r="V177" s="107"/>
    </row>
    <row r="178" ht="15.75" customHeight="1">
      <c r="A178" s="89"/>
      <c r="B178" s="182"/>
      <c r="C178" s="149"/>
      <c r="D178" s="95"/>
      <c r="E178" s="149"/>
      <c r="F178" s="149"/>
      <c r="G178" s="95"/>
      <c r="H178" s="149"/>
      <c r="I178" s="95"/>
      <c r="J178" s="95"/>
      <c r="K178" s="113"/>
      <c r="L178" s="113"/>
      <c r="M178" s="100"/>
      <c r="N178" s="127"/>
      <c r="O178" s="128"/>
      <c r="P178" s="95"/>
      <c r="Q178" s="137"/>
      <c r="R178" s="129"/>
      <c r="S178" s="95"/>
      <c r="T178" s="95"/>
      <c r="V178" s="107"/>
    </row>
    <row r="179" ht="15.75" customHeight="1">
      <c r="A179" s="89"/>
      <c r="B179" s="182"/>
      <c r="C179" s="149"/>
      <c r="D179" s="95"/>
      <c r="E179" s="149"/>
      <c r="F179" s="149"/>
      <c r="G179" s="95"/>
      <c r="H179" s="149"/>
      <c r="I179" s="95"/>
      <c r="J179" s="95"/>
      <c r="K179" s="99"/>
      <c r="L179" s="99"/>
      <c r="M179" s="100"/>
      <c r="N179" s="127"/>
      <c r="O179" s="128"/>
      <c r="P179" s="95"/>
      <c r="Q179" s="137"/>
      <c r="R179" s="129"/>
      <c r="S179" s="95"/>
      <c r="T179" s="95"/>
      <c r="V179" s="107"/>
    </row>
    <row r="180" ht="15.75" customHeight="1">
      <c r="A180" s="89"/>
      <c r="B180" s="182"/>
      <c r="C180" s="149"/>
      <c r="D180" s="95"/>
      <c r="E180" s="149"/>
      <c r="F180" s="149"/>
      <c r="G180" s="95"/>
      <c r="H180" s="149"/>
      <c r="I180" s="95"/>
      <c r="J180" s="95"/>
      <c r="K180" s="113"/>
      <c r="L180" s="113"/>
      <c r="M180" s="100"/>
      <c r="N180" s="127"/>
      <c r="O180" s="128"/>
      <c r="P180" s="95"/>
      <c r="Q180" s="137"/>
      <c r="R180" s="129"/>
      <c r="S180" s="95"/>
      <c r="T180" s="95"/>
      <c r="V180" s="107"/>
    </row>
    <row r="181" ht="15.75" customHeight="1">
      <c r="A181" s="89"/>
      <c r="B181" s="182"/>
      <c r="C181" s="107"/>
      <c r="D181" s="95"/>
      <c r="E181" s="149"/>
      <c r="F181" s="149"/>
      <c r="G181" s="95"/>
      <c r="H181" s="149"/>
      <c r="I181" s="95"/>
      <c r="J181" s="95"/>
      <c r="K181" s="99"/>
      <c r="L181" s="99"/>
      <c r="M181" s="100"/>
      <c r="N181" s="127"/>
      <c r="O181" s="128"/>
      <c r="P181" s="95"/>
      <c r="Q181" s="137"/>
      <c r="R181" s="129"/>
      <c r="S181" s="95"/>
      <c r="T181" s="95"/>
      <c r="V181" s="107"/>
    </row>
    <row r="182" ht="15.75" customHeight="1">
      <c r="A182" s="89"/>
      <c r="B182" s="182"/>
      <c r="C182" s="149"/>
      <c r="D182" s="95"/>
      <c r="E182" s="149"/>
      <c r="F182" s="149"/>
      <c r="G182" s="95"/>
      <c r="H182" s="149"/>
      <c r="I182" s="95"/>
      <c r="J182" s="95"/>
      <c r="K182" s="113"/>
      <c r="L182" s="113"/>
      <c r="M182" s="100"/>
      <c r="N182" s="127"/>
      <c r="O182" s="128"/>
      <c r="P182" s="95"/>
      <c r="Q182" s="137"/>
      <c r="R182" s="129"/>
      <c r="S182" s="95"/>
      <c r="T182" s="95"/>
      <c r="V182" s="107"/>
    </row>
    <row r="183" ht="15.75" customHeight="1">
      <c r="A183" s="89"/>
      <c r="B183" s="182"/>
      <c r="C183" s="149"/>
      <c r="D183" s="95"/>
      <c r="E183" s="149"/>
      <c r="F183" s="149"/>
      <c r="G183" s="95"/>
      <c r="H183" s="149"/>
      <c r="I183" s="95"/>
      <c r="J183" s="95"/>
      <c r="K183" s="99"/>
      <c r="L183" s="99"/>
      <c r="M183" s="100"/>
      <c r="N183" s="127"/>
      <c r="O183" s="128"/>
      <c r="P183" s="95"/>
      <c r="Q183" s="137"/>
      <c r="R183" s="129"/>
      <c r="S183" s="95"/>
      <c r="T183" s="95"/>
      <c r="V183" s="107"/>
    </row>
    <row r="184" ht="15.75" customHeight="1">
      <c r="A184" s="89"/>
      <c r="B184" s="182"/>
      <c r="C184" s="149"/>
      <c r="D184" s="95"/>
      <c r="E184" s="149"/>
      <c r="F184" s="149"/>
      <c r="G184" s="95"/>
      <c r="H184" s="149"/>
      <c r="I184" s="95"/>
      <c r="J184" s="95"/>
      <c r="K184" s="113"/>
      <c r="L184" s="113"/>
      <c r="M184" s="100"/>
      <c r="N184" s="127"/>
      <c r="O184" s="128"/>
      <c r="P184" s="95"/>
      <c r="Q184" s="137"/>
      <c r="R184" s="129"/>
      <c r="S184" s="95"/>
      <c r="T184" s="95"/>
      <c r="V184" s="107"/>
    </row>
    <row r="185" ht="15.75" customHeight="1">
      <c r="A185" s="89"/>
      <c r="B185" s="182"/>
      <c r="C185" s="149"/>
      <c r="D185" s="95"/>
      <c r="E185" s="149"/>
      <c r="F185" s="149"/>
      <c r="G185" s="95"/>
      <c r="H185" s="149"/>
      <c r="I185" s="95"/>
      <c r="J185" s="95"/>
      <c r="K185" s="99"/>
      <c r="L185" s="99"/>
      <c r="M185" s="100"/>
      <c r="N185" s="127"/>
      <c r="O185" s="128"/>
      <c r="P185" s="95"/>
      <c r="Q185" s="137"/>
      <c r="R185" s="129"/>
      <c r="S185" s="95"/>
      <c r="T185" s="95"/>
      <c r="V185" s="107"/>
    </row>
    <row r="186" ht="15.75" customHeight="1">
      <c r="A186" s="89"/>
      <c r="B186" s="182"/>
      <c r="C186" s="149"/>
      <c r="D186" s="95"/>
      <c r="E186" s="149"/>
      <c r="F186" s="149"/>
      <c r="G186" s="95"/>
      <c r="H186" s="149"/>
      <c r="I186" s="95"/>
      <c r="J186" s="95"/>
      <c r="K186" s="113"/>
      <c r="L186" s="113"/>
      <c r="M186" s="100"/>
      <c r="N186" s="127"/>
      <c r="O186" s="128"/>
      <c r="P186" s="95"/>
      <c r="Q186" s="137"/>
      <c r="R186" s="129"/>
      <c r="S186" s="95"/>
      <c r="T186" s="95"/>
      <c r="V186" s="107"/>
    </row>
    <row r="187" ht="15.75" customHeight="1">
      <c r="A187" s="89"/>
      <c r="B187" s="182"/>
      <c r="C187" s="107"/>
      <c r="D187" s="95"/>
      <c r="E187" s="149"/>
      <c r="F187" s="149"/>
      <c r="G187" s="95"/>
      <c r="H187" s="149"/>
      <c r="I187" s="95"/>
      <c r="J187" s="95"/>
      <c r="K187" s="99"/>
      <c r="L187" s="99"/>
      <c r="M187" s="100"/>
      <c r="N187" s="127"/>
      <c r="O187" s="128"/>
      <c r="P187" s="95"/>
      <c r="Q187" s="137"/>
      <c r="R187" s="129"/>
      <c r="S187" s="95"/>
      <c r="T187" s="95"/>
      <c r="V187" s="107"/>
    </row>
    <row r="188" ht="15.75" customHeight="1">
      <c r="A188" s="89"/>
      <c r="B188" s="182"/>
      <c r="C188" s="149"/>
      <c r="D188" s="95"/>
      <c r="E188" s="149"/>
      <c r="F188" s="149"/>
      <c r="G188" s="95"/>
      <c r="H188" s="149"/>
      <c r="I188" s="95"/>
      <c r="J188" s="95"/>
      <c r="K188" s="113"/>
      <c r="L188" s="113"/>
      <c r="M188" s="100"/>
      <c r="N188" s="127"/>
      <c r="O188" s="128"/>
      <c r="P188" s="95"/>
      <c r="Q188" s="137"/>
      <c r="R188" s="129"/>
      <c r="S188" s="95"/>
      <c r="T188" s="95"/>
      <c r="V188" s="107"/>
    </row>
    <row r="189" ht="15.75" customHeight="1">
      <c r="A189" s="89"/>
      <c r="B189" s="182"/>
      <c r="C189" s="149"/>
      <c r="D189" s="95"/>
      <c r="E189" s="149"/>
      <c r="F189" s="149"/>
      <c r="G189" s="95"/>
      <c r="H189" s="149"/>
      <c r="I189" s="95"/>
      <c r="J189" s="95"/>
      <c r="K189" s="99"/>
      <c r="L189" s="99"/>
      <c r="M189" s="100"/>
      <c r="N189" s="127"/>
      <c r="O189" s="128"/>
      <c r="P189" s="95"/>
      <c r="Q189" s="137"/>
      <c r="R189" s="129"/>
      <c r="S189" s="95"/>
      <c r="T189" s="95"/>
      <c r="V189" s="107"/>
    </row>
    <row r="190" ht="15.75" customHeight="1">
      <c r="A190" s="89"/>
      <c r="B190" s="182"/>
      <c r="C190" s="149"/>
      <c r="D190" s="95"/>
      <c r="E190" s="149"/>
      <c r="F190" s="149"/>
      <c r="G190" s="95"/>
      <c r="H190" s="149"/>
      <c r="I190" s="95"/>
      <c r="J190" s="95"/>
      <c r="K190" s="113"/>
      <c r="L190" s="113"/>
      <c r="M190" s="100"/>
      <c r="N190" s="127"/>
      <c r="O190" s="128"/>
      <c r="P190" s="95"/>
      <c r="Q190" s="137"/>
      <c r="R190" s="129"/>
      <c r="S190" s="95"/>
      <c r="T190" s="95"/>
      <c r="V190" s="107"/>
    </row>
    <row r="191" ht="15.75" customHeight="1">
      <c r="A191" s="89"/>
      <c r="B191" s="182"/>
      <c r="C191" s="149"/>
      <c r="D191" s="95"/>
      <c r="E191" s="149"/>
      <c r="F191" s="149"/>
      <c r="G191" s="95"/>
      <c r="H191" s="149"/>
      <c r="I191" s="95"/>
      <c r="J191" s="95"/>
      <c r="K191" s="99"/>
      <c r="L191" s="99"/>
      <c r="M191" s="100"/>
      <c r="N191" s="127"/>
      <c r="O191" s="128"/>
      <c r="P191" s="95"/>
      <c r="Q191" s="137"/>
      <c r="R191" s="129"/>
      <c r="S191" s="95"/>
      <c r="T191" s="95"/>
      <c r="V191" s="107"/>
    </row>
    <row r="192" ht="15.75" customHeight="1">
      <c r="A192" s="89"/>
      <c r="B192" s="182"/>
      <c r="C192" s="149"/>
      <c r="D192" s="95"/>
      <c r="E192" s="149"/>
      <c r="F192" s="149"/>
      <c r="G192" s="95"/>
      <c r="H192" s="149"/>
      <c r="I192" s="95"/>
      <c r="J192" s="95"/>
      <c r="K192" s="113"/>
      <c r="L192" s="113"/>
      <c r="M192" s="100"/>
      <c r="N192" s="127"/>
      <c r="O192" s="128"/>
      <c r="P192" s="95"/>
      <c r="Q192" s="137"/>
      <c r="R192" s="129"/>
      <c r="S192" s="95"/>
      <c r="T192" s="95"/>
      <c r="V192" s="107"/>
    </row>
    <row r="193" ht="15.75" customHeight="1">
      <c r="A193" s="89"/>
      <c r="B193" s="182"/>
      <c r="C193" s="107"/>
      <c r="D193" s="95"/>
      <c r="E193" s="149"/>
      <c r="F193" s="149"/>
      <c r="G193" s="95"/>
      <c r="H193" s="149"/>
      <c r="I193" s="95"/>
      <c r="J193" s="95"/>
      <c r="K193" s="99"/>
      <c r="L193" s="99"/>
      <c r="M193" s="100"/>
      <c r="N193" s="127"/>
      <c r="O193" s="128"/>
      <c r="P193" s="95"/>
      <c r="Q193" s="137"/>
      <c r="R193" s="129"/>
      <c r="S193" s="95"/>
      <c r="T193" s="95"/>
      <c r="V193" s="107"/>
    </row>
    <row r="194" ht="15.75" customHeight="1">
      <c r="A194" s="89"/>
      <c r="B194" s="182"/>
      <c r="C194" s="149"/>
      <c r="D194" s="95"/>
      <c r="E194" s="149"/>
      <c r="F194" s="149"/>
      <c r="G194" s="95"/>
      <c r="H194" s="149"/>
      <c r="I194" s="95"/>
      <c r="J194" s="95"/>
      <c r="K194" s="113"/>
      <c r="L194" s="113"/>
      <c r="M194" s="100"/>
      <c r="N194" s="127"/>
      <c r="O194" s="128"/>
      <c r="P194" s="95"/>
      <c r="Q194" s="137"/>
      <c r="R194" s="129"/>
      <c r="S194" s="95"/>
      <c r="T194" s="95"/>
      <c r="V194" s="107"/>
    </row>
    <row r="195" ht="15.75" customHeight="1">
      <c r="A195" s="89"/>
      <c r="B195" s="182"/>
      <c r="C195" s="149"/>
      <c r="D195" s="95"/>
      <c r="E195" s="149"/>
      <c r="F195" s="149"/>
      <c r="G195" s="95"/>
      <c r="H195" s="149"/>
      <c r="I195" s="95"/>
      <c r="J195" s="95"/>
      <c r="K195" s="99"/>
      <c r="L195" s="99"/>
      <c r="M195" s="100"/>
      <c r="N195" s="127"/>
      <c r="O195" s="128"/>
      <c r="P195" s="95"/>
      <c r="Q195" s="137"/>
      <c r="R195" s="129"/>
      <c r="S195" s="95"/>
      <c r="T195" s="95"/>
      <c r="V195" s="107"/>
    </row>
    <row r="196" ht="15.75" customHeight="1">
      <c r="A196" s="89"/>
      <c r="B196" s="182"/>
      <c r="C196" s="149"/>
      <c r="D196" s="95"/>
      <c r="E196" s="149"/>
      <c r="F196" s="149"/>
      <c r="G196" s="95"/>
      <c r="H196" s="149"/>
      <c r="I196" s="95"/>
      <c r="J196" s="95"/>
      <c r="K196" s="113"/>
      <c r="L196" s="113"/>
      <c r="M196" s="100"/>
      <c r="N196" s="127"/>
      <c r="O196" s="128"/>
      <c r="P196" s="95"/>
      <c r="Q196" s="137"/>
      <c r="R196" s="129"/>
      <c r="S196" s="95"/>
      <c r="T196" s="95"/>
      <c r="V196" s="107"/>
    </row>
    <row r="197" ht="15.75" customHeight="1">
      <c r="A197" s="89"/>
      <c r="B197" s="182"/>
      <c r="C197" s="149"/>
      <c r="D197" s="95"/>
      <c r="E197" s="149"/>
      <c r="F197" s="149"/>
      <c r="G197" s="95"/>
      <c r="H197" s="149"/>
      <c r="I197" s="95"/>
      <c r="J197" s="95"/>
      <c r="K197" s="99"/>
      <c r="L197" s="99"/>
      <c r="M197" s="100"/>
      <c r="N197" s="127"/>
      <c r="O197" s="128"/>
      <c r="P197" s="95"/>
      <c r="Q197" s="137"/>
      <c r="R197" s="129"/>
      <c r="S197" s="95"/>
      <c r="T197" s="95"/>
      <c r="V197" s="107"/>
    </row>
    <row r="198" ht="15.75" customHeight="1">
      <c r="A198" s="89"/>
      <c r="B198" s="182"/>
      <c r="C198" s="149"/>
      <c r="D198" s="95"/>
      <c r="E198" s="149"/>
      <c r="F198" s="149"/>
      <c r="G198" s="95"/>
      <c r="H198" s="149"/>
      <c r="I198" s="95"/>
      <c r="J198" s="95"/>
      <c r="K198" s="113"/>
      <c r="L198" s="113"/>
      <c r="M198" s="100"/>
      <c r="N198" s="127"/>
      <c r="O198" s="128"/>
      <c r="P198" s="95"/>
      <c r="Q198" s="137"/>
      <c r="R198" s="129"/>
      <c r="S198" s="95"/>
      <c r="T198" s="95"/>
      <c r="V198" s="107"/>
    </row>
    <row r="199" ht="15.75" customHeight="1">
      <c r="A199" s="89"/>
      <c r="B199" s="182"/>
      <c r="C199" s="107"/>
      <c r="D199" s="95"/>
      <c r="E199" s="149"/>
      <c r="F199" s="149"/>
      <c r="G199" s="95"/>
      <c r="H199" s="149"/>
      <c r="I199" s="95"/>
      <c r="J199" s="95"/>
      <c r="K199" s="99"/>
      <c r="L199" s="99"/>
      <c r="M199" s="100"/>
      <c r="N199" s="127"/>
      <c r="O199" s="128"/>
      <c r="P199" s="95"/>
      <c r="Q199" s="137"/>
      <c r="R199" s="129"/>
      <c r="S199" s="95"/>
      <c r="T199" s="95"/>
      <c r="V199" s="107"/>
    </row>
    <row r="200" ht="15.75" customHeight="1">
      <c r="A200" s="89"/>
      <c r="B200" s="182"/>
      <c r="C200" s="149"/>
      <c r="D200" s="95"/>
      <c r="E200" s="149"/>
      <c r="F200" s="149"/>
      <c r="G200" s="95"/>
      <c r="H200" s="149"/>
      <c r="I200" s="95"/>
      <c r="J200" s="95"/>
      <c r="K200" s="113"/>
      <c r="L200" s="113"/>
      <c r="M200" s="100"/>
      <c r="N200" s="127"/>
      <c r="O200" s="128"/>
      <c r="P200" s="95"/>
      <c r="Q200" s="137"/>
      <c r="R200" s="129"/>
      <c r="S200" s="95"/>
      <c r="T200" s="95"/>
      <c r="V200" s="107"/>
    </row>
    <row r="201" ht="15.75" customHeight="1">
      <c r="A201" s="89"/>
      <c r="B201" s="182"/>
      <c r="C201" s="149"/>
      <c r="D201" s="95"/>
      <c r="E201" s="149"/>
      <c r="F201" s="149"/>
      <c r="G201" s="95"/>
      <c r="H201" s="149"/>
      <c r="I201" s="95"/>
      <c r="J201" s="95"/>
      <c r="K201" s="99"/>
      <c r="L201" s="99"/>
      <c r="M201" s="100"/>
      <c r="N201" s="127"/>
      <c r="O201" s="128"/>
      <c r="P201" s="95"/>
      <c r="Q201" s="137"/>
      <c r="R201" s="129"/>
      <c r="S201" s="95"/>
      <c r="T201" s="95"/>
      <c r="V201" s="107"/>
    </row>
    <row r="202" ht="15.75" customHeight="1">
      <c r="A202" s="89"/>
      <c r="B202" s="182"/>
      <c r="C202" s="149"/>
      <c r="D202" s="95"/>
      <c r="E202" s="149"/>
      <c r="F202" s="149"/>
      <c r="G202" s="95"/>
      <c r="H202" s="149"/>
      <c r="I202" s="95"/>
      <c r="J202" s="95"/>
      <c r="K202" s="113"/>
      <c r="L202" s="113"/>
      <c r="M202" s="100"/>
      <c r="N202" s="127"/>
      <c r="O202" s="128"/>
      <c r="P202" s="95"/>
      <c r="Q202" s="137"/>
      <c r="R202" s="129"/>
      <c r="S202" s="95"/>
      <c r="T202" s="95"/>
      <c r="V202" s="107"/>
    </row>
    <row r="203" ht="15.75" customHeight="1">
      <c r="A203" s="89"/>
      <c r="B203" s="182"/>
      <c r="C203" s="149"/>
      <c r="D203" s="95"/>
      <c r="E203" s="149"/>
      <c r="F203" s="149"/>
      <c r="G203" s="95"/>
      <c r="H203" s="149"/>
      <c r="I203" s="95"/>
      <c r="J203" s="95"/>
      <c r="K203" s="99"/>
      <c r="L203" s="99"/>
      <c r="M203" s="100"/>
      <c r="N203" s="127"/>
      <c r="O203" s="128"/>
      <c r="P203" s="95"/>
      <c r="Q203" s="137"/>
      <c r="R203" s="129"/>
      <c r="S203" s="95"/>
      <c r="T203" s="95"/>
      <c r="V203" s="107"/>
    </row>
    <row r="204" ht="15.75" customHeight="1">
      <c r="A204" s="89"/>
      <c r="B204" s="182"/>
      <c r="C204" s="149"/>
      <c r="D204" s="95"/>
      <c r="E204" s="149"/>
      <c r="F204" s="149"/>
      <c r="G204" s="95"/>
      <c r="H204" s="149"/>
      <c r="I204" s="95"/>
      <c r="J204" s="95"/>
      <c r="K204" s="113"/>
      <c r="L204" s="113"/>
      <c r="M204" s="100"/>
      <c r="N204" s="127"/>
      <c r="O204" s="128"/>
      <c r="P204" s="95"/>
      <c r="Q204" s="137"/>
      <c r="R204" s="129"/>
      <c r="S204" s="95"/>
      <c r="T204" s="95"/>
      <c r="V204" s="107"/>
    </row>
    <row r="205" ht="15.75" customHeight="1">
      <c r="A205" s="89"/>
      <c r="B205" s="182"/>
      <c r="C205" s="107"/>
      <c r="D205" s="95"/>
      <c r="E205" s="149"/>
      <c r="F205" s="149"/>
      <c r="G205" s="95"/>
      <c r="H205" s="149"/>
      <c r="I205" s="95"/>
      <c r="J205" s="95"/>
      <c r="K205" s="99"/>
      <c r="L205" s="99"/>
      <c r="M205" s="100"/>
      <c r="N205" s="127"/>
      <c r="O205" s="128"/>
      <c r="P205" s="95"/>
      <c r="Q205" s="137"/>
      <c r="R205" s="129"/>
      <c r="S205" s="95"/>
      <c r="T205" s="95"/>
      <c r="V205" s="107"/>
    </row>
    <row r="206" ht="15.75" customHeight="1">
      <c r="A206" s="89"/>
      <c r="B206" s="182"/>
      <c r="C206" s="149"/>
      <c r="D206" s="95"/>
      <c r="E206" s="149"/>
      <c r="F206" s="149"/>
      <c r="G206" s="95"/>
      <c r="H206" s="149"/>
      <c r="I206" s="95"/>
      <c r="J206" s="95"/>
      <c r="K206" s="113"/>
      <c r="L206" s="113"/>
      <c r="M206" s="100"/>
      <c r="N206" s="127"/>
      <c r="O206" s="128"/>
      <c r="P206" s="95"/>
      <c r="Q206" s="137"/>
      <c r="R206" s="129"/>
      <c r="S206" s="95"/>
      <c r="T206" s="95"/>
      <c r="V206" s="107"/>
    </row>
    <row r="207" ht="15.75" customHeight="1">
      <c r="A207" s="89"/>
      <c r="B207" s="182"/>
      <c r="C207" s="149"/>
      <c r="D207" s="95"/>
      <c r="E207" s="149"/>
      <c r="F207" s="149"/>
      <c r="G207" s="95"/>
      <c r="H207" s="149"/>
      <c r="I207" s="95"/>
      <c r="J207" s="95"/>
      <c r="K207" s="99"/>
      <c r="L207" s="99"/>
      <c r="M207" s="100"/>
      <c r="N207" s="127"/>
      <c r="O207" s="128"/>
      <c r="P207" s="95"/>
      <c r="Q207" s="137"/>
      <c r="R207" s="129"/>
      <c r="S207" s="95"/>
      <c r="T207" s="95"/>
      <c r="V207" s="107"/>
    </row>
    <row r="208" ht="15.75" customHeight="1">
      <c r="A208" s="89"/>
      <c r="B208" s="182"/>
      <c r="C208" s="149"/>
      <c r="D208" s="95"/>
      <c r="E208" s="149"/>
      <c r="F208" s="149"/>
      <c r="G208" s="95"/>
      <c r="H208" s="149"/>
      <c r="I208" s="95"/>
      <c r="J208" s="95"/>
      <c r="K208" s="113"/>
      <c r="L208" s="113"/>
      <c r="M208" s="100"/>
      <c r="N208" s="127"/>
      <c r="O208" s="128"/>
      <c r="P208" s="95"/>
      <c r="Q208" s="137"/>
      <c r="R208" s="129"/>
      <c r="S208" s="95"/>
      <c r="T208" s="95"/>
      <c r="V208" s="107"/>
    </row>
    <row r="209" ht="15.75" customHeight="1">
      <c r="A209" s="89"/>
      <c r="B209" s="182"/>
      <c r="C209" s="149"/>
      <c r="D209" s="95"/>
      <c r="E209" s="149"/>
      <c r="F209" s="149"/>
      <c r="G209" s="95"/>
      <c r="H209" s="149"/>
      <c r="I209" s="95"/>
      <c r="J209" s="95"/>
      <c r="K209" s="99"/>
      <c r="L209" s="99"/>
      <c r="M209" s="100"/>
      <c r="N209" s="127"/>
      <c r="O209" s="128"/>
      <c r="P209" s="95"/>
      <c r="Q209" s="137"/>
      <c r="R209" s="129"/>
      <c r="S209" s="95"/>
      <c r="T209" s="95"/>
      <c r="V209" s="107"/>
    </row>
    <row r="210" ht="15.75" customHeight="1">
      <c r="A210" s="89"/>
      <c r="B210" s="182"/>
      <c r="C210" s="149"/>
      <c r="D210" s="95"/>
      <c r="E210" s="149"/>
      <c r="F210" s="149"/>
      <c r="G210" s="95"/>
      <c r="H210" s="149"/>
      <c r="I210" s="95"/>
      <c r="J210" s="95"/>
      <c r="K210" s="113"/>
      <c r="L210" s="113"/>
      <c r="M210" s="100"/>
      <c r="N210" s="127"/>
      <c r="O210" s="128"/>
      <c r="P210" s="95"/>
      <c r="Q210" s="137"/>
      <c r="R210" s="129"/>
      <c r="S210" s="95"/>
      <c r="T210" s="95"/>
      <c r="V210" s="107"/>
    </row>
    <row r="211" ht="15.75" customHeight="1">
      <c r="A211" s="89"/>
      <c r="B211" s="182"/>
      <c r="C211" s="107"/>
      <c r="D211" s="95"/>
      <c r="E211" s="149"/>
      <c r="F211" s="149"/>
      <c r="G211" s="95"/>
      <c r="H211" s="149"/>
      <c r="I211" s="95"/>
      <c r="J211" s="95"/>
      <c r="K211" s="99"/>
      <c r="L211" s="99"/>
      <c r="M211" s="100"/>
      <c r="N211" s="127"/>
      <c r="O211" s="128"/>
      <c r="P211" s="95"/>
      <c r="Q211" s="137"/>
      <c r="R211" s="129"/>
      <c r="S211" s="95"/>
      <c r="T211" s="95"/>
      <c r="V211" s="107"/>
    </row>
    <row r="212" ht="15.75" customHeight="1">
      <c r="A212" s="89"/>
      <c r="B212" s="182"/>
      <c r="C212" s="149"/>
      <c r="D212" s="95"/>
      <c r="E212" s="149"/>
      <c r="F212" s="149"/>
      <c r="G212" s="95"/>
      <c r="H212" s="149"/>
      <c r="I212" s="95"/>
      <c r="J212" s="95"/>
      <c r="K212" s="113"/>
      <c r="L212" s="113"/>
      <c r="M212" s="100"/>
      <c r="N212" s="127"/>
      <c r="O212" s="128"/>
      <c r="P212" s="95"/>
      <c r="Q212" s="137"/>
      <c r="R212" s="129"/>
      <c r="S212" s="95"/>
      <c r="T212" s="95"/>
      <c r="V212" s="107"/>
    </row>
    <row r="213" ht="15.75" customHeight="1">
      <c r="A213" s="89"/>
      <c r="B213" s="182"/>
      <c r="C213" s="149"/>
      <c r="D213" s="95"/>
      <c r="E213" s="149"/>
      <c r="F213" s="149"/>
      <c r="G213" s="95"/>
      <c r="H213" s="149"/>
      <c r="I213" s="95"/>
      <c r="J213" s="95"/>
      <c r="K213" s="99"/>
      <c r="L213" s="99"/>
      <c r="M213" s="100"/>
      <c r="N213" s="127"/>
      <c r="O213" s="128"/>
      <c r="P213" s="95"/>
      <c r="Q213" s="137"/>
      <c r="R213" s="129"/>
      <c r="S213" s="95"/>
      <c r="T213" s="95"/>
      <c r="V213" s="107"/>
    </row>
    <row r="214" ht="15.75" customHeight="1">
      <c r="A214" s="89"/>
      <c r="B214" s="182"/>
      <c r="C214" s="149"/>
      <c r="D214" s="95"/>
      <c r="E214" s="149"/>
      <c r="F214" s="149"/>
      <c r="G214" s="95"/>
      <c r="H214" s="149"/>
      <c r="I214" s="95"/>
      <c r="J214" s="95"/>
      <c r="K214" s="113"/>
      <c r="L214" s="113"/>
      <c r="M214" s="100"/>
      <c r="N214" s="127"/>
      <c r="O214" s="128"/>
      <c r="P214" s="95"/>
      <c r="Q214" s="137"/>
      <c r="R214" s="129"/>
      <c r="S214" s="95"/>
      <c r="T214" s="95"/>
      <c r="V214" s="107"/>
    </row>
    <row r="215" ht="15.75" customHeight="1">
      <c r="A215" s="89"/>
      <c r="B215" s="182"/>
      <c r="C215" s="149"/>
      <c r="D215" s="95"/>
      <c r="E215" s="149"/>
      <c r="F215" s="149"/>
      <c r="G215" s="95"/>
      <c r="H215" s="149"/>
      <c r="I215" s="95"/>
      <c r="J215" s="95"/>
      <c r="K215" s="99"/>
      <c r="L215" s="99"/>
      <c r="M215" s="100"/>
      <c r="N215" s="127"/>
      <c r="O215" s="128"/>
      <c r="P215" s="95"/>
      <c r="Q215" s="137"/>
      <c r="R215" s="129"/>
      <c r="S215" s="95"/>
      <c r="T215" s="95"/>
      <c r="V215" s="107"/>
    </row>
    <row r="216" ht="15.75" customHeight="1">
      <c r="A216" s="89"/>
      <c r="B216" s="182"/>
      <c r="C216" s="149"/>
      <c r="D216" s="95"/>
      <c r="E216" s="149"/>
      <c r="F216" s="149"/>
      <c r="G216" s="95"/>
      <c r="H216" s="149"/>
      <c r="I216" s="95"/>
      <c r="J216" s="95"/>
      <c r="K216" s="113"/>
      <c r="L216" s="113"/>
      <c r="M216" s="100"/>
      <c r="N216" s="127"/>
      <c r="O216" s="128"/>
      <c r="P216" s="95"/>
      <c r="Q216" s="137"/>
      <c r="R216" s="129"/>
      <c r="S216" s="95"/>
      <c r="T216" s="95"/>
      <c r="V216" s="107"/>
    </row>
    <row r="217" ht="15.75" customHeight="1">
      <c r="A217" s="89"/>
      <c r="B217" s="182"/>
      <c r="C217" s="107"/>
      <c r="D217" s="95"/>
      <c r="E217" s="149"/>
      <c r="F217" s="149"/>
      <c r="G217" s="95"/>
      <c r="H217" s="149"/>
      <c r="I217" s="95"/>
      <c r="J217" s="95"/>
      <c r="K217" s="99"/>
      <c r="L217" s="99"/>
      <c r="M217" s="100"/>
      <c r="N217" s="127"/>
      <c r="O217" s="128"/>
      <c r="P217" s="95"/>
      <c r="Q217" s="137"/>
      <c r="R217" s="129"/>
      <c r="S217" s="95"/>
      <c r="T217" s="95"/>
      <c r="V217" s="107"/>
    </row>
    <row r="218" ht="15.75" customHeight="1">
      <c r="A218" s="89"/>
      <c r="B218" s="182"/>
      <c r="C218" s="149"/>
      <c r="D218" s="95"/>
      <c r="E218" s="149"/>
      <c r="F218" s="149"/>
      <c r="G218" s="95"/>
      <c r="H218" s="149"/>
      <c r="I218" s="95"/>
      <c r="J218" s="95"/>
      <c r="K218" s="113"/>
      <c r="L218" s="113"/>
      <c r="M218" s="100"/>
      <c r="N218" s="127"/>
      <c r="O218" s="128"/>
      <c r="P218" s="95"/>
      <c r="Q218" s="137"/>
      <c r="R218" s="129"/>
      <c r="S218" s="95"/>
      <c r="T218" s="95"/>
      <c r="V218" s="107"/>
    </row>
    <row r="219" ht="15.75" customHeight="1">
      <c r="A219" s="89"/>
      <c r="B219" s="182"/>
      <c r="C219" s="149"/>
      <c r="D219" s="95"/>
      <c r="E219" s="149"/>
      <c r="F219" s="149"/>
      <c r="G219" s="95"/>
      <c r="H219" s="149"/>
      <c r="I219" s="95"/>
      <c r="J219" s="95"/>
      <c r="K219" s="99"/>
      <c r="L219" s="99"/>
      <c r="M219" s="100"/>
      <c r="N219" s="127"/>
      <c r="O219" s="128"/>
      <c r="P219" s="95"/>
      <c r="Q219" s="137"/>
      <c r="R219" s="129"/>
      <c r="S219" s="95"/>
      <c r="T219" s="95"/>
      <c r="V219" s="107"/>
    </row>
    <row r="220" ht="15.75" customHeight="1">
      <c r="A220" s="89"/>
      <c r="B220" s="182"/>
      <c r="C220" s="149"/>
      <c r="D220" s="95"/>
      <c r="E220" s="149"/>
      <c r="F220" s="149"/>
      <c r="G220" s="95"/>
      <c r="H220" s="149"/>
      <c r="I220" s="95"/>
      <c r="J220" s="95"/>
      <c r="K220" s="113"/>
      <c r="L220" s="113"/>
      <c r="M220" s="100"/>
      <c r="N220" s="127"/>
      <c r="O220" s="128"/>
      <c r="P220" s="95"/>
      <c r="Q220" s="137"/>
      <c r="R220" s="129"/>
      <c r="S220" s="95"/>
      <c r="T220" s="95"/>
      <c r="V220" s="107"/>
    </row>
    <row r="221" ht="15.75" customHeight="1">
      <c r="A221" s="89"/>
      <c r="B221" s="182"/>
      <c r="C221" s="149"/>
      <c r="D221" s="95"/>
      <c r="E221" s="149"/>
      <c r="F221" s="149"/>
      <c r="G221" s="95"/>
      <c r="H221" s="149"/>
      <c r="I221" s="95"/>
      <c r="J221" s="95"/>
      <c r="K221" s="99"/>
      <c r="L221" s="99"/>
      <c r="M221" s="100"/>
      <c r="N221" s="127"/>
      <c r="O221" s="128"/>
      <c r="P221" s="95"/>
      <c r="Q221" s="137"/>
      <c r="R221" s="129"/>
      <c r="S221" s="95"/>
      <c r="T221" s="95"/>
      <c r="V221" s="107"/>
    </row>
    <row r="222" ht="15.75" customHeight="1">
      <c r="A222" s="89"/>
      <c r="B222" s="182"/>
      <c r="C222" s="149"/>
      <c r="D222" s="95"/>
      <c r="E222" s="149"/>
      <c r="F222" s="149"/>
      <c r="G222" s="95"/>
      <c r="H222" s="149"/>
      <c r="I222" s="95"/>
      <c r="J222" s="95"/>
      <c r="K222" s="113"/>
      <c r="L222" s="113"/>
      <c r="M222" s="100"/>
      <c r="N222" s="127"/>
      <c r="O222" s="128"/>
      <c r="P222" s="95"/>
      <c r="Q222" s="137"/>
      <c r="R222" s="129"/>
      <c r="S222" s="95"/>
      <c r="T222" s="95"/>
      <c r="V222" s="107"/>
    </row>
    <row r="223" ht="15.75" customHeight="1">
      <c r="A223" s="89"/>
      <c r="B223" s="182"/>
      <c r="C223" s="107"/>
      <c r="D223" s="95"/>
      <c r="E223" s="149"/>
      <c r="F223" s="149"/>
      <c r="G223" s="95"/>
      <c r="H223" s="149"/>
      <c r="I223" s="95"/>
      <c r="J223" s="95"/>
      <c r="K223" s="99"/>
      <c r="L223" s="99"/>
      <c r="M223" s="100"/>
      <c r="N223" s="127"/>
      <c r="O223" s="128"/>
      <c r="P223" s="95"/>
      <c r="Q223" s="137"/>
      <c r="R223" s="129"/>
      <c r="S223" s="95"/>
      <c r="T223" s="95"/>
      <c r="V223" s="107"/>
    </row>
    <row r="224" ht="15.75" customHeight="1">
      <c r="A224" s="89"/>
      <c r="B224" s="182"/>
      <c r="C224" s="149"/>
      <c r="D224" s="95"/>
      <c r="E224" s="149"/>
      <c r="F224" s="149"/>
      <c r="G224" s="95"/>
      <c r="H224" s="149"/>
      <c r="I224" s="95"/>
      <c r="J224" s="95"/>
      <c r="K224" s="113"/>
      <c r="L224" s="113"/>
      <c r="M224" s="100"/>
      <c r="N224" s="127"/>
      <c r="O224" s="128"/>
      <c r="P224" s="95"/>
      <c r="Q224" s="137"/>
      <c r="R224" s="129"/>
      <c r="S224" s="95"/>
      <c r="T224" s="95"/>
      <c r="V224" s="107"/>
    </row>
    <row r="225" ht="15.75" customHeight="1">
      <c r="A225" s="89"/>
      <c r="B225" s="182"/>
      <c r="C225" s="149"/>
      <c r="D225" s="95"/>
      <c r="E225" s="149"/>
      <c r="F225" s="149"/>
      <c r="G225" s="95"/>
      <c r="H225" s="149"/>
      <c r="I225" s="95"/>
      <c r="J225" s="95"/>
      <c r="K225" s="99"/>
      <c r="L225" s="99"/>
      <c r="M225" s="100"/>
      <c r="N225" s="127"/>
      <c r="O225" s="128"/>
      <c r="P225" s="95"/>
      <c r="Q225" s="137"/>
      <c r="R225" s="129"/>
      <c r="S225" s="95"/>
      <c r="T225" s="95"/>
      <c r="V225" s="107"/>
    </row>
    <row r="226" ht="15.75" customHeight="1">
      <c r="A226" s="89"/>
      <c r="B226" s="182"/>
      <c r="C226" s="149"/>
      <c r="D226" s="95"/>
      <c r="E226" s="149"/>
      <c r="F226" s="149"/>
      <c r="G226" s="95"/>
      <c r="H226" s="149"/>
      <c r="I226" s="95"/>
      <c r="J226" s="95"/>
      <c r="K226" s="113"/>
      <c r="L226" s="113"/>
      <c r="M226" s="100"/>
      <c r="N226" s="127"/>
      <c r="O226" s="128"/>
      <c r="P226" s="95"/>
      <c r="Q226" s="137"/>
      <c r="R226" s="129"/>
      <c r="S226" s="95"/>
      <c r="T226" s="95"/>
      <c r="V226" s="107"/>
    </row>
    <row r="227" ht="15.75" customHeight="1">
      <c r="A227" s="89"/>
      <c r="B227" s="182"/>
      <c r="C227" s="149"/>
      <c r="D227" s="95"/>
      <c r="E227" s="149"/>
      <c r="F227" s="149"/>
      <c r="G227" s="95"/>
      <c r="H227" s="149"/>
      <c r="I227" s="95"/>
      <c r="J227" s="95"/>
      <c r="K227" s="99"/>
      <c r="L227" s="99"/>
      <c r="M227" s="100"/>
      <c r="N227" s="127"/>
      <c r="O227" s="128"/>
      <c r="P227" s="95"/>
      <c r="Q227" s="137"/>
      <c r="R227" s="129"/>
      <c r="S227" s="95"/>
      <c r="T227" s="95"/>
      <c r="V227" s="107"/>
    </row>
    <row r="228" ht="15.75" customHeight="1">
      <c r="A228" s="89"/>
      <c r="B228" s="182"/>
      <c r="C228" s="149"/>
      <c r="D228" s="95"/>
      <c r="E228" s="149"/>
      <c r="F228" s="149"/>
      <c r="G228" s="95"/>
      <c r="H228" s="149"/>
      <c r="I228" s="95"/>
      <c r="J228" s="95"/>
      <c r="K228" s="113"/>
      <c r="L228" s="113"/>
      <c r="M228" s="100"/>
      <c r="N228" s="127"/>
      <c r="O228" s="128"/>
      <c r="P228" s="95"/>
      <c r="Q228" s="137"/>
      <c r="R228" s="129"/>
      <c r="S228" s="95"/>
      <c r="T228" s="95"/>
      <c r="V228" s="107"/>
    </row>
    <row r="229" ht="15.75" customHeight="1">
      <c r="A229" s="89"/>
      <c r="B229" s="182"/>
      <c r="C229" s="107"/>
      <c r="D229" s="95"/>
      <c r="E229" s="149"/>
      <c r="F229" s="149"/>
      <c r="G229" s="95"/>
      <c r="H229" s="149"/>
      <c r="I229" s="95"/>
      <c r="J229" s="95"/>
      <c r="K229" s="99"/>
      <c r="L229" s="99"/>
      <c r="M229" s="100"/>
      <c r="N229" s="127"/>
      <c r="O229" s="128"/>
      <c r="P229" s="95"/>
      <c r="Q229" s="137"/>
      <c r="R229" s="129"/>
      <c r="S229" s="95"/>
      <c r="T229" s="95"/>
      <c r="V229" s="107"/>
    </row>
    <row r="230" ht="15.75" customHeight="1">
      <c r="A230" s="89"/>
      <c r="B230" s="182"/>
      <c r="C230" s="149"/>
      <c r="D230" s="95"/>
      <c r="E230" s="149"/>
      <c r="F230" s="149"/>
      <c r="G230" s="95"/>
      <c r="H230" s="149"/>
      <c r="I230" s="95"/>
      <c r="J230" s="95"/>
      <c r="K230" s="113"/>
      <c r="L230" s="113"/>
      <c r="M230" s="100"/>
      <c r="N230" s="127"/>
      <c r="O230" s="128"/>
      <c r="P230" s="95"/>
      <c r="Q230" s="137"/>
      <c r="R230" s="129"/>
      <c r="S230" s="95"/>
      <c r="T230" s="95"/>
      <c r="V230" s="107"/>
    </row>
    <row r="231" ht="15.75" customHeight="1">
      <c r="A231" s="89"/>
      <c r="B231" s="182"/>
      <c r="C231" s="149"/>
      <c r="D231" s="95"/>
      <c r="E231" s="149"/>
      <c r="F231" s="149"/>
      <c r="G231" s="95"/>
      <c r="H231" s="149"/>
      <c r="I231" s="95"/>
      <c r="J231" s="95"/>
      <c r="K231" s="99"/>
      <c r="L231" s="99"/>
      <c r="M231" s="100"/>
      <c r="N231" s="127"/>
      <c r="O231" s="128"/>
      <c r="P231" s="95"/>
      <c r="Q231" s="137"/>
      <c r="R231" s="129"/>
      <c r="S231" s="95"/>
      <c r="T231" s="95"/>
      <c r="V231" s="107"/>
    </row>
    <row r="232" ht="15.75" customHeight="1">
      <c r="A232" s="89"/>
      <c r="B232" s="182"/>
      <c r="C232" s="149"/>
      <c r="D232" s="95"/>
      <c r="E232" s="149"/>
      <c r="F232" s="149"/>
      <c r="G232" s="95"/>
      <c r="H232" s="149"/>
      <c r="I232" s="95"/>
      <c r="J232" s="95"/>
      <c r="K232" s="113"/>
      <c r="L232" s="113"/>
      <c r="M232" s="100"/>
      <c r="N232" s="127"/>
      <c r="O232" s="128"/>
      <c r="P232" s="95"/>
      <c r="Q232" s="137"/>
      <c r="R232" s="129"/>
      <c r="S232" s="95"/>
      <c r="T232" s="95"/>
      <c r="V232" s="107"/>
    </row>
    <row r="233" ht="15.75" customHeight="1">
      <c r="A233" s="89"/>
      <c r="B233" s="182"/>
      <c r="C233" s="149"/>
      <c r="D233" s="95"/>
      <c r="E233" s="149"/>
      <c r="F233" s="149"/>
      <c r="G233" s="95"/>
      <c r="H233" s="149"/>
      <c r="I233" s="95"/>
      <c r="J233" s="95"/>
      <c r="K233" s="99"/>
      <c r="L233" s="99"/>
      <c r="M233" s="100"/>
      <c r="N233" s="127"/>
      <c r="O233" s="128"/>
      <c r="P233" s="95"/>
      <c r="Q233" s="137"/>
      <c r="R233" s="129"/>
      <c r="S233" s="95"/>
      <c r="T233" s="95"/>
      <c r="V233" s="107"/>
    </row>
    <row r="234" ht="15.75" customHeight="1">
      <c r="A234" s="89"/>
      <c r="B234" s="182"/>
      <c r="C234" s="149"/>
      <c r="D234" s="95"/>
      <c r="E234" s="149"/>
      <c r="F234" s="149"/>
      <c r="G234" s="95"/>
      <c r="H234" s="149"/>
      <c r="I234" s="95"/>
      <c r="J234" s="95"/>
      <c r="K234" s="113"/>
      <c r="L234" s="113"/>
      <c r="M234" s="100"/>
      <c r="N234" s="127"/>
      <c r="O234" s="128"/>
      <c r="P234" s="95"/>
      <c r="Q234" s="137"/>
      <c r="R234" s="129"/>
      <c r="S234" s="95"/>
      <c r="T234" s="95"/>
      <c r="V234" s="107"/>
    </row>
    <row r="235" ht="15.75" customHeight="1">
      <c r="A235" s="89"/>
      <c r="B235" s="182"/>
      <c r="C235" s="107"/>
      <c r="D235" s="95"/>
      <c r="E235" s="149"/>
      <c r="F235" s="149"/>
      <c r="G235" s="95"/>
      <c r="H235" s="149"/>
      <c r="I235" s="95"/>
      <c r="J235" s="95"/>
      <c r="K235" s="99"/>
      <c r="L235" s="99"/>
      <c r="M235" s="100"/>
      <c r="N235" s="127"/>
      <c r="O235" s="128"/>
      <c r="P235" s="95"/>
      <c r="Q235" s="137"/>
      <c r="R235" s="129"/>
      <c r="S235" s="95"/>
      <c r="T235" s="95"/>
      <c r="V235" s="107"/>
    </row>
    <row r="236" ht="15.75" customHeight="1">
      <c r="A236" s="89"/>
      <c r="B236" s="182"/>
      <c r="C236" s="149"/>
      <c r="D236" s="95"/>
      <c r="E236" s="149"/>
      <c r="F236" s="149"/>
      <c r="G236" s="95"/>
      <c r="H236" s="149"/>
      <c r="I236" s="95"/>
      <c r="J236" s="95"/>
      <c r="K236" s="113"/>
      <c r="L236" s="113"/>
      <c r="M236" s="100"/>
      <c r="N236" s="127"/>
      <c r="O236" s="128"/>
      <c r="P236" s="95"/>
      <c r="Q236" s="137"/>
      <c r="R236" s="129"/>
      <c r="S236" s="95"/>
      <c r="T236" s="95"/>
      <c r="V236" s="107"/>
    </row>
    <row r="237" ht="15.75" customHeight="1">
      <c r="A237" s="89"/>
      <c r="B237" s="182"/>
      <c r="C237" s="149"/>
      <c r="D237" s="95"/>
      <c r="E237" s="149"/>
      <c r="F237" s="149"/>
      <c r="G237" s="95"/>
      <c r="H237" s="149"/>
      <c r="I237" s="95"/>
      <c r="J237" s="95"/>
      <c r="K237" s="99"/>
      <c r="L237" s="99"/>
      <c r="M237" s="100"/>
      <c r="N237" s="127"/>
      <c r="O237" s="128"/>
      <c r="P237" s="95"/>
      <c r="Q237" s="137"/>
      <c r="R237" s="129"/>
      <c r="S237" s="95"/>
      <c r="T237" s="95"/>
      <c r="V237" s="107"/>
    </row>
    <row r="238" ht="15.75" customHeight="1">
      <c r="A238" s="89"/>
      <c r="B238" s="182"/>
      <c r="C238" s="149"/>
      <c r="D238" s="95"/>
      <c r="E238" s="149"/>
      <c r="F238" s="149"/>
      <c r="G238" s="95"/>
      <c r="H238" s="149"/>
      <c r="I238" s="95"/>
      <c r="J238" s="95"/>
      <c r="K238" s="113"/>
      <c r="L238" s="113"/>
      <c r="M238" s="100"/>
      <c r="N238" s="127"/>
      <c r="O238" s="128"/>
      <c r="P238" s="95"/>
      <c r="Q238" s="137"/>
      <c r="R238" s="129"/>
      <c r="S238" s="95"/>
      <c r="T238" s="95"/>
      <c r="V238" s="107"/>
    </row>
    <row r="239" ht="15.75" customHeight="1">
      <c r="A239" s="89"/>
      <c r="B239" s="182"/>
      <c r="C239" s="149"/>
      <c r="D239" s="95"/>
      <c r="E239" s="149"/>
      <c r="F239" s="149"/>
      <c r="G239" s="95"/>
      <c r="H239" s="149"/>
      <c r="I239" s="95"/>
      <c r="J239" s="95"/>
      <c r="K239" s="99"/>
      <c r="L239" s="99"/>
      <c r="M239" s="100"/>
      <c r="N239" s="127"/>
      <c r="O239" s="128"/>
      <c r="P239" s="95"/>
      <c r="Q239" s="137"/>
      <c r="R239" s="129"/>
      <c r="S239" s="95"/>
      <c r="T239" s="95"/>
      <c r="V239" s="107"/>
    </row>
    <row r="240" ht="15.75" customHeight="1">
      <c r="A240" s="89"/>
      <c r="B240" s="182"/>
      <c r="C240" s="149"/>
      <c r="D240" s="95"/>
      <c r="E240" s="149"/>
      <c r="F240" s="149"/>
      <c r="G240" s="95"/>
      <c r="H240" s="149"/>
      <c r="I240" s="95"/>
      <c r="J240" s="95"/>
      <c r="K240" s="113"/>
      <c r="L240" s="113"/>
      <c r="M240" s="100"/>
      <c r="N240" s="127"/>
      <c r="O240" s="128"/>
      <c r="P240" s="95"/>
      <c r="Q240" s="137"/>
      <c r="R240" s="129"/>
      <c r="S240" s="95"/>
      <c r="T240" s="95"/>
      <c r="V240" s="107"/>
    </row>
    <row r="241" ht="15.75" customHeight="1">
      <c r="A241" s="89"/>
      <c r="B241" s="182"/>
      <c r="C241" s="107"/>
      <c r="D241" s="95"/>
      <c r="E241" s="149"/>
      <c r="F241" s="149"/>
      <c r="G241" s="95"/>
      <c r="H241" s="149"/>
      <c r="I241" s="95"/>
      <c r="J241" s="95"/>
      <c r="K241" s="99"/>
      <c r="L241" s="99"/>
      <c r="M241" s="100"/>
      <c r="N241" s="127"/>
      <c r="O241" s="128"/>
      <c r="P241" s="95"/>
      <c r="Q241" s="137"/>
      <c r="R241" s="129"/>
      <c r="S241" s="95"/>
      <c r="T241" s="95"/>
      <c r="V241" s="107"/>
    </row>
    <row r="242" ht="15.75" customHeight="1">
      <c r="A242" s="89"/>
      <c r="B242" s="182"/>
      <c r="C242" s="149"/>
      <c r="D242" s="95"/>
      <c r="E242" s="149"/>
      <c r="F242" s="149"/>
      <c r="G242" s="95"/>
      <c r="H242" s="149"/>
      <c r="I242" s="95"/>
      <c r="J242" s="95"/>
      <c r="K242" s="113"/>
      <c r="L242" s="113"/>
      <c r="M242" s="100"/>
      <c r="N242" s="127"/>
      <c r="O242" s="128"/>
      <c r="P242" s="95"/>
      <c r="Q242" s="137"/>
      <c r="R242" s="129"/>
      <c r="S242" s="95"/>
      <c r="T242" s="95"/>
      <c r="V242" s="107"/>
    </row>
    <row r="243" ht="15.75" customHeight="1">
      <c r="A243" s="89"/>
      <c r="B243" s="182"/>
      <c r="C243" s="149"/>
      <c r="D243" s="95"/>
      <c r="E243" s="149"/>
      <c r="F243" s="149"/>
      <c r="G243" s="95"/>
      <c r="H243" s="149"/>
      <c r="I243" s="95"/>
      <c r="J243" s="95"/>
      <c r="K243" s="99"/>
      <c r="L243" s="99"/>
      <c r="M243" s="100"/>
      <c r="N243" s="127"/>
      <c r="O243" s="128"/>
      <c r="P243" s="95"/>
      <c r="Q243" s="137"/>
      <c r="R243" s="129"/>
      <c r="S243" s="95"/>
      <c r="T243" s="95"/>
      <c r="V243" s="107"/>
    </row>
    <row r="244" ht="15.75" customHeight="1">
      <c r="A244" s="89"/>
      <c r="B244" s="182"/>
      <c r="C244" s="149"/>
      <c r="D244" s="95"/>
      <c r="E244" s="149"/>
      <c r="F244" s="149"/>
      <c r="G244" s="95"/>
      <c r="H244" s="149"/>
      <c r="I244" s="95"/>
      <c r="J244" s="95"/>
      <c r="K244" s="154"/>
      <c r="L244" s="154"/>
      <c r="M244" s="100"/>
      <c r="N244" s="127"/>
      <c r="O244" s="128"/>
      <c r="P244" s="95"/>
      <c r="Q244" s="137"/>
      <c r="R244" s="129"/>
      <c r="S244" s="95"/>
      <c r="T244" s="95"/>
      <c r="V244" s="107"/>
    </row>
    <row r="245" ht="15.75" customHeight="1">
      <c r="A245" s="89"/>
      <c r="B245" s="182"/>
      <c r="C245" s="149"/>
      <c r="D245" s="95"/>
      <c r="E245" s="149"/>
      <c r="F245" s="149"/>
      <c r="G245" s="95"/>
      <c r="H245" s="149"/>
      <c r="I245" s="95"/>
      <c r="J245" s="95"/>
      <c r="K245" s="156"/>
      <c r="L245" s="156"/>
      <c r="M245" s="100"/>
      <c r="N245" s="127"/>
      <c r="O245" s="128"/>
      <c r="P245" s="95"/>
      <c r="Q245" s="137"/>
      <c r="R245" s="129"/>
      <c r="S245" s="95"/>
      <c r="T245" s="95"/>
      <c r="V245" s="107"/>
    </row>
    <row r="246" ht="15.75" customHeight="1">
      <c r="A246" s="89"/>
      <c r="B246" s="182"/>
      <c r="C246" s="149"/>
      <c r="D246" s="95"/>
      <c r="E246" s="149"/>
      <c r="F246" s="149"/>
      <c r="G246" s="95"/>
      <c r="H246" s="149"/>
      <c r="I246" s="95"/>
      <c r="J246" s="95"/>
      <c r="K246" s="154"/>
      <c r="L246" s="154"/>
      <c r="M246" s="100"/>
      <c r="N246" s="127"/>
      <c r="O246" s="128"/>
      <c r="P246" s="95"/>
      <c r="Q246" s="137"/>
      <c r="R246" s="129"/>
      <c r="S246" s="95"/>
      <c r="T246" s="95"/>
      <c r="V246" s="107"/>
    </row>
    <row r="247" ht="15.75" customHeight="1">
      <c r="A247" s="89"/>
      <c r="B247" s="182"/>
      <c r="C247" s="107"/>
      <c r="D247" s="95"/>
      <c r="E247" s="149"/>
      <c r="F247" s="149"/>
      <c r="G247" s="95"/>
      <c r="H247" s="149"/>
      <c r="I247" s="95"/>
      <c r="J247" s="95"/>
      <c r="K247" s="156"/>
      <c r="L247" s="156"/>
      <c r="M247" s="100"/>
      <c r="N247" s="127"/>
      <c r="O247" s="128"/>
      <c r="P247" s="95"/>
      <c r="Q247" s="137"/>
      <c r="R247" s="129"/>
      <c r="S247" s="95"/>
      <c r="T247" s="95"/>
      <c r="V247" s="107"/>
    </row>
    <row r="248" ht="15.75" customHeight="1">
      <c r="A248" s="89"/>
      <c r="B248" s="182"/>
      <c r="C248" s="149"/>
      <c r="D248" s="95"/>
      <c r="E248" s="149"/>
      <c r="F248" s="149"/>
      <c r="G248" s="95"/>
      <c r="H248" s="149"/>
      <c r="I248" s="95"/>
      <c r="J248" s="95"/>
      <c r="K248" s="154"/>
      <c r="L248" s="154"/>
      <c r="M248" s="100"/>
      <c r="N248" s="127"/>
      <c r="O248" s="128"/>
      <c r="P248" s="95"/>
      <c r="Q248" s="137"/>
      <c r="R248" s="129"/>
      <c r="S248" s="95"/>
      <c r="T248" s="95"/>
      <c r="V248" s="107"/>
    </row>
    <row r="249" ht="15.75" customHeight="1">
      <c r="A249" s="89"/>
      <c r="B249" s="182"/>
      <c r="C249" s="149"/>
      <c r="D249" s="95"/>
      <c r="E249" s="149"/>
      <c r="F249" s="149"/>
      <c r="G249" s="95"/>
      <c r="H249" s="149"/>
      <c r="I249" s="95"/>
      <c r="J249" s="95"/>
      <c r="K249" s="156"/>
      <c r="L249" s="156"/>
      <c r="M249" s="100"/>
      <c r="N249" s="127"/>
      <c r="O249" s="128"/>
      <c r="P249" s="95"/>
      <c r="Q249" s="137"/>
      <c r="R249" s="129"/>
      <c r="S249" s="95"/>
      <c r="T249" s="95"/>
      <c r="V249" s="107"/>
    </row>
    <row r="250" ht="15.75" customHeight="1">
      <c r="A250" s="89"/>
      <c r="B250" s="182"/>
      <c r="C250" s="149"/>
      <c r="D250" s="95"/>
      <c r="E250" s="149"/>
      <c r="F250" s="149"/>
      <c r="G250" s="95"/>
      <c r="H250" s="149"/>
      <c r="I250" s="95"/>
      <c r="J250" s="95"/>
      <c r="K250" s="154"/>
      <c r="L250" s="154"/>
      <c r="M250" s="100"/>
      <c r="N250" s="127"/>
      <c r="O250" s="128"/>
      <c r="P250" s="95"/>
      <c r="Q250" s="137"/>
      <c r="R250" s="129"/>
      <c r="S250" s="95"/>
      <c r="T250" s="95"/>
      <c r="V250" s="107"/>
    </row>
    <row r="251" ht="15.75" customHeight="1">
      <c r="A251" s="89"/>
      <c r="B251" s="182"/>
      <c r="C251" s="149"/>
      <c r="D251" s="95"/>
      <c r="E251" s="149"/>
      <c r="F251" s="149"/>
      <c r="G251" s="95"/>
      <c r="H251" s="149"/>
      <c r="I251" s="95"/>
      <c r="J251" s="95"/>
      <c r="K251" s="156"/>
      <c r="L251" s="156"/>
      <c r="M251" s="100"/>
      <c r="N251" s="127"/>
      <c r="O251" s="128"/>
      <c r="P251" s="95"/>
      <c r="Q251" s="137"/>
      <c r="R251" s="129"/>
      <c r="S251" s="95"/>
      <c r="T251" s="95"/>
      <c r="V251" s="107"/>
    </row>
    <row r="252" ht="15.75" customHeight="1">
      <c r="A252" s="89"/>
      <c r="B252" s="182"/>
      <c r="C252" s="149"/>
      <c r="D252" s="95"/>
      <c r="E252" s="149"/>
      <c r="F252" s="149"/>
      <c r="G252" s="95"/>
      <c r="H252" s="149"/>
      <c r="I252" s="95"/>
      <c r="J252" s="95"/>
      <c r="K252" s="154"/>
      <c r="L252" s="154"/>
      <c r="M252" s="100"/>
      <c r="N252" s="127"/>
      <c r="O252" s="128"/>
      <c r="P252" s="95"/>
      <c r="Q252" s="137"/>
      <c r="R252" s="129"/>
      <c r="S252" s="95"/>
      <c r="T252" s="95"/>
      <c r="V252" s="107"/>
    </row>
    <row r="253" ht="15.75" customHeight="1">
      <c r="A253" s="89"/>
      <c r="B253" s="182"/>
      <c r="C253" s="107"/>
      <c r="D253" s="95"/>
      <c r="E253" s="149"/>
      <c r="F253" s="149"/>
      <c r="G253" s="95"/>
      <c r="H253" s="149"/>
      <c r="I253" s="95"/>
      <c r="J253" s="95"/>
      <c r="K253" s="156"/>
      <c r="L253" s="156"/>
      <c r="M253" s="100"/>
      <c r="N253" s="127"/>
      <c r="O253" s="128"/>
      <c r="P253" s="95"/>
      <c r="Q253" s="137"/>
      <c r="R253" s="129"/>
      <c r="S253" s="95"/>
      <c r="T253" s="95"/>
      <c r="V253" s="107"/>
    </row>
    <row r="254" ht="15.75" customHeight="1">
      <c r="A254" s="89"/>
      <c r="B254" s="182"/>
      <c r="C254" s="149"/>
      <c r="D254" s="95"/>
      <c r="E254" s="149"/>
      <c r="F254" s="149"/>
      <c r="G254" s="95"/>
      <c r="H254" s="149"/>
      <c r="I254" s="95"/>
      <c r="J254" s="95"/>
      <c r="K254" s="154"/>
      <c r="L254" s="154"/>
      <c r="M254" s="100"/>
      <c r="N254" s="127"/>
      <c r="O254" s="128"/>
      <c r="P254" s="95"/>
      <c r="Q254" s="137"/>
      <c r="R254" s="129"/>
      <c r="S254" s="95"/>
      <c r="T254" s="95"/>
      <c r="V254" s="107"/>
    </row>
    <row r="255" ht="15.75" customHeight="1">
      <c r="A255" s="89"/>
      <c r="B255" s="182"/>
      <c r="C255" s="149"/>
      <c r="D255" s="95"/>
      <c r="E255" s="149"/>
      <c r="F255" s="149"/>
      <c r="G255" s="95"/>
      <c r="H255" s="149"/>
      <c r="I255" s="95"/>
      <c r="J255" s="95"/>
      <c r="K255" s="156"/>
      <c r="L255" s="156"/>
      <c r="M255" s="100"/>
      <c r="N255" s="127"/>
      <c r="O255" s="128"/>
      <c r="P255" s="95"/>
      <c r="Q255" s="137"/>
      <c r="R255" s="129"/>
      <c r="S255" s="95"/>
      <c r="T255" s="95"/>
      <c r="V255" s="107"/>
    </row>
    <row r="256" ht="15.75" customHeight="1">
      <c r="A256" s="89"/>
      <c r="B256" s="182"/>
      <c r="C256" s="149"/>
      <c r="D256" s="95"/>
      <c r="E256" s="149"/>
      <c r="F256" s="149"/>
      <c r="G256" s="95"/>
      <c r="H256" s="149"/>
      <c r="I256" s="95"/>
      <c r="J256" s="95"/>
      <c r="K256" s="154"/>
      <c r="L256" s="154"/>
      <c r="M256" s="100"/>
      <c r="N256" s="127"/>
      <c r="O256" s="128"/>
      <c r="P256" s="95"/>
      <c r="Q256" s="137"/>
      <c r="R256" s="129"/>
      <c r="S256" s="95"/>
      <c r="T256" s="95"/>
      <c r="V256" s="107"/>
    </row>
    <row r="257" ht="15.75" customHeight="1">
      <c r="A257" s="89"/>
      <c r="B257" s="182"/>
      <c r="C257" s="149"/>
      <c r="D257" s="95"/>
      <c r="E257" s="149"/>
      <c r="F257" s="149"/>
      <c r="G257" s="95"/>
      <c r="H257" s="149"/>
      <c r="I257" s="95"/>
      <c r="J257" s="95"/>
      <c r="K257" s="156"/>
      <c r="L257" s="156"/>
      <c r="M257" s="100"/>
      <c r="N257" s="127"/>
      <c r="O257" s="128"/>
      <c r="P257" s="95"/>
      <c r="Q257" s="137"/>
      <c r="R257" s="129"/>
      <c r="S257" s="95"/>
      <c r="T257" s="95"/>
      <c r="V257" s="107"/>
    </row>
    <row r="258" ht="15.75" customHeight="1">
      <c r="A258" s="89"/>
      <c r="B258" s="182"/>
      <c r="C258" s="149"/>
      <c r="D258" s="95"/>
      <c r="E258" s="149"/>
      <c r="F258" s="149"/>
      <c r="G258" s="95"/>
      <c r="H258" s="149"/>
      <c r="I258" s="95"/>
      <c r="J258" s="95"/>
      <c r="K258" s="154"/>
      <c r="L258" s="154"/>
      <c r="M258" s="100"/>
      <c r="N258" s="127"/>
      <c r="O258" s="128"/>
      <c r="P258" s="95"/>
      <c r="Q258" s="137"/>
      <c r="R258" s="129"/>
      <c r="S258" s="95"/>
      <c r="T258" s="95"/>
      <c r="V258" s="107"/>
    </row>
    <row r="259" ht="15.75" customHeight="1">
      <c r="A259" s="89"/>
      <c r="B259" s="182"/>
      <c r="C259" s="107"/>
      <c r="D259" s="95"/>
      <c r="E259" s="149"/>
      <c r="F259" s="149"/>
      <c r="G259" s="95"/>
      <c r="H259" s="149"/>
      <c r="I259" s="95"/>
      <c r="J259" s="95"/>
      <c r="K259" s="156"/>
      <c r="L259" s="156"/>
      <c r="M259" s="100"/>
      <c r="N259" s="127"/>
      <c r="O259" s="128"/>
      <c r="P259" s="95"/>
      <c r="Q259" s="137"/>
      <c r="R259" s="129"/>
      <c r="S259" s="95"/>
      <c r="T259" s="95"/>
      <c r="V259" s="107"/>
    </row>
    <row r="260" ht="15.75" customHeight="1">
      <c r="A260" s="89"/>
      <c r="B260" s="182"/>
      <c r="C260" s="149"/>
      <c r="D260" s="95"/>
      <c r="E260" s="149"/>
      <c r="F260" s="149"/>
      <c r="G260" s="95"/>
      <c r="H260" s="149"/>
      <c r="I260" s="95"/>
      <c r="J260" s="95"/>
      <c r="K260" s="154"/>
      <c r="L260" s="154"/>
      <c r="M260" s="100"/>
      <c r="N260" s="127"/>
      <c r="O260" s="128"/>
      <c r="P260" s="95"/>
      <c r="Q260" s="137"/>
      <c r="R260" s="129"/>
      <c r="S260" s="95"/>
      <c r="T260" s="95"/>
      <c r="V260" s="107"/>
    </row>
    <row r="261" ht="15.75" customHeight="1">
      <c r="A261" s="89"/>
      <c r="B261" s="182"/>
      <c r="C261" s="149"/>
      <c r="D261" s="95"/>
      <c r="E261" s="149"/>
      <c r="F261" s="149"/>
      <c r="G261" s="95"/>
      <c r="H261" s="149"/>
      <c r="I261" s="95"/>
      <c r="J261" s="95"/>
      <c r="K261" s="156"/>
      <c r="L261" s="156"/>
      <c r="M261" s="100"/>
      <c r="N261" s="127"/>
      <c r="O261" s="128"/>
      <c r="P261" s="95"/>
      <c r="Q261" s="137"/>
      <c r="R261" s="129"/>
      <c r="S261" s="95"/>
      <c r="T261" s="95"/>
      <c r="V261" s="107"/>
    </row>
    <row r="262" ht="15.75" customHeight="1">
      <c r="A262" s="89"/>
      <c r="B262" s="182"/>
      <c r="C262" s="149"/>
      <c r="D262" s="95"/>
      <c r="E262" s="149"/>
      <c r="F262" s="149"/>
      <c r="G262" s="95"/>
      <c r="H262" s="149"/>
      <c r="I262" s="95"/>
      <c r="J262" s="95"/>
      <c r="K262" s="154"/>
      <c r="L262" s="154"/>
      <c r="M262" s="100"/>
      <c r="N262" s="127"/>
      <c r="O262" s="128"/>
      <c r="P262" s="95"/>
      <c r="Q262" s="137"/>
      <c r="R262" s="129"/>
      <c r="S262" s="95"/>
      <c r="T262" s="95"/>
      <c r="V262" s="107"/>
    </row>
    <row r="263" ht="15.75" customHeight="1">
      <c r="A263" s="89"/>
      <c r="B263" s="182"/>
      <c r="C263" s="149"/>
      <c r="D263" s="95"/>
      <c r="E263" s="149"/>
      <c r="F263" s="149"/>
      <c r="G263" s="95"/>
      <c r="H263" s="149"/>
      <c r="I263" s="95"/>
      <c r="J263" s="95"/>
      <c r="K263" s="156"/>
      <c r="L263" s="156"/>
      <c r="M263" s="100"/>
      <c r="N263" s="127"/>
      <c r="O263" s="128"/>
      <c r="P263" s="95"/>
      <c r="Q263" s="137"/>
      <c r="R263" s="129"/>
      <c r="S263" s="95"/>
      <c r="T263" s="95"/>
      <c r="V263" s="107"/>
    </row>
    <row r="264" ht="15.75" customHeight="1">
      <c r="A264" s="89"/>
      <c r="B264" s="182"/>
      <c r="C264" s="149"/>
      <c r="D264" s="95"/>
      <c r="E264" s="149"/>
      <c r="F264" s="149"/>
      <c r="G264" s="95"/>
      <c r="H264" s="149"/>
      <c r="I264" s="95"/>
      <c r="J264" s="95"/>
      <c r="K264" s="154"/>
      <c r="L264" s="154"/>
      <c r="M264" s="100"/>
      <c r="N264" s="127"/>
      <c r="O264" s="128"/>
      <c r="P264" s="95"/>
      <c r="Q264" s="137"/>
      <c r="R264" s="129"/>
      <c r="S264" s="95"/>
      <c r="T264" s="95"/>
      <c r="V264" s="107"/>
    </row>
    <row r="265" ht="15.75" customHeight="1">
      <c r="A265" s="89"/>
      <c r="B265" s="182"/>
      <c r="C265" s="107"/>
      <c r="D265" s="95"/>
      <c r="E265" s="149"/>
      <c r="F265" s="149"/>
      <c r="G265" s="95"/>
      <c r="H265" s="149"/>
      <c r="I265" s="95"/>
      <c r="J265" s="95"/>
      <c r="K265" s="156"/>
      <c r="L265" s="156"/>
      <c r="M265" s="100"/>
      <c r="N265" s="127"/>
      <c r="O265" s="128"/>
      <c r="P265" s="95"/>
      <c r="Q265" s="137"/>
      <c r="R265" s="129"/>
      <c r="S265" s="95"/>
      <c r="T265" s="95"/>
      <c r="V265" s="107"/>
    </row>
    <row r="266" ht="15.75" customHeight="1">
      <c r="A266" s="89"/>
      <c r="B266" s="182"/>
      <c r="C266" s="149"/>
      <c r="D266" s="95"/>
      <c r="E266" s="149"/>
      <c r="F266" s="149"/>
      <c r="G266" s="95"/>
      <c r="H266" s="149"/>
      <c r="I266" s="95"/>
      <c r="J266" s="95"/>
      <c r="K266" s="154"/>
      <c r="L266" s="154"/>
      <c r="M266" s="100"/>
      <c r="N266" s="127"/>
      <c r="O266" s="128"/>
      <c r="P266" s="95"/>
      <c r="Q266" s="137"/>
      <c r="R266" s="129"/>
      <c r="S266" s="95"/>
      <c r="T266" s="95"/>
      <c r="V266" s="107"/>
    </row>
    <row r="267" ht="15.75" customHeight="1">
      <c r="A267" s="89"/>
      <c r="B267" s="182"/>
      <c r="C267" s="149"/>
      <c r="D267" s="95"/>
      <c r="E267" s="149"/>
      <c r="F267" s="149"/>
      <c r="G267" s="95"/>
      <c r="H267" s="149"/>
      <c r="I267" s="95"/>
      <c r="J267" s="95"/>
      <c r="K267" s="156"/>
      <c r="L267" s="156"/>
      <c r="M267" s="100"/>
      <c r="N267" s="127"/>
      <c r="O267" s="128"/>
      <c r="P267" s="95"/>
      <c r="Q267" s="137"/>
      <c r="R267" s="129"/>
      <c r="S267" s="95"/>
      <c r="T267" s="95"/>
      <c r="V267" s="107"/>
    </row>
    <row r="268" ht="15.75" customHeight="1">
      <c r="A268" s="89"/>
      <c r="B268" s="182"/>
      <c r="C268" s="149"/>
      <c r="D268" s="95"/>
      <c r="E268" s="149"/>
      <c r="F268" s="149"/>
      <c r="G268" s="95"/>
      <c r="H268" s="149"/>
      <c r="I268" s="95"/>
      <c r="J268" s="95"/>
      <c r="K268" s="154"/>
      <c r="L268" s="154"/>
      <c r="M268" s="100"/>
      <c r="N268" s="127"/>
      <c r="O268" s="128"/>
      <c r="P268" s="95"/>
      <c r="Q268" s="137"/>
      <c r="R268" s="129"/>
      <c r="S268" s="95"/>
      <c r="T268" s="95"/>
      <c r="V268" s="107"/>
    </row>
    <row r="269" ht="15.75" customHeight="1">
      <c r="A269" s="89"/>
      <c r="B269" s="182"/>
      <c r="C269" s="149"/>
      <c r="D269" s="95"/>
      <c r="E269" s="149"/>
      <c r="F269" s="149"/>
      <c r="G269" s="95"/>
      <c r="H269" s="149"/>
      <c r="I269" s="95"/>
      <c r="J269" s="95"/>
      <c r="K269" s="156"/>
      <c r="L269" s="156"/>
      <c r="M269" s="100"/>
      <c r="N269" s="127"/>
      <c r="O269" s="128"/>
      <c r="P269" s="95"/>
      <c r="Q269" s="137"/>
      <c r="R269" s="129"/>
      <c r="S269" s="95"/>
      <c r="T269" s="95"/>
      <c r="V269" s="107"/>
    </row>
    <row r="270" ht="15.75" customHeight="1">
      <c r="A270" s="89"/>
      <c r="B270" s="182"/>
      <c r="C270" s="149"/>
      <c r="D270" s="95"/>
      <c r="E270" s="149"/>
      <c r="F270" s="149"/>
      <c r="G270" s="95"/>
      <c r="H270" s="149"/>
      <c r="I270" s="95"/>
      <c r="J270" s="95"/>
      <c r="K270" s="154"/>
      <c r="L270" s="154"/>
      <c r="M270" s="100"/>
      <c r="N270" s="127"/>
      <c r="O270" s="128"/>
      <c r="P270" s="95"/>
      <c r="Q270" s="137"/>
      <c r="R270" s="129"/>
      <c r="S270" s="95"/>
      <c r="T270" s="95"/>
      <c r="V270" s="107"/>
    </row>
    <row r="271" ht="15.75" customHeight="1">
      <c r="A271" s="89"/>
      <c r="B271" s="182"/>
      <c r="C271" s="107"/>
      <c r="D271" s="95"/>
      <c r="E271" s="149"/>
      <c r="F271" s="149"/>
      <c r="G271" s="95"/>
      <c r="H271" s="149"/>
      <c r="I271" s="95"/>
      <c r="J271" s="95"/>
      <c r="K271" s="156"/>
      <c r="L271" s="156"/>
      <c r="M271" s="100"/>
      <c r="N271" s="127"/>
      <c r="O271" s="128"/>
      <c r="P271" s="95"/>
      <c r="Q271" s="137"/>
      <c r="R271" s="129"/>
      <c r="S271" s="95"/>
      <c r="T271" s="95"/>
      <c r="V271" s="107"/>
    </row>
    <row r="272" ht="15.75" customHeight="1">
      <c r="A272" s="89"/>
      <c r="B272" s="182"/>
      <c r="C272" s="149"/>
      <c r="D272" s="95"/>
      <c r="E272" s="149"/>
      <c r="F272" s="149"/>
      <c r="G272" s="95"/>
      <c r="H272" s="149"/>
      <c r="I272" s="95"/>
      <c r="J272" s="95"/>
      <c r="K272" s="154"/>
      <c r="L272" s="154"/>
      <c r="M272" s="100"/>
      <c r="N272" s="127"/>
      <c r="O272" s="128"/>
      <c r="P272" s="95"/>
      <c r="Q272" s="137"/>
      <c r="R272" s="129"/>
      <c r="S272" s="95"/>
      <c r="T272" s="95"/>
      <c r="V272" s="107"/>
    </row>
    <row r="273" ht="15.75" customHeight="1">
      <c r="A273" s="89"/>
      <c r="B273" s="182"/>
      <c r="C273" s="149"/>
      <c r="D273" s="95"/>
      <c r="E273" s="149"/>
      <c r="F273" s="149"/>
      <c r="G273" s="95"/>
      <c r="H273" s="149"/>
      <c r="I273" s="95"/>
      <c r="J273" s="95"/>
      <c r="K273" s="156"/>
      <c r="L273" s="156"/>
      <c r="M273" s="100"/>
      <c r="N273" s="127"/>
      <c r="O273" s="128"/>
      <c r="P273" s="95"/>
      <c r="Q273" s="137"/>
      <c r="R273" s="129"/>
      <c r="S273" s="95"/>
      <c r="T273" s="95"/>
      <c r="V273" s="107"/>
    </row>
    <row r="274" ht="15.75" customHeight="1">
      <c r="A274" s="89"/>
      <c r="B274" s="182"/>
      <c r="C274" s="149"/>
      <c r="D274" s="95"/>
      <c r="E274" s="149"/>
      <c r="F274" s="149"/>
      <c r="G274" s="95"/>
      <c r="H274" s="149"/>
      <c r="I274" s="95"/>
      <c r="J274" s="95"/>
      <c r="K274" s="154"/>
      <c r="L274" s="154"/>
      <c r="M274" s="100"/>
      <c r="N274" s="127"/>
      <c r="O274" s="128"/>
      <c r="P274" s="95"/>
      <c r="Q274" s="137"/>
      <c r="R274" s="129"/>
      <c r="S274" s="95"/>
      <c r="T274" s="95"/>
      <c r="V274" s="107"/>
    </row>
    <row r="275" ht="15.75" customHeight="1">
      <c r="A275" s="89"/>
      <c r="B275" s="182"/>
      <c r="C275" s="149"/>
      <c r="D275" s="95"/>
      <c r="E275" s="149"/>
      <c r="F275" s="149"/>
      <c r="G275" s="95"/>
      <c r="H275" s="149"/>
      <c r="I275" s="95"/>
      <c r="J275" s="95"/>
      <c r="K275" s="156"/>
      <c r="L275" s="156"/>
      <c r="M275" s="100"/>
      <c r="N275" s="127"/>
      <c r="O275" s="128"/>
      <c r="P275" s="95"/>
      <c r="Q275" s="137"/>
      <c r="R275" s="129"/>
      <c r="S275" s="95"/>
      <c r="T275" s="95"/>
      <c r="V275" s="107"/>
    </row>
    <row r="276" ht="15.75" customHeight="1">
      <c r="A276" s="89"/>
      <c r="B276" s="182"/>
      <c r="C276" s="149"/>
      <c r="D276" s="95"/>
      <c r="E276" s="149"/>
      <c r="F276" s="149"/>
      <c r="G276" s="95"/>
      <c r="H276" s="149"/>
      <c r="I276" s="95"/>
      <c r="J276" s="95"/>
      <c r="K276" s="154"/>
      <c r="L276" s="154"/>
      <c r="M276" s="100"/>
      <c r="N276" s="127"/>
      <c r="O276" s="128"/>
      <c r="P276" s="95"/>
      <c r="Q276" s="137"/>
      <c r="R276" s="129"/>
      <c r="S276" s="95"/>
      <c r="T276" s="95"/>
      <c r="V276" s="107"/>
    </row>
    <row r="277" ht="15.75" customHeight="1">
      <c r="A277" s="89"/>
      <c r="B277" s="182"/>
      <c r="C277" s="107"/>
      <c r="D277" s="95"/>
      <c r="E277" s="149"/>
      <c r="F277" s="149"/>
      <c r="G277" s="95"/>
      <c r="H277" s="149"/>
      <c r="I277" s="95"/>
      <c r="J277" s="95"/>
      <c r="K277" s="156"/>
      <c r="L277" s="156"/>
      <c r="M277" s="100"/>
      <c r="N277" s="127"/>
      <c r="O277" s="128"/>
      <c r="P277" s="95"/>
      <c r="Q277" s="137"/>
      <c r="R277" s="129"/>
      <c r="S277" s="95"/>
      <c r="T277" s="95"/>
      <c r="V277" s="107"/>
    </row>
    <row r="278" ht="15.75" customHeight="1">
      <c r="A278" s="89"/>
      <c r="B278" s="182"/>
      <c r="C278" s="149"/>
      <c r="D278" s="95"/>
      <c r="E278" s="149"/>
      <c r="F278" s="149"/>
      <c r="G278" s="95"/>
      <c r="H278" s="149"/>
      <c r="I278" s="95"/>
      <c r="J278" s="95"/>
      <c r="K278" s="154"/>
      <c r="L278" s="154"/>
      <c r="M278" s="100"/>
      <c r="N278" s="127"/>
      <c r="O278" s="128"/>
      <c r="P278" s="95"/>
      <c r="Q278" s="137"/>
      <c r="R278" s="129"/>
      <c r="S278" s="95"/>
      <c r="T278" s="95"/>
      <c r="V278" s="107"/>
    </row>
    <row r="279" ht="15.75" customHeight="1">
      <c r="A279" s="89"/>
      <c r="B279" s="182"/>
      <c r="C279" s="149"/>
      <c r="D279" s="95"/>
      <c r="E279" s="149"/>
      <c r="F279" s="149"/>
      <c r="G279" s="95"/>
      <c r="H279" s="149"/>
      <c r="I279" s="95"/>
      <c r="J279" s="95"/>
      <c r="K279" s="156"/>
      <c r="L279" s="156"/>
      <c r="M279" s="100"/>
      <c r="N279" s="127"/>
      <c r="O279" s="128"/>
      <c r="P279" s="95"/>
      <c r="Q279" s="137"/>
      <c r="R279" s="129"/>
      <c r="S279" s="95"/>
      <c r="T279" s="95"/>
      <c r="V279" s="107"/>
    </row>
    <row r="280" ht="15.75" customHeight="1">
      <c r="A280" s="89"/>
      <c r="B280" s="182"/>
      <c r="C280" s="149"/>
      <c r="D280" s="95"/>
      <c r="E280" s="149"/>
      <c r="F280" s="149"/>
      <c r="G280" s="95"/>
      <c r="H280" s="149"/>
      <c r="I280" s="95"/>
      <c r="J280" s="95"/>
      <c r="K280" s="154"/>
      <c r="L280" s="154"/>
      <c r="M280" s="100"/>
      <c r="N280" s="127"/>
      <c r="O280" s="128"/>
      <c r="P280" s="95"/>
      <c r="Q280" s="137"/>
      <c r="R280" s="129"/>
      <c r="S280" s="95"/>
      <c r="T280" s="95"/>
      <c r="V280" s="107"/>
    </row>
    <row r="281" ht="15.75" customHeight="1">
      <c r="A281" s="89"/>
      <c r="B281" s="182"/>
      <c r="C281" s="149"/>
      <c r="D281" s="95"/>
      <c r="E281" s="149"/>
      <c r="F281" s="149"/>
      <c r="G281" s="95"/>
      <c r="H281" s="149"/>
      <c r="I281" s="95"/>
      <c r="J281" s="95"/>
      <c r="K281" s="156"/>
      <c r="L281" s="156"/>
      <c r="M281" s="100"/>
      <c r="N281" s="127"/>
      <c r="O281" s="128"/>
      <c r="P281" s="95"/>
      <c r="Q281" s="137"/>
      <c r="R281" s="129"/>
      <c r="S281" s="95"/>
      <c r="T281" s="95"/>
      <c r="V281" s="107"/>
    </row>
    <row r="282" ht="15.75" customHeight="1">
      <c r="A282" s="89"/>
      <c r="B282" s="182"/>
      <c r="C282" s="149"/>
      <c r="D282" s="95"/>
      <c r="E282" s="149"/>
      <c r="F282" s="149"/>
      <c r="G282" s="95"/>
      <c r="H282" s="149"/>
      <c r="I282" s="95"/>
      <c r="J282" s="95"/>
      <c r="K282" s="154"/>
      <c r="L282" s="154"/>
      <c r="M282" s="100"/>
      <c r="N282" s="127"/>
      <c r="O282" s="128"/>
      <c r="P282" s="95"/>
      <c r="Q282" s="137"/>
      <c r="R282" s="129"/>
      <c r="S282" s="95"/>
      <c r="T282" s="95"/>
      <c r="V282" s="107"/>
    </row>
    <row r="283" ht="15.75" customHeight="1">
      <c r="A283" s="89"/>
      <c r="B283" s="182"/>
      <c r="C283" s="107"/>
      <c r="D283" s="95"/>
      <c r="E283" s="149"/>
      <c r="F283" s="149"/>
      <c r="G283" s="95"/>
      <c r="H283" s="149"/>
      <c r="I283" s="95"/>
      <c r="J283" s="95"/>
      <c r="K283" s="156"/>
      <c r="L283" s="156"/>
      <c r="M283" s="100"/>
      <c r="N283" s="127"/>
      <c r="O283" s="128"/>
      <c r="P283" s="95"/>
      <c r="Q283" s="137"/>
      <c r="R283" s="129"/>
      <c r="S283" s="95"/>
      <c r="T283" s="95"/>
      <c r="V283" s="107"/>
    </row>
    <row r="284" ht="15.75" customHeight="1">
      <c r="A284" s="89"/>
      <c r="B284" s="182"/>
      <c r="C284" s="149"/>
      <c r="D284" s="95"/>
      <c r="E284" s="149"/>
      <c r="F284" s="149"/>
      <c r="G284" s="95"/>
      <c r="H284" s="149"/>
      <c r="I284" s="95"/>
      <c r="J284" s="95"/>
      <c r="K284" s="154"/>
      <c r="L284" s="154"/>
      <c r="M284" s="100"/>
      <c r="N284" s="127"/>
      <c r="O284" s="128"/>
      <c r="P284" s="95"/>
      <c r="Q284" s="137"/>
      <c r="R284" s="129"/>
      <c r="S284" s="95"/>
      <c r="T284" s="95"/>
      <c r="V284" s="107"/>
    </row>
    <row r="285" ht="15.75" customHeight="1">
      <c r="A285" s="89"/>
      <c r="B285" s="182"/>
      <c r="C285" s="149"/>
      <c r="D285" s="95"/>
      <c r="E285" s="149"/>
      <c r="F285" s="149"/>
      <c r="G285" s="95"/>
      <c r="H285" s="149"/>
      <c r="I285" s="95"/>
      <c r="J285" s="95"/>
      <c r="K285" s="156"/>
      <c r="L285" s="156"/>
      <c r="M285" s="100"/>
      <c r="N285" s="127"/>
      <c r="O285" s="128"/>
      <c r="P285" s="95"/>
      <c r="Q285" s="137"/>
      <c r="R285" s="129"/>
      <c r="S285" s="95"/>
      <c r="T285" s="95"/>
      <c r="V285" s="107"/>
    </row>
    <row r="286" ht="15.75" customHeight="1">
      <c r="A286" s="89"/>
      <c r="B286" s="182"/>
      <c r="C286" s="149"/>
      <c r="D286" s="95"/>
      <c r="E286" s="149"/>
      <c r="F286" s="149"/>
      <c r="G286" s="95"/>
      <c r="H286" s="149"/>
      <c r="I286" s="95"/>
      <c r="J286" s="95"/>
      <c r="K286" s="154"/>
      <c r="L286" s="154"/>
      <c r="M286" s="100"/>
      <c r="N286" s="127"/>
      <c r="O286" s="128"/>
      <c r="P286" s="95"/>
      <c r="Q286" s="137"/>
      <c r="R286" s="129"/>
      <c r="S286" s="95"/>
      <c r="T286" s="95"/>
      <c r="V286" s="107"/>
    </row>
    <row r="287" ht="15.75" customHeight="1">
      <c r="A287" s="89"/>
      <c r="B287" s="182"/>
      <c r="C287" s="149"/>
      <c r="D287" s="95"/>
      <c r="E287" s="149"/>
      <c r="F287" s="149"/>
      <c r="G287" s="95"/>
      <c r="H287" s="149"/>
      <c r="I287" s="95"/>
      <c r="J287" s="95"/>
      <c r="K287" s="156"/>
      <c r="L287" s="156"/>
      <c r="M287" s="100"/>
      <c r="N287" s="127"/>
      <c r="O287" s="128"/>
      <c r="P287" s="95"/>
      <c r="Q287" s="137"/>
      <c r="R287" s="129"/>
      <c r="S287" s="95"/>
      <c r="T287" s="95"/>
      <c r="V287" s="107"/>
    </row>
    <row r="288" ht="15.75" customHeight="1">
      <c r="A288" s="89"/>
      <c r="B288" s="182"/>
      <c r="C288" s="149"/>
      <c r="D288" s="95"/>
      <c r="E288" s="149"/>
      <c r="F288" s="149"/>
      <c r="G288" s="95"/>
      <c r="H288" s="149"/>
      <c r="I288" s="95"/>
      <c r="J288" s="95"/>
      <c r="K288" s="154"/>
      <c r="L288" s="154"/>
      <c r="M288" s="100"/>
      <c r="N288" s="127"/>
      <c r="O288" s="128"/>
      <c r="P288" s="95"/>
      <c r="Q288" s="137"/>
      <c r="R288" s="129"/>
      <c r="S288" s="95"/>
      <c r="T288" s="95"/>
      <c r="V288" s="107"/>
    </row>
    <row r="289" ht="15.75" customHeight="1">
      <c r="A289" s="89"/>
      <c r="B289" s="182"/>
      <c r="C289" s="107"/>
      <c r="D289" s="95"/>
      <c r="E289" s="149"/>
      <c r="F289" s="149"/>
      <c r="G289" s="95"/>
      <c r="H289" s="149"/>
      <c r="I289" s="95"/>
      <c r="J289" s="95"/>
      <c r="K289" s="156"/>
      <c r="L289" s="156"/>
      <c r="M289" s="100"/>
      <c r="N289" s="127"/>
      <c r="O289" s="128"/>
      <c r="P289" s="95"/>
      <c r="Q289" s="137"/>
      <c r="R289" s="129"/>
      <c r="S289" s="95"/>
      <c r="T289" s="95"/>
      <c r="V289" s="107"/>
    </row>
    <row r="290" ht="15.75" customHeight="1">
      <c r="A290" s="89"/>
      <c r="B290" s="182"/>
      <c r="C290" s="149"/>
      <c r="D290" s="95"/>
      <c r="E290" s="149"/>
      <c r="F290" s="149"/>
      <c r="G290" s="95"/>
      <c r="H290" s="149"/>
      <c r="I290" s="95"/>
      <c r="J290" s="95"/>
      <c r="K290" s="154"/>
      <c r="L290" s="154"/>
      <c r="M290" s="100"/>
      <c r="N290" s="127"/>
      <c r="O290" s="128"/>
      <c r="P290" s="95"/>
      <c r="Q290" s="137"/>
      <c r="R290" s="129"/>
      <c r="S290" s="95"/>
      <c r="T290" s="95"/>
      <c r="V290" s="107"/>
    </row>
    <row r="291" ht="15.75" customHeight="1">
      <c r="A291" s="89"/>
      <c r="B291" s="182"/>
      <c r="C291" s="149"/>
      <c r="D291" s="95"/>
      <c r="E291" s="149"/>
      <c r="F291" s="149"/>
      <c r="G291" s="95"/>
      <c r="H291" s="149"/>
      <c r="I291" s="95"/>
      <c r="J291" s="95"/>
      <c r="K291" s="156"/>
      <c r="L291" s="156"/>
      <c r="M291" s="100"/>
      <c r="N291" s="127"/>
      <c r="O291" s="128"/>
      <c r="P291" s="95"/>
      <c r="Q291" s="137"/>
      <c r="R291" s="129"/>
      <c r="S291" s="95"/>
      <c r="T291" s="95"/>
      <c r="V291" s="107"/>
    </row>
    <row r="292" ht="15.75" customHeight="1">
      <c r="A292" s="89"/>
      <c r="B292" s="182"/>
      <c r="C292" s="149"/>
      <c r="D292" s="95"/>
      <c r="E292" s="149"/>
      <c r="F292" s="149"/>
      <c r="G292" s="95"/>
      <c r="H292" s="149"/>
      <c r="I292" s="95"/>
      <c r="J292" s="95"/>
      <c r="K292" s="154"/>
      <c r="L292" s="154"/>
      <c r="M292" s="100"/>
      <c r="N292" s="127"/>
      <c r="O292" s="128"/>
      <c r="P292" s="95"/>
      <c r="Q292" s="137"/>
      <c r="R292" s="129"/>
      <c r="S292" s="95"/>
      <c r="T292" s="95"/>
      <c r="V292" s="107"/>
    </row>
    <row r="293" ht="15.75" customHeight="1">
      <c r="A293" s="89"/>
      <c r="B293" s="182"/>
      <c r="C293" s="149"/>
      <c r="D293" s="95"/>
      <c r="E293" s="149"/>
      <c r="F293" s="149"/>
      <c r="G293" s="95"/>
      <c r="H293" s="149"/>
      <c r="I293" s="95"/>
      <c r="J293" s="95"/>
      <c r="K293" s="156"/>
      <c r="L293" s="156"/>
      <c r="M293" s="100"/>
      <c r="N293" s="127"/>
      <c r="O293" s="128"/>
      <c r="P293" s="95"/>
      <c r="Q293" s="137"/>
      <c r="R293" s="129"/>
      <c r="S293" s="95"/>
      <c r="T293" s="95"/>
      <c r="V293" s="107"/>
    </row>
    <row r="294" ht="15.75" customHeight="1">
      <c r="A294" s="89"/>
      <c r="B294" s="182"/>
      <c r="C294" s="149"/>
      <c r="D294" s="95"/>
      <c r="E294" s="149"/>
      <c r="F294" s="149"/>
      <c r="G294" s="95"/>
      <c r="H294" s="149"/>
      <c r="I294" s="95"/>
      <c r="J294" s="95"/>
      <c r="K294" s="154"/>
      <c r="L294" s="154"/>
      <c r="M294" s="100"/>
      <c r="N294" s="127"/>
      <c r="O294" s="128"/>
      <c r="P294" s="95"/>
      <c r="Q294" s="137"/>
      <c r="R294" s="129"/>
      <c r="S294" s="95"/>
      <c r="T294" s="95"/>
      <c r="V294" s="107"/>
    </row>
    <row r="295" ht="15.75" customHeight="1">
      <c r="A295" s="89"/>
      <c r="B295" s="182"/>
      <c r="C295" s="107"/>
      <c r="D295" s="95"/>
      <c r="E295" s="149"/>
      <c r="F295" s="149"/>
      <c r="G295" s="95"/>
      <c r="H295" s="149"/>
      <c r="I295" s="95"/>
      <c r="J295" s="95"/>
      <c r="K295" s="156"/>
      <c r="L295" s="156"/>
      <c r="M295" s="100"/>
      <c r="N295" s="127"/>
      <c r="O295" s="128"/>
      <c r="P295" s="95"/>
      <c r="Q295" s="137"/>
      <c r="R295" s="129"/>
      <c r="S295" s="95"/>
      <c r="T295" s="95"/>
      <c r="V295" s="107"/>
    </row>
    <row r="296" ht="15.75" customHeight="1">
      <c r="A296" s="89"/>
      <c r="B296" s="182"/>
      <c r="C296" s="149"/>
      <c r="D296" s="95"/>
      <c r="E296" s="149"/>
      <c r="F296" s="149"/>
      <c r="G296" s="95"/>
      <c r="H296" s="149"/>
      <c r="I296" s="95"/>
      <c r="J296" s="95"/>
      <c r="K296" s="154"/>
      <c r="L296" s="154"/>
      <c r="M296" s="100"/>
      <c r="N296" s="127"/>
      <c r="O296" s="128"/>
      <c r="P296" s="95"/>
      <c r="Q296" s="137"/>
      <c r="R296" s="129"/>
      <c r="S296" s="95"/>
      <c r="T296" s="95"/>
      <c r="V296" s="107"/>
    </row>
    <row r="297" ht="15.75" customHeight="1">
      <c r="A297" s="89"/>
      <c r="B297" s="182"/>
      <c r="C297" s="149"/>
      <c r="D297" s="95"/>
      <c r="E297" s="149"/>
      <c r="F297" s="149"/>
      <c r="G297" s="95"/>
      <c r="H297" s="149"/>
      <c r="I297" s="95"/>
      <c r="J297" s="95"/>
      <c r="K297" s="156"/>
      <c r="L297" s="156"/>
      <c r="M297" s="100"/>
      <c r="N297" s="127"/>
      <c r="O297" s="128"/>
      <c r="P297" s="95"/>
      <c r="Q297" s="137"/>
      <c r="R297" s="129"/>
      <c r="S297" s="95"/>
      <c r="T297" s="95"/>
      <c r="V297" s="107"/>
    </row>
    <row r="298" ht="15.75" customHeight="1">
      <c r="A298" s="89"/>
      <c r="B298" s="182"/>
      <c r="C298" s="149"/>
      <c r="D298" s="95"/>
      <c r="E298" s="149"/>
      <c r="F298" s="149"/>
      <c r="G298" s="95"/>
      <c r="H298" s="149"/>
      <c r="I298" s="95"/>
      <c r="J298" s="95"/>
      <c r="K298" s="154"/>
      <c r="L298" s="154"/>
      <c r="M298" s="100"/>
      <c r="N298" s="127"/>
      <c r="O298" s="128"/>
      <c r="P298" s="95"/>
      <c r="Q298" s="137"/>
      <c r="R298" s="129"/>
      <c r="S298" s="95"/>
      <c r="T298" s="95"/>
      <c r="V298" s="107"/>
    </row>
    <row r="299" ht="15.75" customHeight="1">
      <c r="A299" s="89"/>
      <c r="B299" s="182"/>
      <c r="C299" s="149"/>
      <c r="D299" s="95"/>
      <c r="E299" s="149"/>
      <c r="F299" s="149"/>
      <c r="G299" s="95"/>
      <c r="H299" s="149"/>
      <c r="I299" s="95"/>
      <c r="J299" s="95"/>
      <c r="K299" s="156"/>
      <c r="L299" s="156"/>
      <c r="M299" s="100"/>
      <c r="N299" s="127"/>
      <c r="O299" s="128"/>
      <c r="P299" s="95"/>
      <c r="Q299" s="137"/>
      <c r="R299" s="129"/>
      <c r="S299" s="95"/>
      <c r="T299" s="95"/>
      <c r="V299" s="107"/>
    </row>
    <row r="300" ht="15.75" customHeight="1">
      <c r="A300" s="89"/>
      <c r="B300" s="182"/>
      <c r="C300" s="149"/>
      <c r="D300" s="95"/>
      <c r="E300" s="149"/>
      <c r="F300" s="149"/>
      <c r="G300" s="95"/>
      <c r="H300" s="149"/>
      <c r="I300" s="95"/>
      <c r="J300" s="95"/>
      <c r="K300" s="154"/>
      <c r="L300" s="154"/>
      <c r="M300" s="100"/>
      <c r="N300" s="127"/>
      <c r="O300" s="128"/>
      <c r="P300" s="95"/>
      <c r="Q300" s="137"/>
      <c r="R300" s="129"/>
      <c r="S300" s="95"/>
      <c r="T300" s="95"/>
      <c r="V300" s="107"/>
    </row>
    <row r="301" ht="15.75" customHeight="1">
      <c r="A301" s="89"/>
      <c r="B301" s="182"/>
      <c r="C301" s="107"/>
      <c r="D301" s="95"/>
      <c r="E301" s="149"/>
      <c r="F301" s="149"/>
      <c r="G301" s="95"/>
      <c r="H301" s="149"/>
      <c r="I301" s="95"/>
      <c r="J301" s="95"/>
      <c r="K301" s="156"/>
      <c r="L301" s="156"/>
      <c r="M301" s="100"/>
      <c r="N301" s="127"/>
      <c r="O301" s="128"/>
      <c r="P301" s="95"/>
      <c r="Q301" s="137"/>
      <c r="R301" s="129"/>
      <c r="S301" s="95"/>
      <c r="T301" s="95"/>
      <c r="V301" s="107"/>
    </row>
    <row r="302" ht="15.75" customHeight="1">
      <c r="A302" s="89"/>
      <c r="B302" s="182"/>
      <c r="C302" s="149"/>
      <c r="D302" s="95"/>
      <c r="E302" s="149"/>
      <c r="F302" s="149"/>
      <c r="G302" s="95"/>
      <c r="H302" s="149"/>
      <c r="I302" s="95"/>
      <c r="J302" s="95"/>
      <c r="K302" s="154"/>
      <c r="L302" s="154"/>
      <c r="M302" s="100"/>
      <c r="N302" s="127"/>
      <c r="O302" s="128"/>
      <c r="P302" s="95"/>
      <c r="Q302" s="137"/>
      <c r="R302" s="129"/>
      <c r="S302" s="95"/>
      <c r="T302" s="95"/>
      <c r="V302" s="107"/>
    </row>
    <row r="303" ht="15.75" customHeight="1">
      <c r="A303" s="89"/>
      <c r="B303" s="182"/>
      <c r="C303" s="149"/>
      <c r="D303" s="95"/>
      <c r="E303" s="149"/>
      <c r="F303" s="149"/>
      <c r="G303" s="95"/>
      <c r="H303" s="149"/>
      <c r="I303" s="95"/>
      <c r="J303" s="95"/>
      <c r="K303" s="156"/>
      <c r="L303" s="156"/>
      <c r="M303" s="100"/>
      <c r="N303" s="127"/>
      <c r="O303" s="128"/>
      <c r="P303" s="95"/>
      <c r="Q303" s="137"/>
      <c r="R303" s="129"/>
      <c r="S303" s="95"/>
      <c r="T303" s="95"/>
      <c r="V303" s="107"/>
    </row>
    <row r="304" ht="15.75" customHeight="1">
      <c r="A304" s="89"/>
      <c r="B304" s="182"/>
      <c r="C304" s="149"/>
      <c r="D304" s="95"/>
      <c r="E304" s="149"/>
      <c r="F304" s="149"/>
      <c r="G304" s="95"/>
      <c r="H304" s="149"/>
      <c r="I304" s="95"/>
      <c r="J304" s="95"/>
      <c r="K304" s="154"/>
      <c r="L304" s="154"/>
      <c r="M304" s="100"/>
      <c r="N304" s="127"/>
      <c r="O304" s="128"/>
      <c r="P304" s="95"/>
      <c r="Q304" s="137"/>
      <c r="R304" s="129"/>
      <c r="S304" s="95"/>
      <c r="T304" s="95"/>
      <c r="V304" s="107"/>
    </row>
    <row r="305" ht="15.75" customHeight="1">
      <c r="A305" s="89"/>
      <c r="B305" s="182"/>
      <c r="C305" s="149"/>
      <c r="D305" s="95"/>
      <c r="E305" s="149"/>
      <c r="F305" s="149"/>
      <c r="G305" s="95"/>
      <c r="H305" s="149"/>
      <c r="I305" s="95"/>
      <c r="J305" s="95"/>
      <c r="K305" s="156"/>
      <c r="L305" s="156"/>
      <c r="M305" s="100"/>
      <c r="N305" s="127"/>
      <c r="O305" s="128"/>
      <c r="P305" s="95"/>
      <c r="Q305" s="137"/>
      <c r="R305" s="129"/>
      <c r="S305" s="95"/>
      <c r="T305" s="95"/>
      <c r="V305" s="107"/>
    </row>
    <row r="306" ht="15.75" customHeight="1">
      <c r="A306" s="89"/>
      <c r="B306" s="182"/>
      <c r="C306" s="149"/>
      <c r="D306" s="95"/>
      <c r="E306" s="149"/>
      <c r="F306" s="149"/>
      <c r="G306" s="95"/>
      <c r="H306" s="149"/>
      <c r="I306" s="95"/>
      <c r="J306" s="95"/>
      <c r="K306" s="154"/>
      <c r="L306" s="154"/>
      <c r="M306" s="100"/>
      <c r="N306" s="127"/>
      <c r="O306" s="128"/>
      <c r="P306" s="95"/>
      <c r="Q306" s="137"/>
      <c r="R306" s="129"/>
      <c r="S306" s="95"/>
      <c r="T306" s="95"/>
      <c r="V306" s="107"/>
    </row>
    <row r="307" ht="15.75" customHeight="1">
      <c r="A307" s="89"/>
      <c r="B307" s="182"/>
      <c r="C307" s="107"/>
      <c r="D307" s="95"/>
      <c r="E307" s="149"/>
      <c r="F307" s="149"/>
      <c r="G307" s="95"/>
      <c r="H307" s="149"/>
      <c r="I307" s="95"/>
      <c r="J307" s="95"/>
      <c r="K307" s="156"/>
      <c r="L307" s="156"/>
      <c r="M307" s="100"/>
      <c r="N307" s="127"/>
      <c r="O307" s="128"/>
      <c r="P307" s="95"/>
      <c r="Q307" s="137"/>
      <c r="R307" s="129"/>
      <c r="S307" s="95"/>
      <c r="T307" s="95"/>
      <c r="V307" s="107"/>
    </row>
    <row r="308" ht="15.75" customHeight="1">
      <c r="A308" s="89"/>
      <c r="B308" s="182"/>
      <c r="C308" s="149"/>
      <c r="D308" s="95"/>
      <c r="E308" s="149"/>
      <c r="F308" s="149"/>
      <c r="G308" s="95"/>
      <c r="H308" s="149"/>
      <c r="I308" s="95"/>
      <c r="J308" s="95"/>
      <c r="K308" s="154"/>
      <c r="L308" s="154"/>
      <c r="M308" s="100"/>
      <c r="N308" s="127"/>
      <c r="O308" s="128"/>
      <c r="P308" s="95"/>
      <c r="Q308" s="137"/>
      <c r="R308" s="129"/>
      <c r="S308" s="95"/>
      <c r="T308" s="95"/>
      <c r="V308" s="107"/>
    </row>
    <row r="309" ht="15.75" customHeight="1">
      <c r="A309" s="89"/>
      <c r="B309" s="182"/>
      <c r="C309" s="149"/>
      <c r="D309" s="95"/>
      <c r="E309" s="149"/>
      <c r="F309" s="149"/>
      <c r="G309" s="95"/>
      <c r="H309" s="149"/>
      <c r="I309" s="95"/>
      <c r="J309" s="95"/>
      <c r="K309" s="156"/>
      <c r="L309" s="156"/>
      <c r="M309" s="100"/>
      <c r="N309" s="127"/>
      <c r="O309" s="128"/>
      <c r="P309" s="95"/>
      <c r="Q309" s="137"/>
      <c r="R309" s="129"/>
      <c r="S309" s="95"/>
      <c r="T309" s="95"/>
      <c r="V309" s="107"/>
    </row>
    <row r="310" ht="15.75" customHeight="1">
      <c r="A310" s="89"/>
      <c r="B310" s="182"/>
      <c r="C310" s="149"/>
      <c r="D310" s="95"/>
      <c r="E310" s="149"/>
      <c r="F310" s="149"/>
      <c r="G310" s="95"/>
      <c r="H310" s="149"/>
      <c r="I310" s="95"/>
      <c r="J310" s="95"/>
      <c r="K310" s="154"/>
      <c r="L310" s="154"/>
      <c r="M310" s="100"/>
      <c r="N310" s="127"/>
      <c r="O310" s="128"/>
      <c r="P310" s="95"/>
      <c r="Q310" s="137"/>
      <c r="R310" s="129"/>
      <c r="S310" s="95"/>
      <c r="T310" s="95"/>
      <c r="V310" s="107"/>
    </row>
    <row r="311" ht="15.75" customHeight="1">
      <c r="A311" s="89"/>
      <c r="B311" s="182"/>
      <c r="C311" s="149"/>
      <c r="D311" s="95"/>
      <c r="E311" s="149"/>
      <c r="F311" s="149"/>
      <c r="G311" s="95"/>
      <c r="H311" s="149"/>
      <c r="I311" s="95"/>
      <c r="J311" s="95"/>
      <c r="K311" s="156"/>
      <c r="L311" s="156"/>
      <c r="M311" s="100"/>
      <c r="N311" s="127"/>
      <c r="O311" s="128"/>
      <c r="P311" s="95"/>
      <c r="Q311" s="137"/>
      <c r="R311" s="129"/>
      <c r="S311" s="95"/>
      <c r="T311" s="95"/>
      <c r="V311" s="107"/>
    </row>
    <row r="312" ht="15.75" customHeight="1">
      <c r="A312" s="89"/>
      <c r="B312" s="182"/>
      <c r="C312" s="149"/>
      <c r="D312" s="95"/>
      <c r="E312" s="149"/>
      <c r="F312" s="149"/>
      <c r="G312" s="95"/>
      <c r="H312" s="149"/>
      <c r="I312" s="95"/>
      <c r="J312" s="95"/>
      <c r="K312" s="154"/>
      <c r="L312" s="154"/>
      <c r="M312" s="100"/>
      <c r="N312" s="127"/>
      <c r="O312" s="128"/>
      <c r="P312" s="95"/>
      <c r="Q312" s="137"/>
      <c r="R312" s="129"/>
      <c r="S312" s="95"/>
      <c r="T312" s="95"/>
      <c r="V312" s="107"/>
    </row>
    <row r="313" ht="15.75" customHeight="1">
      <c r="A313" s="89"/>
      <c r="B313" s="182"/>
      <c r="C313" s="107"/>
      <c r="D313" s="95"/>
      <c r="E313" s="149"/>
      <c r="F313" s="149"/>
      <c r="G313" s="95"/>
      <c r="H313" s="149"/>
      <c r="I313" s="95"/>
      <c r="J313" s="95"/>
      <c r="K313" s="156"/>
      <c r="L313" s="156"/>
      <c r="M313" s="100"/>
      <c r="N313" s="127"/>
      <c r="O313" s="128"/>
      <c r="P313" s="95"/>
      <c r="Q313" s="137"/>
      <c r="R313" s="129"/>
      <c r="S313" s="95"/>
      <c r="T313" s="95"/>
      <c r="V313" s="107"/>
    </row>
    <row r="314" ht="15.75" customHeight="1">
      <c r="A314" s="89"/>
      <c r="B314" s="182"/>
      <c r="C314" s="149"/>
      <c r="D314" s="95"/>
      <c r="E314" s="149"/>
      <c r="F314" s="149"/>
      <c r="G314" s="95"/>
      <c r="H314" s="149"/>
      <c r="I314" s="95"/>
      <c r="J314" s="95"/>
      <c r="K314" s="154"/>
      <c r="L314" s="154"/>
      <c r="M314" s="100"/>
      <c r="N314" s="127"/>
      <c r="O314" s="128"/>
      <c r="P314" s="95"/>
      <c r="Q314" s="137"/>
      <c r="R314" s="129"/>
      <c r="S314" s="95"/>
      <c r="T314" s="95"/>
      <c r="V314" s="107"/>
    </row>
    <row r="315" ht="15.75" customHeight="1">
      <c r="A315" s="89"/>
      <c r="B315" s="182"/>
      <c r="C315" s="149"/>
      <c r="D315" s="95"/>
      <c r="E315" s="149"/>
      <c r="F315" s="149"/>
      <c r="G315" s="95"/>
      <c r="H315" s="149"/>
      <c r="I315" s="95"/>
      <c r="J315" s="95"/>
      <c r="K315" s="156"/>
      <c r="L315" s="156"/>
      <c r="M315" s="100"/>
      <c r="N315" s="127"/>
      <c r="O315" s="128"/>
      <c r="P315" s="95"/>
      <c r="Q315" s="137"/>
      <c r="R315" s="129"/>
      <c r="S315" s="95"/>
      <c r="T315" s="95"/>
      <c r="V315" s="107"/>
    </row>
    <row r="316" ht="15.75" customHeight="1">
      <c r="A316" s="89"/>
      <c r="B316" s="182"/>
      <c r="C316" s="149"/>
      <c r="D316" s="95"/>
      <c r="E316" s="149"/>
      <c r="F316" s="149"/>
      <c r="G316" s="95"/>
      <c r="H316" s="149"/>
      <c r="I316" s="95"/>
      <c r="J316" s="95"/>
      <c r="K316" s="154"/>
      <c r="L316" s="154"/>
      <c r="M316" s="100"/>
      <c r="N316" s="127"/>
      <c r="O316" s="128"/>
      <c r="P316" s="95"/>
      <c r="Q316" s="137"/>
      <c r="R316" s="129"/>
      <c r="S316" s="95"/>
      <c r="T316" s="95"/>
      <c r="V316" s="107"/>
    </row>
    <row r="317" ht="15.75" customHeight="1">
      <c r="A317" s="89"/>
      <c r="B317" s="182"/>
      <c r="C317" s="149"/>
      <c r="D317" s="95"/>
      <c r="E317" s="149"/>
      <c r="F317" s="149"/>
      <c r="G317" s="95"/>
      <c r="H317" s="149"/>
      <c r="I317" s="95"/>
      <c r="J317" s="95"/>
      <c r="K317" s="156"/>
      <c r="L317" s="156"/>
      <c r="M317" s="100"/>
      <c r="N317" s="127"/>
      <c r="O317" s="128"/>
      <c r="P317" s="95"/>
      <c r="Q317" s="137"/>
      <c r="R317" s="129"/>
      <c r="S317" s="95"/>
      <c r="T317" s="95"/>
      <c r="V317" s="107"/>
    </row>
    <row r="318" ht="15.75" customHeight="1">
      <c r="A318" s="89"/>
      <c r="B318" s="182"/>
      <c r="C318" s="149"/>
      <c r="D318" s="95"/>
      <c r="E318" s="149"/>
      <c r="F318" s="149"/>
      <c r="G318" s="95"/>
      <c r="H318" s="149"/>
      <c r="I318" s="95"/>
      <c r="J318" s="95"/>
      <c r="K318" s="154"/>
      <c r="L318" s="154"/>
      <c r="M318" s="100"/>
      <c r="N318" s="127"/>
      <c r="O318" s="128"/>
      <c r="P318" s="95"/>
      <c r="Q318" s="137"/>
      <c r="R318" s="129"/>
      <c r="S318" s="95"/>
      <c r="T318" s="95"/>
      <c r="V318" s="107"/>
    </row>
    <row r="319" ht="15.75" customHeight="1">
      <c r="A319" s="89"/>
      <c r="B319" s="182"/>
      <c r="C319" s="107"/>
      <c r="D319" s="95"/>
      <c r="E319" s="149"/>
      <c r="F319" s="149"/>
      <c r="G319" s="95"/>
      <c r="H319" s="149"/>
      <c r="I319" s="95"/>
      <c r="J319" s="95"/>
      <c r="K319" s="156"/>
      <c r="L319" s="156"/>
      <c r="M319" s="100"/>
      <c r="N319" s="127"/>
      <c r="O319" s="128"/>
      <c r="P319" s="95"/>
      <c r="Q319" s="137"/>
      <c r="R319" s="129"/>
      <c r="S319" s="95"/>
      <c r="T319" s="95"/>
      <c r="V319" s="107"/>
    </row>
    <row r="320" ht="15.75" customHeight="1">
      <c r="A320" s="89"/>
      <c r="B320" s="182"/>
      <c r="C320" s="149"/>
      <c r="D320" s="95"/>
      <c r="E320" s="149"/>
      <c r="F320" s="149"/>
      <c r="G320" s="95"/>
      <c r="H320" s="149"/>
      <c r="I320" s="95"/>
      <c r="J320" s="95"/>
      <c r="K320" s="154"/>
      <c r="L320" s="154"/>
      <c r="M320" s="100"/>
      <c r="N320" s="127"/>
      <c r="O320" s="128"/>
      <c r="P320" s="95"/>
      <c r="Q320" s="137"/>
      <c r="R320" s="129"/>
      <c r="S320" s="95"/>
      <c r="T320" s="95"/>
      <c r="V320" s="107"/>
    </row>
    <row r="321" ht="15.75" customHeight="1">
      <c r="A321" s="89"/>
      <c r="B321" s="182"/>
      <c r="C321" s="149"/>
      <c r="D321" s="95"/>
      <c r="E321" s="149"/>
      <c r="F321" s="149"/>
      <c r="G321" s="95"/>
      <c r="H321" s="149"/>
      <c r="I321" s="95"/>
      <c r="J321" s="95"/>
      <c r="K321" s="156"/>
      <c r="L321" s="156"/>
      <c r="M321" s="100"/>
      <c r="N321" s="127"/>
      <c r="O321" s="128"/>
      <c r="P321" s="95"/>
      <c r="Q321" s="137"/>
      <c r="R321" s="129"/>
      <c r="S321" s="95"/>
      <c r="T321" s="95"/>
      <c r="V321" s="107"/>
    </row>
    <row r="322" ht="15.75" customHeight="1">
      <c r="A322" s="89"/>
      <c r="B322" s="182"/>
      <c r="C322" s="149"/>
      <c r="D322" s="95"/>
      <c r="E322" s="149"/>
      <c r="F322" s="149"/>
      <c r="G322" s="95"/>
      <c r="H322" s="149"/>
      <c r="I322" s="95"/>
      <c r="J322" s="95"/>
      <c r="K322" s="154"/>
      <c r="L322" s="154"/>
      <c r="M322" s="100"/>
      <c r="N322" s="127"/>
      <c r="O322" s="128"/>
      <c r="P322" s="95"/>
      <c r="Q322" s="137"/>
      <c r="R322" s="129"/>
      <c r="S322" s="95"/>
      <c r="T322" s="95"/>
      <c r="V322" s="107"/>
    </row>
    <row r="323" ht="15.75" customHeight="1">
      <c r="A323" s="89"/>
      <c r="B323" s="182"/>
      <c r="C323" s="149"/>
      <c r="D323" s="95"/>
      <c r="E323" s="149"/>
      <c r="F323" s="149"/>
      <c r="G323" s="95"/>
      <c r="H323" s="149"/>
      <c r="I323" s="95"/>
      <c r="J323" s="95"/>
      <c r="K323" s="156"/>
      <c r="L323" s="156"/>
      <c r="M323" s="100"/>
      <c r="N323" s="127"/>
      <c r="O323" s="128"/>
      <c r="P323" s="95"/>
      <c r="Q323" s="137"/>
      <c r="R323" s="129"/>
      <c r="S323" s="95"/>
      <c r="T323" s="95"/>
      <c r="V323" s="107"/>
    </row>
    <row r="324" ht="15.75" customHeight="1">
      <c r="A324" s="89"/>
      <c r="B324" s="182"/>
      <c r="C324" s="149"/>
      <c r="D324" s="95"/>
      <c r="E324" s="149"/>
      <c r="F324" s="149"/>
      <c r="G324" s="95"/>
      <c r="H324" s="149"/>
      <c r="I324" s="95"/>
      <c r="J324" s="95"/>
      <c r="K324" s="154"/>
      <c r="L324" s="154"/>
      <c r="M324" s="100"/>
      <c r="N324" s="127"/>
      <c r="O324" s="128"/>
      <c r="P324" s="95"/>
      <c r="Q324" s="137"/>
      <c r="R324" s="129"/>
      <c r="S324" s="95"/>
      <c r="T324" s="95"/>
      <c r="V324" s="107"/>
    </row>
    <row r="325" ht="15.75" customHeight="1">
      <c r="A325" s="89"/>
      <c r="B325" s="182"/>
      <c r="C325" s="107"/>
      <c r="D325" s="95"/>
      <c r="E325" s="149"/>
      <c r="F325" s="149"/>
      <c r="G325" s="95"/>
      <c r="H325" s="149"/>
      <c r="I325" s="95"/>
      <c r="J325" s="95"/>
      <c r="K325" s="156"/>
      <c r="L325" s="156"/>
      <c r="M325" s="100"/>
      <c r="N325" s="127"/>
      <c r="O325" s="128"/>
      <c r="P325" s="95"/>
      <c r="Q325" s="137"/>
      <c r="R325" s="129"/>
      <c r="S325" s="95"/>
      <c r="T325" s="95"/>
      <c r="V325" s="107"/>
    </row>
    <row r="326" ht="15.75" customHeight="1">
      <c r="A326" s="89"/>
      <c r="B326" s="182"/>
      <c r="C326" s="149"/>
      <c r="D326" s="95"/>
      <c r="E326" s="149"/>
      <c r="F326" s="149"/>
      <c r="G326" s="95"/>
      <c r="H326" s="149"/>
      <c r="I326" s="95"/>
      <c r="J326" s="95"/>
      <c r="K326" s="154"/>
      <c r="L326" s="154"/>
      <c r="M326" s="100"/>
      <c r="N326" s="127"/>
      <c r="O326" s="128"/>
      <c r="P326" s="95"/>
      <c r="Q326" s="137"/>
      <c r="R326" s="129"/>
      <c r="S326" s="95"/>
      <c r="T326" s="95"/>
      <c r="V326" s="107"/>
    </row>
    <row r="327" ht="15.75" customHeight="1">
      <c r="A327" s="89"/>
      <c r="B327" s="182"/>
      <c r="C327" s="149"/>
      <c r="D327" s="95"/>
      <c r="E327" s="149"/>
      <c r="F327" s="149"/>
      <c r="G327" s="95"/>
      <c r="H327" s="149"/>
      <c r="I327" s="95"/>
      <c r="J327" s="95"/>
      <c r="K327" s="156"/>
      <c r="L327" s="156"/>
      <c r="M327" s="100"/>
      <c r="N327" s="127"/>
      <c r="O327" s="128"/>
      <c r="P327" s="95"/>
      <c r="Q327" s="137"/>
      <c r="R327" s="129"/>
      <c r="S327" s="95"/>
      <c r="T327" s="95"/>
      <c r="V327" s="107"/>
    </row>
    <row r="328" ht="15.75" customHeight="1">
      <c r="A328" s="89"/>
      <c r="B328" s="182"/>
      <c r="C328" s="149"/>
      <c r="D328" s="95"/>
      <c r="E328" s="149"/>
      <c r="F328" s="149"/>
      <c r="G328" s="95"/>
      <c r="H328" s="149"/>
      <c r="I328" s="95"/>
      <c r="J328" s="95"/>
      <c r="K328" s="158"/>
      <c r="L328" s="158"/>
      <c r="M328" s="100"/>
      <c r="N328" s="127"/>
      <c r="O328" s="128"/>
      <c r="P328" s="95"/>
      <c r="Q328" s="137"/>
      <c r="R328" s="129"/>
      <c r="S328" s="95"/>
      <c r="T328" s="95"/>
      <c r="V328" s="107"/>
    </row>
    <row r="329" ht="15.75" customHeight="1">
      <c r="A329" s="89"/>
      <c r="B329" s="182"/>
      <c r="C329" s="149"/>
      <c r="D329" s="95"/>
      <c r="E329" s="149"/>
      <c r="F329" s="149"/>
      <c r="G329" s="95"/>
      <c r="H329" s="149"/>
      <c r="I329" s="95"/>
      <c r="J329" s="95"/>
      <c r="K329" s="158"/>
      <c r="L329" s="158"/>
      <c r="M329" s="100"/>
      <c r="N329" s="127"/>
      <c r="O329" s="128"/>
      <c r="P329" s="95"/>
      <c r="Q329" s="137"/>
      <c r="R329" s="129"/>
      <c r="S329" s="95"/>
      <c r="T329" s="95"/>
      <c r="V329" s="107"/>
    </row>
    <row r="330" ht="15.75" customHeight="1">
      <c r="A330" s="89"/>
      <c r="B330" s="182"/>
      <c r="C330" s="149"/>
      <c r="D330" s="95"/>
      <c r="E330" s="149"/>
      <c r="F330" s="149"/>
      <c r="G330" s="95"/>
      <c r="H330" s="149"/>
      <c r="I330" s="95"/>
      <c r="J330" s="95"/>
      <c r="K330" s="158"/>
      <c r="L330" s="158"/>
      <c r="M330" s="100"/>
      <c r="N330" s="127"/>
      <c r="O330" s="128"/>
      <c r="P330" s="95"/>
      <c r="Q330" s="137"/>
      <c r="R330" s="129"/>
      <c r="S330" s="95"/>
      <c r="T330" s="95"/>
      <c r="V330" s="107"/>
    </row>
    <row r="331" ht="15.75" customHeight="1">
      <c r="A331" s="89"/>
      <c r="B331" s="182"/>
      <c r="C331" s="107"/>
      <c r="D331" s="95"/>
      <c r="E331" s="149"/>
      <c r="F331" s="149"/>
      <c r="G331" s="95"/>
      <c r="H331" s="149"/>
      <c r="I331" s="95"/>
      <c r="J331" s="95"/>
      <c r="K331" s="158"/>
      <c r="L331" s="158"/>
      <c r="M331" s="100"/>
      <c r="N331" s="127"/>
      <c r="O331" s="128"/>
      <c r="P331" s="95"/>
      <c r="Q331" s="137"/>
      <c r="R331" s="129"/>
      <c r="S331" s="95"/>
      <c r="T331" s="95"/>
      <c r="V331" s="107"/>
    </row>
    <row r="332" ht="15.75" customHeight="1">
      <c r="A332" s="89"/>
      <c r="B332" s="182"/>
      <c r="C332" s="149"/>
      <c r="D332" s="95"/>
      <c r="E332" s="149"/>
      <c r="F332" s="149"/>
      <c r="G332" s="95"/>
      <c r="H332" s="149"/>
      <c r="I332" s="95"/>
      <c r="J332" s="95"/>
      <c r="K332" s="158"/>
      <c r="L332" s="158"/>
      <c r="M332" s="100"/>
      <c r="N332" s="127"/>
      <c r="O332" s="128"/>
      <c r="P332" s="95"/>
      <c r="Q332" s="137"/>
      <c r="R332" s="129"/>
      <c r="S332" s="95"/>
      <c r="T332" s="95"/>
      <c r="V332" s="107"/>
    </row>
    <row r="333" ht="15.75" customHeight="1">
      <c r="A333" s="89"/>
      <c r="B333" s="182"/>
      <c r="C333" s="149"/>
      <c r="D333" s="95"/>
      <c r="E333" s="149"/>
      <c r="F333" s="149"/>
      <c r="G333" s="95"/>
      <c r="H333" s="149"/>
      <c r="I333" s="95"/>
      <c r="J333" s="95"/>
      <c r="K333" s="158"/>
      <c r="L333" s="158"/>
      <c r="M333" s="100"/>
      <c r="N333" s="127"/>
      <c r="O333" s="128"/>
      <c r="P333" s="95"/>
      <c r="Q333" s="137"/>
      <c r="R333" s="129"/>
      <c r="S333" s="95"/>
      <c r="T333" s="95"/>
      <c r="V333" s="107"/>
    </row>
    <row r="334" ht="15.75" customHeight="1">
      <c r="A334" s="89"/>
      <c r="B334" s="182"/>
      <c r="C334" s="149"/>
      <c r="D334" s="95"/>
      <c r="E334" s="149"/>
      <c r="F334" s="149"/>
      <c r="G334" s="95"/>
      <c r="H334" s="149"/>
      <c r="I334" s="95"/>
      <c r="J334" s="95"/>
      <c r="K334" s="158"/>
      <c r="L334" s="158"/>
      <c r="M334" s="100"/>
      <c r="N334" s="127"/>
      <c r="O334" s="128"/>
      <c r="P334" s="95"/>
      <c r="Q334" s="137"/>
      <c r="R334" s="129"/>
      <c r="S334" s="95"/>
      <c r="T334" s="95"/>
      <c r="V334" s="107"/>
    </row>
    <row r="335" ht="15.75" customHeight="1">
      <c r="A335" s="89"/>
      <c r="B335" s="182"/>
      <c r="C335" s="149"/>
      <c r="D335" s="95"/>
      <c r="E335" s="149"/>
      <c r="F335" s="149"/>
      <c r="G335" s="95"/>
      <c r="H335" s="149"/>
      <c r="I335" s="95"/>
      <c r="J335" s="95"/>
      <c r="K335" s="158"/>
      <c r="L335" s="158"/>
      <c r="M335" s="100"/>
      <c r="N335" s="127"/>
      <c r="O335" s="128"/>
      <c r="P335" s="95"/>
      <c r="Q335" s="137"/>
      <c r="R335" s="129"/>
      <c r="S335" s="95"/>
      <c r="T335" s="95"/>
      <c r="V335" s="107"/>
    </row>
    <row r="336" ht="15.75" customHeight="1">
      <c r="A336" s="89"/>
      <c r="B336" s="182"/>
      <c r="C336" s="149"/>
      <c r="D336" s="95"/>
      <c r="E336" s="149"/>
      <c r="F336" s="149"/>
      <c r="G336" s="95"/>
      <c r="H336" s="149"/>
      <c r="I336" s="95"/>
      <c r="J336" s="95"/>
      <c r="K336" s="158"/>
      <c r="L336" s="158"/>
      <c r="M336" s="100"/>
      <c r="N336" s="127"/>
      <c r="O336" s="128"/>
      <c r="P336" s="95"/>
      <c r="Q336" s="137"/>
      <c r="R336" s="129"/>
      <c r="S336" s="95"/>
      <c r="T336" s="95"/>
      <c r="V336" s="107"/>
    </row>
    <row r="337" ht="15.75" customHeight="1">
      <c r="A337" s="89"/>
      <c r="B337" s="182"/>
      <c r="C337" s="107"/>
      <c r="D337" s="95"/>
      <c r="E337" s="149"/>
      <c r="F337" s="149"/>
      <c r="G337" s="95"/>
      <c r="H337" s="149"/>
      <c r="I337" s="95"/>
      <c r="J337" s="95"/>
      <c r="K337" s="158"/>
      <c r="L337" s="158"/>
      <c r="M337" s="100"/>
      <c r="N337" s="127"/>
      <c r="O337" s="128"/>
      <c r="P337" s="95"/>
      <c r="Q337" s="137"/>
      <c r="R337" s="129"/>
      <c r="S337" s="95"/>
      <c r="T337" s="95"/>
      <c r="V337" s="107"/>
    </row>
    <row r="338" ht="15.75" customHeight="1">
      <c r="A338" s="89"/>
      <c r="B338" s="182"/>
      <c r="C338" s="149"/>
      <c r="D338" s="95"/>
      <c r="E338" s="149"/>
      <c r="F338" s="149"/>
      <c r="G338" s="95"/>
      <c r="H338" s="149"/>
      <c r="I338" s="95"/>
      <c r="J338" s="95"/>
      <c r="K338" s="158"/>
      <c r="L338" s="158"/>
      <c r="M338" s="100"/>
      <c r="N338" s="127"/>
      <c r="O338" s="128"/>
      <c r="P338" s="95"/>
      <c r="Q338" s="137"/>
      <c r="R338" s="129"/>
      <c r="S338" s="95"/>
      <c r="T338" s="95"/>
      <c r="V338" s="107"/>
    </row>
    <row r="339" ht="15.75" customHeight="1">
      <c r="A339" s="89"/>
      <c r="B339" s="182"/>
      <c r="C339" s="149"/>
      <c r="D339" s="95"/>
      <c r="E339" s="149"/>
      <c r="F339" s="149"/>
      <c r="G339" s="95"/>
      <c r="H339" s="149"/>
      <c r="I339" s="95"/>
      <c r="J339" s="95"/>
      <c r="K339" s="158"/>
      <c r="L339" s="158"/>
      <c r="M339" s="100"/>
      <c r="N339" s="127"/>
      <c r="O339" s="128"/>
      <c r="P339" s="95"/>
      <c r="Q339" s="137"/>
      <c r="R339" s="129"/>
      <c r="S339" s="95"/>
      <c r="T339" s="95"/>
      <c r="V339" s="107"/>
    </row>
    <row r="340" ht="15.75" customHeight="1">
      <c r="A340" s="89"/>
      <c r="B340" s="182"/>
      <c r="C340" s="149"/>
      <c r="D340" s="95"/>
      <c r="E340" s="149"/>
      <c r="F340" s="149"/>
      <c r="G340" s="95"/>
      <c r="H340" s="149"/>
      <c r="I340" s="95"/>
      <c r="J340" s="95"/>
      <c r="K340" s="158"/>
      <c r="L340" s="158"/>
      <c r="M340" s="100"/>
      <c r="N340" s="127"/>
      <c r="O340" s="128"/>
      <c r="P340" s="95"/>
      <c r="Q340" s="137"/>
      <c r="R340" s="129"/>
      <c r="S340" s="95"/>
      <c r="T340" s="95"/>
      <c r="V340" s="107"/>
    </row>
    <row r="341" ht="15.75" customHeight="1">
      <c r="A341" s="89"/>
      <c r="B341" s="182"/>
      <c r="C341" s="149"/>
      <c r="D341" s="95"/>
      <c r="E341" s="149"/>
      <c r="F341" s="149"/>
      <c r="G341" s="95"/>
      <c r="H341" s="149"/>
      <c r="I341" s="95"/>
      <c r="J341" s="95"/>
      <c r="K341" s="158"/>
      <c r="L341" s="158"/>
      <c r="M341" s="100"/>
      <c r="N341" s="127"/>
      <c r="O341" s="128"/>
      <c r="P341" s="95"/>
      <c r="Q341" s="137"/>
      <c r="R341" s="129"/>
      <c r="S341" s="95"/>
      <c r="T341" s="95"/>
      <c r="V341" s="107"/>
    </row>
    <row r="342" ht="15.75" customHeight="1">
      <c r="A342" s="89"/>
      <c r="B342" s="182"/>
      <c r="C342" s="149"/>
      <c r="D342" s="95"/>
      <c r="E342" s="149"/>
      <c r="F342" s="149"/>
      <c r="G342" s="95"/>
      <c r="H342" s="149"/>
      <c r="I342" s="95"/>
      <c r="J342" s="95"/>
      <c r="K342" s="158"/>
      <c r="L342" s="158"/>
      <c r="M342" s="100"/>
      <c r="N342" s="127"/>
      <c r="O342" s="128"/>
      <c r="P342" s="95"/>
      <c r="Q342" s="137"/>
      <c r="R342" s="129"/>
      <c r="S342" s="95"/>
      <c r="T342" s="95"/>
      <c r="V342" s="107"/>
    </row>
    <row r="343" ht="15.75" customHeight="1">
      <c r="A343" s="89"/>
      <c r="B343" s="182"/>
      <c r="C343" s="107"/>
      <c r="D343" s="95"/>
      <c r="E343" s="149"/>
      <c r="F343" s="149"/>
      <c r="G343" s="95"/>
      <c r="H343" s="149"/>
      <c r="I343" s="95"/>
      <c r="J343" s="95"/>
      <c r="K343" s="158"/>
      <c r="L343" s="158"/>
      <c r="M343" s="100"/>
      <c r="N343" s="127"/>
      <c r="O343" s="128"/>
      <c r="P343" s="95"/>
      <c r="Q343" s="137"/>
      <c r="R343" s="129"/>
      <c r="S343" s="95"/>
      <c r="T343" s="95"/>
      <c r="V343" s="107"/>
    </row>
    <row r="344" ht="15.75" customHeight="1">
      <c r="A344" s="89"/>
      <c r="B344" s="182"/>
      <c r="C344" s="149"/>
      <c r="D344" s="95"/>
      <c r="E344" s="149"/>
      <c r="F344" s="149"/>
      <c r="G344" s="95"/>
      <c r="H344" s="149"/>
      <c r="I344" s="95"/>
      <c r="J344" s="95"/>
      <c r="K344" s="158"/>
      <c r="L344" s="158"/>
      <c r="M344" s="100"/>
      <c r="N344" s="127"/>
      <c r="O344" s="128"/>
      <c r="P344" s="95"/>
      <c r="Q344" s="137"/>
      <c r="R344" s="129"/>
      <c r="S344" s="95"/>
      <c r="T344" s="95"/>
      <c r="V344" s="107"/>
    </row>
    <row r="345" ht="15.75" customHeight="1">
      <c r="A345" s="89"/>
      <c r="B345" s="182"/>
      <c r="C345" s="149"/>
      <c r="D345" s="95"/>
      <c r="E345" s="149"/>
      <c r="F345" s="149"/>
      <c r="G345" s="95"/>
      <c r="H345" s="149"/>
      <c r="I345" s="95"/>
      <c r="J345" s="95"/>
      <c r="K345" s="158"/>
      <c r="L345" s="158"/>
      <c r="M345" s="100"/>
      <c r="N345" s="127"/>
      <c r="O345" s="128"/>
      <c r="P345" s="95"/>
      <c r="Q345" s="137"/>
      <c r="R345" s="129"/>
      <c r="S345" s="95"/>
      <c r="T345" s="95"/>
      <c r="V345" s="107"/>
    </row>
    <row r="346" ht="15.75" customHeight="1">
      <c r="A346" s="89"/>
      <c r="B346" s="182"/>
      <c r="C346" s="149"/>
      <c r="D346" s="95"/>
      <c r="E346" s="149"/>
      <c r="F346" s="149"/>
      <c r="G346" s="95"/>
      <c r="H346" s="149"/>
      <c r="I346" s="95"/>
      <c r="J346" s="95"/>
      <c r="K346" s="158"/>
      <c r="L346" s="158"/>
      <c r="M346" s="100"/>
      <c r="N346" s="127"/>
      <c r="O346" s="128"/>
      <c r="P346" s="95"/>
      <c r="Q346" s="137"/>
      <c r="R346" s="129"/>
      <c r="S346" s="95"/>
      <c r="T346" s="95"/>
      <c r="V346" s="107"/>
    </row>
    <row r="347" ht="15.75" customHeight="1">
      <c r="A347" s="89"/>
      <c r="B347" s="182"/>
      <c r="C347" s="149"/>
      <c r="D347" s="95"/>
      <c r="E347" s="149"/>
      <c r="F347" s="149"/>
      <c r="G347" s="95"/>
      <c r="H347" s="149"/>
      <c r="I347" s="95"/>
      <c r="J347" s="95"/>
      <c r="K347" s="158"/>
      <c r="L347" s="158"/>
      <c r="M347" s="100"/>
      <c r="N347" s="127"/>
      <c r="O347" s="128"/>
      <c r="P347" s="95"/>
      <c r="Q347" s="137"/>
      <c r="R347" s="129"/>
      <c r="S347" s="95"/>
      <c r="T347" s="95"/>
      <c r="V347" s="107"/>
    </row>
    <row r="348" ht="15.75" customHeight="1">
      <c r="A348" s="89"/>
      <c r="B348" s="182"/>
      <c r="C348" s="149"/>
      <c r="D348" s="95"/>
      <c r="E348" s="149"/>
      <c r="F348" s="149"/>
      <c r="G348" s="95"/>
      <c r="H348" s="149"/>
      <c r="I348" s="95"/>
      <c r="J348" s="95"/>
      <c r="K348" s="158"/>
      <c r="L348" s="158"/>
      <c r="M348" s="100"/>
      <c r="N348" s="127"/>
      <c r="O348" s="128"/>
      <c r="P348" s="95"/>
      <c r="Q348" s="137"/>
      <c r="R348" s="129"/>
      <c r="S348" s="95"/>
      <c r="T348" s="95"/>
      <c r="V348" s="107"/>
    </row>
    <row r="349" ht="15.75" customHeight="1">
      <c r="A349" s="89"/>
      <c r="B349" s="182"/>
      <c r="C349" s="107"/>
      <c r="D349" s="95"/>
      <c r="E349" s="149"/>
      <c r="F349" s="149"/>
      <c r="G349" s="95"/>
      <c r="H349" s="149"/>
      <c r="I349" s="95"/>
      <c r="J349" s="95"/>
      <c r="K349" s="158"/>
      <c r="L349" s="158"/>
      <c r="M349" s="100"/>
      <c r="N349" s="127"/>
      <c r="O349" s="128"/>
      <c r="P349" s="95"/>
      <c r="Q349" s="137"/>
      <c r="R349" s="129"/>
      <c r="S349" s="95"/>
      <c r="T349" s="95"/>
      <c r="V349" s="107"/>
    </row>
    <row r="350" ht="15.75" customHeight="1">
      <c r="A350" s="89"/>
      <c r="B350" s="182"/>
      <c r="C350" s="149"/>
      <c r="D350" s="95"/>
      <c r="E350" s="149"/>
      <c r="F350" s="149"/>
      <c r="G350" s="95"/>
      <c r="H350" s="149"/>
      <c r="I350" s="95"/>
      <c r="J350" s="95"/>
      <c r="K350" s="158"/>
      <c r="L350" s="158"/>
      <c r="M350" s="100"/>
      <c r="N350" s="127"/>
      <c r="O350" s="128"/>
      <c r="P350" s="95"/>
      <c r="Q350" s="137"/>
      <c r="R350" s="129"/>
      <c r="S350" s="95"/>
      <c r="T350" s="95"/>
      <c r="V350" s="107"/>
    </row>
    <row r="351" ht="15.75" customHeight="1">
      <c r="A351" s="89"/>
      <c r="B351" s="182"/>
      <c r="C351" s="149"/>
      <c r="D351" s="95"/>
      <c r="E351" s="149"/>
      <c r="F351" s="149"/>
      <c r="G351" s="95"/>
      <c r="H351" s="149"/>
      <c r="I351" s="95"/>
      <c r="J351" s="95"/>
      <c r="K351" s="158"/>
      <c r="L351" s="158"/>
      <c r="M351" s="100"/>
      <c r="N351" s="127"/>
      <c r="O351" s="128"/>
      <c r="P351" s="95"/>
      <c r="Q351" s="137"/>
      <c r="R351" s="129"/>
      <c r="S351" s="95"/>
      <c r="T351" s="95"/>
      <c r="V351" s="107"/>
    </row>
    <row r="352" ht="15.75" customHeight="1">
      <c r="A352" s="89"/>
      <c r="B352" s="182"/>
      <c r="C352" s="149"/>
      <c r="D352" s="95"/>
      <c r="E352" s="149"/>
      <c r="F352" s="149"/>
      <c r="G352" s="95"/>
      <c r="H352" s="149"/>
      <c r="I352" s="95"/>
      <c r="J352" s="95"/>
      <c r="K352" s="158"/>
      <c r="L352" s="158"/>
      <c r="M352" s="100"/>
      <c r="N352" s="127"/>
      <c r="O352" s="128"/>
      <c r="P352" s="95"/>
      <c r="Q352" s="137"/>
      <c r="R352" s="129"/>
      <c r="S352" s="95"/>
      <c r="T352" s="95"/>
      <c r="V352" s="107"/>
    </row>
    <row r="353" ht="15.75" customHeight="1">
      <c r="A353" s="89"/>
      <c r="B353" s="182"/>
      <c r="C353" s="149"/>
      <c r="D353" s="95"/>
      <c r="E353" s="149"/>
      <c r="F353" s="149"/>
      <c r="G353" s="95"/>
      <c r="H353" s="149"/>
      <c r="I353" s="95"/>
      <c r="J353" s="95"/>
      <c r="K353" s="158"/>
      <c r="L353" s="158"/>
      <c r="M353" s="100"/>
      <c r="N353" s="127"/>
      <c r="O353" s="128"/>
      <c r="P353" s="95"/>
      <c r="Q353" s="137"/>
      <c r="R353" s="129"/>
      <c r="S353" s="95"/>
      <c r="T353" s="95"/>
      <c r="V353" s="107"/>
    </row>
    <row r="354" ht="15.75" customHeight="1">
      <c r="A354" s="89"/>
      <c r="B354" s="182"/>
      <c r="C354" s="149"/>
      <c r="D354" s="95"/>
      <c r="E354" s="149"/>
      <c r="F354" s="149"/>
      <c r="G354" s="95"/>
      <c r="H354" s="149"/>
      <c r="I354" s="95"/>
      <c r="J354" s="95"/>
      <c r="K354" s="158"/>
      <c r="L354" s="158"/>
      <c r="M354" s="100"/>
      <c r="N354" s="127"/>
      <c r="O354" s="128"/>
      <c r="P354" s="95"/>
      <c r="Q354" s="137"/>
      <c r="R354" s="129"/>
      <c r="S354" s="95"/>
      <c r="T354" s="95"/>
      <c r="V354" s="107"/>
    </row>
    <row r="355" ht="15.75" customHeight="1">
      <c r="A355" s="89"/>
      <c r="B355" s="182"/>
      <c r="C355" s="107"/>
      <c r="D355" s="95"/>
      <c r="E355" s="149"/>
      <c r="F355" s="149"/>
      <c r="G355" s="95"/>
      <c r="H355" s="149"/>
      <c r="I355" s="95"/>
      <c r="J355" s="95"/>
      <c r="K355" s="158"/>
      <c r="L355" s="158"/>
      <c r="M355" s="100"/>
      <c r="N355" s="127"/>
      <c r="O355" s="128"/>
      <c r="P355" s="95"/>
      <c r="Q355" s="137"/>
      <c r="R355" s="129"/>
      <c r="S355" s="95"/>
      <c r="T355" s="95"/>
      <c r="V355" s="107"/>
    </row>
    <row r="356" ht="15.75" customHeight="1">
      <c r="A356" s="89"/>
      <c r="B356" s="182"/>
      <c r="C356" s="149"/>
      <c r="D356" s="95"/>
      <c r="E356" s="149"/>
      <c r="F356" s="149"/>
      <c r="G356" s="95"/>
      <c r="H356" s="149"/>
      <c r="I356" s="95"/>
      <c r="J356" s="95"/>
      <c r="K356" s="158"/>
      <c r="L356" s="158"/>
      <c r="M356" s="100"/>
      <c r="N356" s="127"/>
      <c r="O356" s="128"/>
      <c r="P356" s="95"/>
      <c r="Q356" s="137"/>
      <c r="R356" s="129"/>
      <c r="S356" s="95"/>
      <c r="T356" s="95"/>
      <c r="V356" s="107"/>
    </row>
    <row r="357" ht="15.75" customHeight="1">
      <c r="A357" s="89"/>
      <c r="B357" s="182"/>
      <c r="C357" s="149"/>
      <c r="D357" s="95"/>
      <c r="E357" s="149"/>
      <c r="F357" s="149"/>
      <c r="G357" s="95"/>
      <c r="H357" s="149"/>
      <c r="I357" s="95"/>
      <c r="J357" s="95"/>
      <c r="K357" s="158"/>
      <c r="L357" s="158"/>
      <c r="M357" s="100"/>
      <c r="N357" s="127"/>
      <c r="O357" s="128"/>
      <c r="P357" s="95"/>
      <c r="Q357" s="137"/>
      <c r="R357" s="129"/>
      <c r="S357" s="95"/>
      <c r="T357" s="95"/>
      <c r="V357" s="107"/>
    </row>
    <row r="358" ht="15.75" customHeight="1">
      <c r="A358" s="89"/>
      <c r="B358" s="182"/>
      <c r="C358" s="149"/>
      <c r="D358" s="95"/>
      <c r="E358" s="149"/>
      <c r="F358" s="149"/>
      <c r="G358" s="95"/>
      <c r="H358" s="149"/>
      <c r="I358" s="95"/>
      <c r="J358" s="95"/>
      <c r="K358" s="158"/>
      <c r="L358" s="158"/>
      <c r="M358" s="100"/>
      <c r="N358" s="127"/>
      <c r="O358" s="128"/>
      <c r="P358" s="95"/>
      <c r="Q358" s="137"/>
      <c r="R358" s="129"/>
      <c r="S358" s="95"/>
      <c r="T358" s="95"/>
      <c r="V358" s="107"/>
    </row>
    <row r="359" ht="15.75" customHeight="1">
      <c r="A359" s="89"/>
      <c r="B359" s="182"/>
      <c r="C359" s="149"/>
      <c r="D359" s="95"/>
      <c r="E359" s="149"/>
      <c r="F359" s="149"/>
      <c r="G359" s="95"/>
      <c r="H359" s="149"/>
      <c r="I359" s="95"/>
      <c r="J359" s="95"/>
      <c r="K359" s="158"/>
      <c r="L359" s="158"/>
      <c r="M359" s="100"/>
      <c r="N359" s="127"/>
      <c r="O359" s="128"/>
      <c r="P359" s="95"/>
      <c r="Q359" s="137"/>
      <c r="R359" s="129"/>
      <c r="S359" s="95"/>
      <c r="T359" s="95"/>
      <c r="V359" s="107"/>
    </row>
    <row r="360" ht="15.75" customHeight="1">
      <c r="A360" s="89"/>
      <c r="B360" s="182"/>
      <c r="C360" s="149"/>
      <c r="D360" s="95"/>
      <c r="E360" s="149"/>
      <c r="F360" s="149"/>
      <c r="G360" s="95"/>
      <c r="H360" s="149"/>
      <c r="I360" s="95"/>
      <c r="J360" s="95"/>
      <c r="K360" s="158"/>
      <c r="L360" s="158"/>
      <c r="M360" s="100"/>
      <c r="N360" s="127"/>
      <c r="O360" s="128"/>
      <c r="P360" s="95"/>
      <c r="Q360" s="137"/>
      <c r="R360" s="129"/>
      <c r="S360" s="95"/>
      <c r="T360" s="95"/>
      <c r="V360" s="107"/>
    </row>
  </sheetData>
  <autoFilter ref="$A$12:$V$109"/>
  <customSheetViews>
    <customSheetView guid="{3D5205AB-724F-426F-9D73-83BFCBF63977}" filter="1" showAutoFilter="1">
      <autoFilter ref="$R$18:$R$21"/>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29 S3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 type="list" allowBlank="1" showErrorMessage="1" sqref="I13:J15 I16 I17:J21 I22 I23:J29 I30:I32 I33:J35 I36 I37:J102 I103:I109 I110:J360">
      <formula1>"Full-Pay,split-pay,Deposit,Offer &amp; Didn't Buy,Bad Fit &amp; No Offer,Rescheduled,Cancelled,No-Show"</formula1>
    </dataValidation>
  </dataValidations>
  <hyperlinks>
    <hyperlink r:id="rId2" ref="R13"/>
    <hyperlink r:id="rId3" ref="R14"/>
    <hyperlink r:id="rId4" ref="R15"/>
    <hyperlink r:id="rId5" ref="R16"/>
    <hyperlink r:id="rId6" ref="R17"/>
    <hyperlink r:id="rId7" ref="R18"/>
  </hyperlinks>
  <drawing r:id="rId8"/>
  <legacyDrawing r:id="rId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4.0"/>
    <col customWidth="1" min="4" max="4" width="0.38"/>
    <col customWidth="1" min="5" max="5" width="15.13"/>
    <col customWidth="1" min="6" max="6" width="22.38"/>
    <col customWidth="1" min="7" max="7" width="0.38"/>
    <col customWidth="1" min="8" max="8" width="15.63"/>
    <col customWidth="1" min="9" max="9" width="13.88"/>
    <col customWidth="1" min="10" max="10" width="0.38"/>
    <col customWidth="1" min="13" max="13" width="0.38"/>
    <col customWidth="1" min="15" max="15" width="31.0"/>
    <col customWidth="1" min="16" max="16" width="0.5"/>
    <col customWidth="1" min="17" max="17" width="13.13"/>
    <col customWidth="1" min="19" max="19" width="16.5"/>
    <col customWidth="1" min="21" max="21" width="23.75"/>
    <col customWidth="1" min="22" max="22" width="0.38"/>
  </cols>
  <sheetData>
    <row r="1">
      <c r="A1" s="35"/>
      <c r="B1" s="87" t="s">
        <v>31</v>
      </c>
      <c r="C1" s="87" t="s">
        <v>77</v>
      </c>
      <c r="D1" s="35"/>
      <c r="E1" s="38" t="s">
        <v>33</v>
      </c>
      <c r="F1" s="39"/>
      <c r="G1" s="35"/>
      <c r="H1" s="38" t="s">
        <v>34</v>
      </c>
      <c r="I1" s="39"/>
      <c r="J1" s="13"/>
      <c r="K1" s="159" t="s">
        <v>35</v>
      </c>
      <c r="L1" s="41"/>
      <c r="M1" s="13"/>
      <c r="N1" s="38" t="s">
        <v>36</v>
      </c>
      <c r="O1" s="42"/>
      <c r="P1" s="35"/>
      <c r="Q1" s="38" t="s">
        <v>37</v>
      </c>
      <c r="R1" s="43"/>
      <c r="S1" s="39"/>
      <c r="T1" s="39"/>
      <c r="U1" s="35" t="s">
        <v>38</v>
      </c>
      <c r="V1" s="35"/>
    </row>
    <row r="2">
      <c r="A2" s="35"/>
      <c r="B2" s="39"/>
      <c r="C2" s="39"/>
      <c r="D2" s="13"/>
      <c r="E2" s="160" t="s">
        <v>26</v>
      </c>
      <c r="F2" s="161">
        <f>IFERROR(COUNTIFS(I13:I287, "Full-Pay"),"")</f>
        <v>0</v>
      </c>
      <c r="G2" s="13"/>
      <c r="H2" s="46" t="s">
        <v>16</v>
      </c>
      <c r="I2" s="47" t="str">
        <f>iferror(I10/I8,"")</f>
        <v/>
      </c>
      <c r="J2" s="12"/>
      <c r="K2" s="162" t="s">
        <v>39</v>
      </c>
      <c r="L2" s="49" t="str">
        <f>iferror(F8/I6,"")</f>
        <v/>
      </c>
      <c r="M2" s="12"/>
      <c r="N2" s="50" t="s">
        <v>40</v>
      </c>
      <c r="O2" s="51">
        <f>IFERROR(COUNTIFS(N13:N286, "think about it"),"")</f>
        <v>0</v>
      </c>
      <c r="P2" s="13"/>
      <c r="Q2" s="52" t="s">
        <v>41</v>
      </c>
      <c r="R2" s="53">
        <f>IFERROR(COUNTIF(H13:H286,Q2),"")</f>
        <v>0</v>
      </c>
      <c r="S2" s="52" t="s">
        <v>42</v>
      </c>
      <c r="T2" s="54">
        <f>IFERROR(COUNTIF(H13:H286,S2),"")</f>
        <v>0</v>
      </c>
      <c r="U2" s="35"/>
      <c r="V2" s="55"/>
    </row>
    <row r="3">
      <c r="A3" s="13"/>
      <c r="B3" s="163" t="s">
        <v>43</v>
      </c>
      <c r="C3" s="57">
        <f>IFERROR(SUM(K13:K283),"")</f>
        <v>0</v>
      </c>
      <c r="D3" s="58"/>
      <c r="E3" s="160" t="s">
        <v>27</v>
      </c>
      <c r="F3" s="161">
        <f>IFERROR(COUNTIFS(I13:I287, "Split-Pay"),"")</f>
        <v>0</v>
      </c>
      <c r="G3" s="13"/>
      <c r="H3" s="46" t="s">
        <v>17</v>
      </c>
      <c r="I3" s="47" t="str">
        <f>IFERROR(I10/I9,"")</f>
        <v/>
      </c>
      <c r="J3" s="12"/>
      <c r="K3" s="162" t="s">
        <v>44</v>
      </c>
      <c r="L3" s="49" t="str">
        <f>iferror(F9/I6,"")</f>
        <v/>
      </c>
      <c r="M3" s="12"/>
      <c r="N3" s="50" t="s">
        <v>45</v>
      </c>
      <c r="O3" s="59">
        <f>IFERROR(COUNTIFS(N13:N286, "money"),"")</f>
        <v>0</v>
      </c>
      <c r="P3" s="13"/>
      <c r="Q3" s="52" t="s">
        <v>46</v>
      </c>
      <c r="R3" s="53">
        <f>IFERROR(COUNTIF(H13:H286,Q3),"")</f>
        <v>0</v>
      </c>
      <c r="S3" s="52" t="s">
        <v>47</v>
      </c>
      <c r="T3" s="54">
        <f>IFERROR(COUNTIF(H13:H286,S3),"")</f>
        <v>0</v>
      </c>
      <c r="U3" s="35"/>
      <c r="V3" s="55"/>
    </row>
    <row r="4">
      <c r="A4" s="13"/>
      <c r="B4" s="164" t="s">
        <v>48</v>
      </c>
      <c r="C4" s="61">
        <f>IFERROR(SUM(L13:L284),"")</f>
        <v>0</v>
      </c>
      <c r="D4" s="58"/>
      <c r="E4" s="160" t="s">
        <v>28</v>
      </c>
      <c r="F4" s="161">
        <f>IFERROR(COUNTIFS(I13:I287, "Deposit"),"")</f>
        <v>0</v>
      </c>
      <c r="G4" s="13"/>
      <c r="H4" s="46" t="s">
        <v>18</v>
      </c>
      <c r="I4" s="47" t="str">
        <f>IFERROR(I9/I8,"")</f>
        <v/>
      </c>
      <c r="J4" s="12"/>
      <c r="K4" s="162" t="s">
        <v>49</v>
      </c>
      <c r="L4" s="49" t="str">
        <f>iferror(F10/I6,"")</f>
        <v/>
      </c>
      <c r="M4" s="12"/>
      <c r="N4" s="50" t="s">
        <v>50</v>
      </c>
      <c r="O4" s="51">
        <f>IFERROR(COUNTIFS(N13:N286, "time"),"")</f>
        <v>0</v>
      </c>
      <c r="P4" s="13"/>
      <c r="Q4" s="52" t="s">
        <v>51</v>
      </c>
      <c r="R4" s="53">
        <f>IFERROR(COUNTIF(H13:H286,Q4),"")</f>
        <v>0</v>
      </c>
      <c r="S4" s="52" t="s">
        <v>52</v>
      </c>
      <c r="T4" s="54">
        <f>IFERROR(COUNTIF(H13:H286,S4),"")</f>
        <v>0</v>
      </c>
      <c r="U4" s="35"/>
      <c r="V4" s="35"/>
    </row>
    <row r="5">
      <c r="A5" s="35"/>
      <c r="B5" s="39"/>
      <c r="C5" s="39"/>
      <c r="D5" s="13"/>
      <c r="E5" s="160" t="s">
        <v>53</v>
      </c>
      <c r="F5" s="161">
        <f>IFERROR(COUNTIFS(I13:I287, "Offer &amp; Didn't Buy"),"")</f>
        <v>0</v>
      </c>
      <c r="G5" s="13"/>
      <c r="H5" s="46" t="s">
        <v>54</v>
      </c>
      <c r="I5" s="47" t="str">
        <f>IFERROR(F7/(C6+F7+F8),"")</f>
        <v/>
      </c>
      <c r="J5" s="13"/>
      <c r="K5" s="162" t="s">
        <v>54</v>
      </c>
      <c r="L5" s="49" t="str">
        <f>iferror(F7/I6,"")</f>
        <v/>
      </c>
      <c r="M5" s="12"/>
      <c r="N5" s="50" t="s">
        <v>55</v>
      </c>
      <c r="O5" s="51">
        <f>IFERROR(COUNTIFS(N13:N286, "partner"),"")</f>
        <v>0</v>
      </c>
      <c r="P5" s="13"/>
      <c r="Q5" s="52" t="s">
        <v>56</v>
      </c>
      <c r="R5" s="53">
        <f>IFERROR(COUNTIF(H13:H286,Q5),"")</f>
        <v>0</v>
      </c>
      <c r="S5" s="52" t="s">
        <v>57</v>
      </c>
      <c r="T5" s="54">
        <f>IFERROR(COUNTIF(H13:H286,S5),"")</f>
        <v>0</v>
      </c>
      <c r="U5" s="35"/>
      <c r="V5" s="55"/>
    </row>
    <row r="6">
      <c r="A6" s="13"/>
      <c r="B6" s="165" t="s">
        <v>58</v>
      </c>
      <c r="C6" s="63">
        <f>IFERROR(SUM(F2:F6),"")</f>
        <v>0</v>
      </c>
      <c r="D6" s="13"/>
      <c r="E6" s="160" t="s">
        <v>59</v>
      </c>
      <c r="F6" s="161">
        <f>IFERROR(COUNTIFS(I13:I287, "Bad Fit &amp; No Offer"),"")</f>
        <v>0</v>
      </c>
      <c r="G6" s="13"/>
      <c r="H6" s="46" t="s">
        <v>21</v>
      </c>
      <c r="I6" s="64">
        <f>IFERROR(SUM(F2:F10),"")</f>
        <v>0</v>
      </c>
      <c r="J6" s="13"/>
      <c r="K6" s="166" t="s">
        <v>29</v>
      </c>
      <c r="L6" s="49" t="str">
        <f>iferror(I7/I6,"")</f>
        <v/>
      </c>
      <c r="M6" s="12"/>
      <c r="N6" s="50" t="s">
        <v>60</v>
      </c>
      <c r="O6" s="51">
        <f>IFERROR(COUNTIFS(N13:N286, "fear"),"")</f>
        <v>0</v>
      </c>
      <c r="P6" s="13"/>
      <c r="Q6" s="52" t="s">
        <v>61</v>
      </c>
      <c r="R6" s="53">
        <f>IFERROR(COUNTIF(H13:H286,Q6),"")</f>
        <v>0</v>
      </c>
      <c r="S6" s="52" t="s">
        <v>62</v>
      </c>
      <c r="T6" s="54">
        <f>IFERROR(COUNTIF(H13:H286,S6),"")</f>
        <v>0</v>
      </c>
      <c r="U6" s="35"/>
      <c r="V6" s="55"/>
    </row>
    <row r="7">
      <c r="A7" s="13"/>
      <c r="B7" s="165" t="s">
        <v>63</v>
      </c>
      <c r="C7" s="66">
        <f>IFERROR(F2+F3,"")</f>
        <v>0</v>
      </c>
      <c r="D7" s="13"/>
      <c r="E7" s="160" t="s">
        <v>64</v>
      </c>
      <c r="F7" s="161">
        <f>IFERROR(COUNTIFS(I13:I287, "Drag Over &amp; Show"),"")</f>
        <v>0</v>
      </c>
      <c r="G7" s="13"/>
      <c r="H7" s="46" t="s">
        <v>22</v>
      </c>
      <c r="I7" s="64">
        <f>IFERROR(SUM(F2:F7),"")</f>
        <v>0</v>
      </c>
      <c r="J7" s="13"/>
      <c r="K7" s="167" t="s">
        <v>30</v>
      </c>
      <c r="L7" s="68" t="str">
        <f>IFERROR(I8/I6,"")</f>
        <v/>
      </c>
      <c r="M7" s="12"/>
      <c r="N7" s="69" t="s">
        <v>65</v>
      </c>
      <c r="O7" s="70">
        <f>IFERROR(COUNTIFS(N14:N287, "value"),"")</f>
        <v>0</v>
      </c>
      <c r="P7" s="13"/>
      <c r="Q7" s="52" t="s">
        <v>66</v>
      </c>
      <c r="R7" s="53">
        <f>IFERROR(COUNTIF(H13:H286,Q7),"")</f>
        <v>0</v>
      </c>
      <c r="S7" s="52" t="s">
        <v>67</v>
      </c>
      <c r="T7" s="54">
        <f>IFERROR(COUNTIF(H13:H286,S7),"")</f>
        <v>0</v>
      </c>
      <c r="U7" s="35"/>
      <c r="V7" s="35"/>
    </row>
    <row r="8">
      <c r="A8" s="13"/>
      <c r="B8" s="165" t="s">
        <v>68</v>
      </c>
      <c r="C8" s="71">
        <f>COUNTIF(I13:I286,"offer &amp; didn't buy")+countif(I13:I286,"deposit")+countif(I13:I286,"bad fit &amp; no offer")</f>
        <v>0</v>
      </c>
      <c r="D8" s="72"/>
      <c r="E8" s="160" t="s">
        <v>69</v>
      </c>
      <c r="F8" s="161">
        <f>IFERROR(COUNTIFS(I13:I287, "Rescheduled"),"")</f>
        <v>0</v>
      </c>
      <c r="G8" s="13"/>
      <c r="H8" s="46" t="s">
        <v>23</v>
      </c>
      <c r="I8" s="64">
        <f>IFERROR(SUM(F2:F6),"")</f>
        <v>0</v>
      </c>
      <c r="J8" s="35"/>
      <c r="K8" s="35"/>
      <c r="L8" s="35"/>
      <c r="M8" s="35"/>
      <c r="N8" s="35"/>
      <c r="O8" s="74"/>
      <c r="P8" s="13"/>
      <c r="Q8" s="75" t="s">
        <v>70</v>
      </c>
      <c r="R8" s="76">
        <f>IFERROR(COUNTIF(H13:H286,Q8),"")</f>
        <v>0</v>
      </c>
      <c r="S8" s="75" t="s">
        <v>71</v>
      </c>
      <c r="T8" s="77">
        <f>IFERROR(COUNTIF(H13:H286,S8),"")</f>
        <v>0</v>
      </c>
      <c r="U8" s="35"/>
      <c r="V8" s="35"/>
    </row>
    <row r="9">
      <c r="A9" s="13"/>
      <c r="B9" s="165" t="s">
        <v>72</v>
      </c>
      <c r="C9" s="78" t="str">
        <f>iferror(SUM(C7/C6),"")</f>
        <v/>
      </c>
      <c r="D9" s="12"/>
      <c r="E9" s="160" t="s">
        <v>73</v>
      </c>
      <c r="F9" s="161">
        <f>IFERROR(COUNTIFS(I13:I287, "Cancelled"),"")</f>
        <v>0</v>
      </c>
      <c r="G9" s="13"/>
      <c r="H9" s="46" t="s">
        <v>24</v>
      </c>
      <c r="I9" s="64">
        <f>IFERROR(sum(F2:F5),"")</f>
        <v>0</v>
      </c>
      <c r="J9" s="35"/>
      <c r="K9" s="35"/>
      <c r="L9" s="35"/>
      <c r="M9" s="35"/>
      <c r="N9" s="35"/>
      <c r="O9" s="74"/>
      <c r="P9" s="35"/>
      <c r="Q9" s="35"/>
      <c r="R9" s="35"/>
      <c r="S9" s="35"/>
      <c r="T9" s="35"/>
      <c r="V9" s="35"/>
    </row>
    <row r="10">
      <c r="A10" s="35"/>
      <c r="B10" s="35"/>
      <c r="C10" s="35"/>
      <c r="D10" s="13"/>
      <c r="E10" s="168" t="s">
        <v>74</v>
      </c>
      <c r="F10" s="169">
        <f>IFERROR(COUNTIFS(I13:I287, "No-Show"),"")</f>
        <v>0</v>
      </c>
      <c r="G10" s="13"/>
      <c r="H10" s="81" t="s">
        <v>75</v>
      </c>
      <c r="I10" s="82">
        <f>F2+F3</f>
        <v>0</v>
      </c>
      <c r="J10" s="35"/>
      <c r="K10" s="35"/>
      <c r="L10" s="35"/>
      <c r="M10" s="35"/>
      <c r="N10" s="35"/>
      <c r="O10" s="74"/>
      <c r="P10" s="35"/>
      <c r="Q10" s="35"/>
      <c r="R10" s="35"/>
      <c r="S10" s="35"/>
      <c r="T10" s="35"/>
      <c r="V10" s="35"/>
    </row>
    <row r="11" ht="6.0" customHeight="1">
      <c r="A11" s="35"/>
      <c r="B11" s="35"/>
      <c r="C11" s="35"/>
      <c r="D11" s="35"/>
      <c r="E11" s="35"/>
      <c r="F11" s="35"/>
      <c r="G11" s="35"/>
      <c r="H11" s="35"/>
      <c r="I11" s="35"/>
      <c r="J11" s="35"/>
      <c r="K11" s="35"/>
      <c r="L11" s="35"/>
      <c r="M11" s="35"/>
      <c r="N11" s="35"/>
      <c r="O11" s="74"/>
      <c r="P11" s="35"/>
      <c r="Q11" s="35"/>
      <c r="R11" s="35"/>
      <c r="S11" s="35"/>
      <c r="T11" s="35"/>
      <c r="V11" s="35"/>
    </row>
    <row r="12">
      <c r="A12" s="35"/>
      <c r="B12" s="85" t="s">
        <v>76</v>
      </c>
      <c r="C12" s="85" t="s">
        <v>77</v>
      </c>
      <c r="D12" s="35"/>
      <c r="E12" s="87" t="s">
        <v>78</v>
      </c>
      <c r="F12" s="87" t="s">
        <v>56</v>
      </c>
      <c r="G12" s="35"/>
      <c r="H12" s="87" t="s">
        <v>37</v>
      </c>
      <c r="I12" s="87" t="s">
        <v>33</v>
      </c>
      <c r="J12" s="35"/>
      <c r="K12" s="87" t="s">
        <v>79</v>
      </c>
      <c r="L12" s="87" t="s">
        <v>48</v>
      </c>
      <c r="M12" s="35"/>
      <c r="N12" s="87" t="s">
        <v>80</v>
      </c>
      <c r="O12" s="88" t="s">
        <v>81</v>
      </c>
      <c r="P12" s="35"/>
      <c r="Q12" s="87" t="s">
        <v>82</v>
      </c>
      <c r="R12" s="87" t="s">
        <v>83</v>
      </c>
      <c r="S12" s="87" t="s">
        <v>84</v>
      </c>
      <c r="T12" s="87" t="s">
        <v>85</v>
      </c>
      <c r="V12" s="55"/>
    </row>
    <row r="13" ht="15.75" customHeight="1">
      <c r="A13" s="89"/>
      <c r="B13" s="96"/>
      <c r="C13" s="184"/>
      <c r="D13" s="92"/>
      <c r="E13" s="184"/>
      <c r="F13" s="194"/>
      <c r="G13" s="95"/>
      <c r="H13" s="96"/>
      <c r="I13" s="97"/>
      <c r="J13" s="95"/>
      <c r="K13" s="99"/>
      <c r="L13" s="99"/>
      <c r="M13" s="100"/>
      <c r="N13" s="101"/>
      <c r="O13" s="102"/>
      <c r="P13" s="95"/>
      <c r="Q13" s="103"/>
      <c r="R13" s="106"/>
      <c r="S13" s="103"/>
      <c r="T13" s="105"/>
      <c r="U13" s="106"/>
      <c r="V13" s="107"/>
    </row>
    <row r="14" ht="15.75" customHeight="1">
      <c r="A14" s="89"/>
      <c r="B14" s="96"/>
      <c r="C14" s="184"/>
      <c r="D14" s="92"/>
      <c r="E14" s="130"/>
      <c r="F14" s="194"/>
      <c r="G14" s="95"/>
      <c r="H14" s="96"/>
      <c r="I14" s="97"/>
      <c r="J14" s="95"/>
      <c r="K14" s="99"/>
      <c r="L14" s="99"/>
      <c r="M14" s="100"/>
      <c r="N14" s="101"/>
      <c r="O14" s="102"/>
      <c r="P14" s="95"/>
      <c r="Q14" s="103"/>
      <c r="R14" s="115"/>
      <c r="S14" s="103"/>
      <c r="T14" s="105"/>
      <c r="U14" s="106"/>
      <c r="V14" s="107"/>
    </row>
    <row r="15" ht="15.75" customHeight="1">
      <c r="A15" s="95"/>
      <c r="B15" s="96"/>
      <c r="C15" s="210"/>
      <c r="D15" s="95"/>
      <c r="E15" s="222"/>
      <c r="F15" s="94"/>
      <c r="G15" s="95"/>
      <c r="H15" s="96"/>
      <c r="I15" s="97"/>
      <c r="J15" s="95"/>
      <c r="K15" s="99"/>
      <c r="L15" s="99"/>
      <c r="M15" s="100"/>
      <c r="N15" s="101"/>
      <c r="O15" s="102"/>
      <c r="P15" s="95"/>
      <c r="Q15" s="103"/>
      <c r="R15" s="115"/>
      <c r="S15" s="103"/>
      <c r="T15" s="110"/>
      <c r="U15" s="103"/>
      <c r="V15" s="107"/>
    </row>
    <row r="16" ht="15.75" customHeight="1">
      <c r="A16" s="95"/>
      <c r="B16" s="96"/>
      <c r="C16" s="210"/>
      <c r="D16" s="103"/>
      <c r="E16" s="130"/>
      <c r="F16" s="194"/>
      <c r="G16" s="95"/>
      <c r="H16" s="96"/>
      <c r="I16" s="97"/>
      <c r="J16" s="95"/>
      <c r="K16" s="99"/>
      <c r="L16" s="99"/>
      <c r="M16" s="100"/>
      <c r="N16" s="101"/>
      <c r="O16" s="102"/>
      <c r="P16" s="95"/>
      <c r="Q16" s="103"/>
      <c r="R16" s="115"/>
      <c r="S16" s="103"/>
      <c r="T16" s="116"/>
      <c r="U16" s="103"/>
      <c r="V16" s="107"/>
    </row>
    <row r="17" ht="15.75" customHeight="1">
      <c r="A17" s="95"/>
      <c r="B17" s="96"/>
      <c r="C17" s="211"/>
      <c r="D17" s="95"/>
      <c r="E17" s="130"/>
      <c r="F17" s="194"/>
      <c r="G17" s="95"/>
      <c r="H17" s="96"/>
      <c r="I17" s="97"/>
      <c r="J17" s="95"/>
      <c r="K17" s="99"/>
      <c r="L17" s="99"/>
      <c r="M17" s="100"/>
      <c r="N17" s="101"/>
      <c r="O17" s="102"/>
      <c r="P17" s="95"/>
      <c r="Q17" s="103"/>
      <c r="R17" s="115"/>
      <c r="S17" s="103"/>
      <c r="T17" s="103"/>
      <c r="V17" s="107"/>
    </row>
    <row r="18" ht="15.75" customHeight="1">
      <c r="A18" s="95"/>
      <c r="B18" s="96"/>
      <c r="C18" s="212"/>
      <c r="D18" s="95"/>
      <c r="E18" s="213"/>
      <c r="F18" s="146"/>
      <c r="G18" s="95"/>
      <c r="H18" s="96"/>
      <c r="I18" s="97"/>
      <c r="J18" s="95"/>
      <c r="K18" s="113"/>
      <c r="L18" s="113"/>
      <c r="M18" s="100"/>
      <c r="N18" s="127"/>
      <c r="O18" s="102"/>
      <c r="P18" s="95"/>
      <c r="Q18" s="103"/>
      <c r="R18" s="106"/>
      <c r="S18" s="103"/>
      <c r="T18" s="119"/>
      <c r="U18" s="95"/>
      <c r="V18" s="107"/>
    </row>
    <row r="19" ht="15.75" customHeight="1">
      <c r="A19" s="95"/>
      <c r="B19" s="96"/>
      <c r="C19" s="119"/>
      <c r="D19" s="95"/>
      <c r="E19" s="130"/>
      <c r="F19" s="194"/>
      <c r="G19" s="95"/>
      <c r="H19" s="96"/>
      <c r="I19" s="97"/>
      <c r="J19" s="95"/>
      <c r="K19" s="99"/>
      <c r="L19" s="99"/>
      <c r="M19" s="100"/>
      <c r="N19" s="101"/>
      <c r="O19" s="128"/>
      <c r="P19" s="95"/>
      <c r="Q19" s="103"/>
      <c r="R19" s="106"/>
      <c r="S19" s="103"/>
      <c r="T19" s="119"/>
      <c r="U19" s="95"/>
      <c r="V19" s="107"/>
    </row>
    <row r="20" ht="15.75" customHeight="1">
      <c r="A20" s="95"/>
      <c r="B20" s="119"/>
      <c r="C20" s="119"/>
      <c r="D20" s="95"/>
      <c r="E20" s="130"/>
      <c r="F20" s="194"/>
      <c r="G20" s="95"/>
      <c r="H20" s="96"/>
      <c r="I20" s="97"/>
      <c r="J20" s="95"/>
      <c r="K20" s="113"/>
      <c r="L20" s="113"/>
      <c r="M20" s="100"/>
      <c r="N20" s="101"/>
      <c r="O20" s="102"/>
      <c r="P20" s="95"/>
      <c r="Q20" s="103"/>
      <c r="R20" s="106"/>
      <c r="S20" s="103"/>
      <c r="T20" s="119"/>
      <c r="U20" s="95"/>
      <c r="V20" s="107"/>
    </row>
    <row r="21" ht="15.75" customHeight="1">
      <c r="A21" s="89"/>
      <c r="B21" s="96"/>
      <c r="C21" s="210"/>
      <c r="D21" s="95"/>
      <c r="E21" s="130"/>
      <c r="F21" s="194"/>
      <c r="G21" s="95"/>
      <c r="H21" s="96"/>
      <c r="I21" s="97"/>
      <c r="J21" s="95"/>
      <c r="K21" s="99"/>
      <c r="L21" s="99"/>
      <c r="M21" s="100"/>
      <c r="N21" s="101"/>
      <c r="O21" s="102"/>
      <c r="P21" s="95"/>
      <c r="Q21" s="103"/>
      <c r="R21" s="175"/>
      <c r="S21" s="103"/>
      <c r="T21" s="103"/>
      <c r="V21" s="107"/>
    </row>
    <row r="22" ht="15.75" customHeight="1">
      <c r="A22" s="89"/>
      <c r="B22" s="96"/>
      <c r="C22" s="97"/>
      <c r="D22" s="95"/>
      <c r="E22" s="130"/>
      <c r="F22" s="194"/>
      <c r="G22" s="95"/>
      <c r="H22" s="96"/>
      <c r="I22" s="97"/>
      <c r="J22" s="95"/>
      <c r="K22" s="113"/>
      <c r="L22" s="113"/>
      <c r="M22" s="100"/>
      <c r="N22" s="127"/>
      <c r="O22" s="102"/>
      <c r="P22" s="95"/>
      <c r="Q22" s="103"/>
      <c r="R22" s="129"/>
      <c r="S22" s="103"/>
      <c r="T22" s="103"/>
      <c r="V22" s="107"/>
    </row>
    <row r="23" ht="15.75" customHeight="1">
      <c r="A23" s="89"/>
      <c r="B23" s="96"/>
      <c r="C23" s="97"/>
      <c r="D23" s="95"/>
      <c r="E23" s="130"/>
      <c r="F23" s="194"/>
      <c r="G23" s="95"/>
      <c r="H23" s="96"/>
      <c r="I23" s="103"/>
      <c r="J23" s="95"/>
      <c r="K23" s="99"/>
      <c r="L23" s="99"/>
      <c r="M23" s="100"/>
      <c r="N23" s="101"/>
      <c r="O23" s="102"/>
      <c r="P23" s="95"/>
      <c r="Q23" s="103"/>
      <c r="R23" s="106"/>
      <c r="S23" s="103"/>
      <c r="T23" s="103"/>
      <c r="V23" s="107"/>
    </row>
    <row r="24" ht="15.75" customHeight="1">
      <c r="A24" s="89"/>
      <c r="B24" s="96"/>
      <c r="C24" s="97"/>
      <c r="D24" s="95"/>
      <c r="E24" s="130"/>
      <c r="F24" s="194"/>
      <c r="G24" s="95"/>
      <c r="H24" s="96"/>
      <c r="I24" s="103"/>
      <c r="J24" s="95"/>
      <c r="K24" s="99"/>
      <c r="L24" s="99"/>
      <c r="M24" s="100"/>
      <c r="N24" s="101"/>
      <c r="O24" s="102"/>
      <c r="P24" s="95"/>
      <c r="Q24" s="103"/>
      <c r="R24" s="106"/>
      <c r="S24" s="103"/>
      <c r="T24" s="103"/>
      <c r="V24" s="107"/>
    </row>
    <row r="25" ht="15.75" customHeight="1">
      <c r="A25" s="89"/>
      <c r="B25" s="96"/>
      <c r="C25" s="97"/>
      <c r="D25" s="95"/>
      <c r="E25" s="213"/>
      <c r="F25" s="216"/>
      <c r="G25" s="95"/>
      <c r="H25" s="96"/>
      <c r="I25" s="103"/>
      <c r="J25" s="95"/>
      <c r="K25" s="99"/>
      <c r="L25" s="99"/>
      <c r="M25" s="100"/>
      <c r="N25" s="101"/>
      <c r="O25" s="102"/>
      <c r="P25" s="95"/>
      <c r="Q25" s="114"/>
      <c r="R25" s="106"/>
      <c r="S25" s="103"/>
      <c r="T25" s="103"/>
      <c r="V25" s="107"/>
    </row>
    <row r="26" ht="15.75" customHeight="1">
      <c r="A26" s="89"/>
      <c r="B26" s="96"/>
      <c r="C26" s="97"/>
      <c r="D26" s="95"/>
      <c r="E26" s="213"/>
      <c r="F26" s="216"/>
      <c r="G26" s="95"/>
      <c r="H26" s="96"/>
      <c r="I26" s="103"/>
      <c r="J26" s="95"/>
      <c r="K26" s="113"/>
      <c r="L26" s="113"/>
      <c r="M26" s="100"/>
      <c r="N26" s="101"/>
      <c r="O26" s="102"/>
      <c r="P26" s="95"/>
      <c r="Q26" s="114"/>
      <c r="R26" s="106"/>
      <c r="S26" s="103"/>
      <c r="T26" s="103"/>
      <c r="V26" s="107"/>
    </row>
    <row r="27" ht="15.75" customHeight="1">
      <c r="A27" s="89"/>
      <c r="B27" s="96"/>
      <c r="C27" s="97"/>
      <c r="D27" s="95"/>
      <c r="E27" s="213"/>
      <c r="F27" s="123"/>
      <c r="G27" s="95"/>
      <c r="H27" s="96"/>
      <c r="I27" s="103"/>
      <c r="J27" s="95"/>
      <c r="K27" s="99"/>
      <c r="L27" s="99"/>
      <c r="M27" s="100"/>
      <c r="N27" s="127"/>
      <c r="O27" s="102"/>
      <c r="P27" s="95"/>
      <c r="Q27" s="95"/>
      <c r="R27" s="129"/>
      <c r="S27" s="95"/>
      <c r="T27" s="95"/>
      <c r="V27" s="107"/>
    </row>
    <row r="28" ht="15.75" customHeight="1">
      <c r="A28" s="89"/>
      <c r="B28" s="96"/>
      <c r="C28" s="97"/>
      <c r="D28" s="95"/>
      <c r="E28" s="130"/>
      <c r="F28" s="194"/>
      <c r="G28" s="95"/>
      <c r="H28" s="96"/>
      <c r="I28" s="103"/>
      <c r="J28" s="95"/>
      <c r="K28" s="99"/>
      <c r="L28" s="99"/>
      <c r="M28" s="100"/>
      <c r="N28" s="101"/>
      <c r="O28" s="102"/>
      <c r="P28" s="95"/>
      <c r="Q28" s="103"/>
      <c r="R28" s="115"/>
      <c r="S28" s="103"/>
      <c r="T28" s="103"/>
      <c r="V28" s="107"/>
    </row>
    <row r="29" ht="15.75" customHeight="1">
      <c r="A29" s="89"/>
      <c r="B29" s="96"/>
      <c r="C29" s="103"/>
      <c r="D29" s="95"/>
      <c r="E29" s="130"/>
      <c r="F29" s="194"/>
      <c r="G29" s="95"/>
      <c r="H29" s="96"/>
      <c r="I29" s="103"/>
      <c r="J29" s="95"/>
      <c r="K29" s="99"/>
      <c r="L29" s="99"/>
      <c r="M29" s="100"/>
      <c r="N29" s="127"/>
      <c r="O29" s="102"/>
      <c r="P29" s="95"/>
      <c r="Q29" s="103"/>
      <c r="R29" s="106"/>
      <c r="S29" s="103"/>
      <c r="T29" s="103"/>
      <c r="V29" s="107"/>
    </row>
    <row r="30" ht="15.75" customHeight="1">
      <c r="A30" s="89"/>
      <c r="B30" s="177"/>
      <c r="C30" s="97"/>
      <c r="D30" s="95"/>
      <c r="E30" s="176"/>
      <c r="F30" s="144"/>
      <c r="G30" s="95"/>
      <c r="H30" s="96"/>
      <c r="I30" s="103"/>
      <c r="J30" s="95"/>
      <c r="K30" s="113"/>
      <c r="L30" s="113"/>
      <c r="M30" s="100"/>
      <c r="N30" s="127"/>
      <c r="O30" s="128"/>
      <c r="P30" s="95"/>
      <c r="Q30" s="95"/>
      <c r="R30" s="129"/>
      <c r="S30" s="95"/>
      <c r="T30" s="95"/>
      <c r="V30" s="107"/>
    </row>
    <row r="31" ht="15.75" customHeight="1">
      <c r="A31" s="89"/>
      <c r="B31" s="177"/>
      <c r="C31" s="97"/>
      <c r="D31" s="95"/>
      <c r="E31" s="176"/>
      <c r="F31" s="144"/>
      <c r="G31" s="95"/>
      <c r="H31" s="96"/>
      <c r="I31" s="103"/>
      <c r="J31" s="95"/>
      <c r="K31" s="99"/>
      <c r="L31" s="99"/>
      <c r="M31" s="100"/>
      <c r="N31" s="101"/>
      <c r="O31" s="102"/>
      <c r="P31" s="95"/>
      <c r="Q31" s="114"/>
      <c r="R31" s="106"/>
      <c r="S31" s="103"/>
      <c r="T31" s="103"/>
      <c r="V31" s="107"/>
    </row>
    <row r="32" ht="15.75" customHeight="1">
      <c r="A32" s="89"/>
      <c r="B32" s="177"/>
      <c r="C32" s="97"/>
      <c r="D32" s="95"/>
      <c r="E32" s="176"/>
      <c r="F32" s="144"/>
      <c r="G32" s="95"/>
      <c r="H32" s="96"/>
      <c r="I32" s="103"/>
      <c r="J32" s="95"/>
      <c r="K32" s="113"/>
      <c r="L32" s="113"/>
      <c r="M32" s="100"/>
      <c r="N32" s="127"/>
      <c r="O32" s="128"/>
      <c r="P32" s="95"/>
      <c r="Q32" s="95"/>
      <c r="R32" s="129"/>
      <c r="S32" s="95"/>
      <c r="T32" s="95"/>
      <c r="V32" s="107"/>
    </row>
    <row r="33" ht="15.75" customHeight="1">
      <c r="A33" s="89"/>
      <c r="B33" s="177"/>
      <c r="C33" s="97"/>
      <c r="D33" s="95"/>
      <c r="E33" s="176"/>
      <c r="F33" s="146"/>
      <c r="G33" s="95"/>
      <c r="H33" s="96"/>
      <c r="I33" s="103"/>
      <c r="J33" s="95"/>
      <c r="K33" s="99"/>
      <c r="L33" s="99"/>
      <c r="M33" s="100"/>
      <c r="N33" s="101"/>
      <c r="O33" s="102"/>
      <c r="P33" s="95"/>
      <c r="Q33" s="114"/>
      <c r="R33" s="106"/>
      <c r="S33" s="103"/>
      <c r="T33" s="103"/>
      <c r="V33" s="107"/>
    </row>
    <row r="34" ht="15.75" customHeight="1">
      <c r="A34" s="89"/>
      <c r="B34" s="177"/>
      <c r="C34" s="97"/>
      <c r="D34" s="95"/>
      <c r="E34" s="176"/>
      <c r="F34" s="144"/>
      <c r="G34" s="95"/>
      <c r="H34" s="96"/>
      <c r="I34" s="103"/>
      <c r="J34" s="95"/>
      <c r="K34" s="113"/>
      <c r="L34" s="113"/>
      <c r="M34" s="100"/>
      <c r="N34" s="127"/>
      <c r="O34" s="128"/>
      <c r="P34" s="95"/>
      <c r="Q34" s="95"/>
      <c r="R34" s="129"/>
      <c r="S34" s="95"/>
      <c r="T34" s="95"/>
      <c r="V34" s="107"/>
    </row>
    <row r="35" ht="15.75" customHeight="1">
      <c r="A35" s="89"/>
      <c r="B35" s="177"/>
      <c r="C35" s="103"/>
      <c r="D35" s="95"/>
      <c r="E35" s="176"/>
      <c r="F35" s="144"/>
      <c r="G35" s="95"/>
      <c r="H35" s="96"/>
      <c r="I35" s="103"/>
      <c r="J35" s="95"/>
      <c r="K35" s="99"/>
      <c r="L35" s="99"/>
      <c r="M35" s="100"/>
      <c r="N35" s="127"/>
      <c r="O35" s="128"/>
      <c r="P35" s="95"/>
      <c r="Q35" s="95"/>
      <c r="R35" s="129"/>
      <c r="S35" s="95"/>
      <c r="T35" s="95"/>
      <c r="V35" s="107"/>
    </row>
    <row r="36" ht="15.75" customHeight="1">
      <c r="A36" s="89"/>
      <c r="B36" s="177"/>
      <c r="C36" s="103"/>
      <c r="D36" s="95"/>
      <c r="E36" s="176"/>
      <c r="F36" s="146"/>
      <c r="G36" s="95"/>
      <c r="H36" s="96"/>
      <c r="I36" s="103"/>
      <c r="J36" s="95"/>
      <c r="K36" s="113"/>
      <c r="L36" s="113"/>
      <c r="M36" s="100"/>
      <c r="N36" s="127"/>
      <c r="O36" s="128"/>
      <c r="P36" s="95"/>
      <c r="Q36" s="95"/>
      <c r="R36" s="129"/>
      <c r="S36" s="95"/>
      <c r="T36" s="103"/>
      <c r="V36" s="107"/>
    </row>
    <row r="37" ht="15.75" customHeight="1">
      <c r="A37" s="89"/>
      <c r="B37" s="177"/>
      <c r="C37" s="97"/>
      <c r="D37" s="95"/>
      <c r="E37" s="176"/>
      <c r="F37" s="144"/>
      <c r="G37" s="95"/>
      <c r="H37" s="96"/>
      <c r="I37" s="103"/>
      <c r="J37" s="95"/>
      <c r="K37" s="99"/>
      <c r="L37" s="99"/>
      <c r="M37" s="100"/>
      <c r="N37" s="101"/>
      <c r="O37" s="102"/>
      <c r="P37" s="95"/>
      <c r="Q37" s="114"/>
      <c r="R37" s="106"/>
      <c r="S37" s="103"/>
      <c r="T37" s="103"/>
      <c r="V37" s="107"/>
    </row>
    <row r="38" ht="15.75" customHeight="1">
      <c r="A38" s="89"/>
      <c r="B38" s="177"/>
      <c r="C38" s="97"/>
      <c r="D38" s="95"/>
      <c r="E38" s="176"/>
      <c r="F38" s="144"/>
      <c r="G38" s="95"/>
      <c r="H38" s="96"/>
      <c r="I38" s="103"/>
      <c r="J38" s="95"/>
      <c r="K38" s="113"/>
      <c r="L38" s="113"/>
      <c r="M38" s="100"/>
      <c r="N38" s="127"/>
      <c r="O38" s="128"/>
      <c r="P38" s="95"/>
      <c r="Q38" s="135"/>
      <c r="R38" s="106"/>
      <c r="S38" s="95"/>
      <c r="V38" s="107"/>
    </row>
    <row r="39" ht="15.75" customHeight="1">
      <c r="A39" s="89"/>
      <c r="B39" s="177"/>
      <c r="C39" s="97"/>
      <c r="D39" s="95"/>
      <c r="E39" s="176"/>
      <c r="F39" s="178"/>
      <c r="G39" s="95"/>
      <c r="H39" s="96"/>
      <c r="I39" s="103"/>
      <c r="J39" s="95"/>
      <c r="K39" s="99"/>
      <c r="L39" s="99"/>
      <c r="M39" s="100"/>
      <c r="N39" s="127"/>
      <c r="O39" s="128"/>
      <c r="P39" s="95"/>
      <c r="Q39" s="114"/>
      <c r="R39" s="106"/>
      <c r="S39" s="95"/>
      <c r="T39" s="103"/>
      <c r="V39" s="107"/>
    </row>
    <row r="40" ht="15.75" customHeight="1">
      <c r="A40" s="89"/>
      <c r="B40" s="177"/>
      <c r="C40" s="97"/>
      <c r="D40" s="95"/>
      <c r="E40" s="176"/>
      <c r="F40" s="144"/>
      <c r="G40" s="95"/>
      <c r="H40" s="96"/>
      <c r="I40" s="103"/>
      <c r="J40" s="95"/>
      <c r="K40" s="113"/>
      <c r="L40" s="113"/>
      <c r="M40" s="100"/>
      <c r="N40" s="101"/>
      <c r="O40" s="102"/>
      <c r="P40" s="95"/>
      <c r="Q40" s="114"/>
      <c r="R40" s="106"/>
      <c r="S40" s="103"/>
      <c r="T40" s="103"/>
      <c r="V40" s="107"/>
    </row>
    <row r="41" ht="15.75" customHeight="1">
      <c r="A41" s="89"/>
      <c r="B41" s="177"/>
      <c r="C41" s="97"/>
      <c r="D41" s="95"/>
      <c r="E41" s="96"/>
      <c r="F41" s="146"/>
      <c r="G41" s="95"/>
      <c r="H41" s="96"/>
      <c r="I41" s="103"/>
      <c r="J41" s="95"/>
      <c r="K41" s="99"/>
      <c r="L41" s="99"/>
      <c r="M41" s="100"/>
      <c r="N41" s="127"/>
      <c r="O41" s="128"/>
      <c r="P41" s="95"/>
      <c r="Q41" s="95"/>
      <c r="R41" s="129"/>
      <c r="S41" s="95"/>
      <c r="T41" s="95"/>
      <c r="V41" s="107"/>
    </row>
    <row r="42" ht="15.75" customHeight="1">
      <c r="A42" s="89"/>
      <c r="B42" s="177"/>
      <c r="C42" s="103"/>
      <c r="D42" s="95"/>
      <c r="E42" s="176"/>
      <c r="F42" s="96"/>
      <c r="G42" s="95"/>
      <c r="H42" s="96"/>
      <c r="I42" s="103"/>
      <c r="J42" s="95"/>
      <c r="K42" s="113"/>
      <c r="L42" s="113"/>
      <c r="M42" s="100"/>
      <c r="N42" s="101"/>
      <c r="O42" s="102"/>
      <c r="P42" s="95"/>
      <c r="Q42" s="114"/>
      <c r="R42" s="106"/>
      <c r="S42" s="103"/>
      <c r="T42" s="103"/>
      <c r="V42" s="107"/>
    </row>
    <row r="43" ht="15.75" customHeight="1">
      <c r="A43" s="89"/>
      <c r="B43" s="177"/>
      <c r="C43" s="103"/>
      <c r="D43" s="95"/>
      <c r="E43" s="176"/>
      <c r="F43" s="144"/>
      <c r="G43" s="95"/>
      <c r="H43" s="96"/>
      <c r="I43" s="103"/>
      <c r="J43" s="95"/>
      <c r="K43" s="99"/>
      <c r="L43" s="99"/>
      <c r="M43" s="100"/>
      <c r="N43" s="127"/>
      <c r="O43" s="128"/>
      <c r="P43" s="95"/>
      <c r="Q43" s="137"/>
      <c r="R43" s="129"/>
      <c r="S43" s="95"/>
      <c r="T43" s="95"/>
      <c r="V43" s="107"/>
    </row>
    <row r="44" ht="15.75" customHeight="1">
      <c r="A44" s="89"/>
      <c r="B44" s="177"/>
      <c r="C44" s="103"/>
      <c r="D44" s="95"/>
      <c r="E44" s="176"/>
      <c r="F44" s="144"/>
      <c r="G44" s="95"/>
      <c r="H44" s="96"/>
      <c r="I44" s="103"/>
      <c r="J44" s="95"/>
      <c r="K44" s="113"/>
      <c r="L44" s="113"/>
      <c r="M44" s="100"/>
      <c r="N44" s="127"/>
      <c r="O44" s="128"/>
      <c r="P44" s="95"/>
      <c r="Q44" s="95"/>
      <c r="R44" s="129"/>
      <c r="S44" s="95"/>
      <c r="T44" s="95"/>
      <c r="V44" s="107"/>
    </row>
    <row r="45" ht="15.75" customHeight="1">
      <c r="A45" s="89"/>
      <c r="B45" s="177"/>
      <c r="C45" s="97"/>
      <c r="D45" s="95"/>
      <c r="E45" s="176"/>
      <c r="F45" s="144"/>
      <c r="G45" s="95"/>
      <c r="H45" s="96"/>
      <c r="I45" s="103"/>
      <c r="J45" s="95"/>
      <c r="K45" s="99"/>
      <c r="L45" s="99"/>
      <c r="M45" s="100"/>
      <c r="N45" s="127"/>
      <c r="O45" s="128"/>
      <c r="P45" s="95"/>
      <c r="Q45" s="95"/>
      <c r="R45" s="129"/>
      <c r="S45" s="95"/>
      <c r="T45" s="95"/>
      <c r="V45" s="107"/>
    </row>
    <row r="46" ht="15.75" customHeight="1">
      <c r="A46" s="89"/>
      <c r="B46" s="177"/>
      <c r="C46" s="97"/>
      <c r="D46" s="95"/>
      <c r="E46" s="176"/>
      <c r="F46" s="144"/>
      <c r="G46" s="95"/>
      <c r="H46" s="96"/>
      <c r="I46" s="103"/>
      <c r="J46" s="95"/>
      <c r="K46" s="113"/>
      <c r="L46" s="113"/>
      <c r="M46" s="100"/>
      <c r="N46" s="127"/>
      <c r="O46" s="128"/>
      <c r="P46" s="95"/>
      <c r="Q46" s="95"/>
      <c r="R46" s="129"/>
      <c r="S46" s="95"/>
      <c r="T46" s="95"/>
      <c r="V46" s="107"/>
    </row>
    <row r="47" ht="15.75" customHeight="1">
      <c r="A47" s="89"/>
      <c r="B47" s="177"/>
      <c r="C47" s="97"/>
      <c r="D47" s="95"/>
      <c r="E47" s="176"/>
      <c r="F47" s="144"/>
      <c r="G47" s="95"/>
      <c r="H47" s="96"/>
      <c r="I47" s="103"/>
      <c r="J47" s="95"/>
      <c r="K47" s="99"/>
      <c r="L47" s="99"/>
      <c r="M47" s="100"/>
      <c r="N47" s="101"/>
      <c r="O47" s="102"/>
      <c r="P47" s="95"/>
      <c r="Q47" s="114"/>
      <c r="R47" s="115"/>
      <c r="S47" s="103"/>
      <c r="T47" s="103"/>
      <c r="V47" s="107"/>
    </row>
    <row r="48" ht="15.75" customHeight="1">
      <c r="A48" s="89"/>
      <c r="B48" s="177"/>
      <c r="C48" s="97"/>
      <c r="D48" s="95"/>
      <c r="E48" s="176"/>
      <c r="F48" s="144"/>
      <c r="G48" s="95"/>
      <c r="H48" s="96"/>
      <c r="I48" s="103"/>
      <c r="J48" s="95"/>
      <c r="K48" s="113"/>
      <c r="L48" s="113"/>
      <c r="M48" s="100"/>
      <c r="N48" s="101"/>
      <c r="O48" s="102"/>
      <c r="P48" s="95"/>
      <c r="Q48" s="135"/>
      <c r="R48" s="106"/>
      <c r="S48" s="103"/>
      <c r="T48" s="103"/>
      <c r="V48" s="107"/>
    </row>
    <row r="49" ht="15.75" customHeight="1">
      <c r="A49" s="89"/>
      <c r="B49" s="177"/>
      <c r="C49" s="97"/>
      <c r="D49" s="95"/>
      <c r="E49" s="176"/>
      <c r="F49" s="144"/>
      <c r="G49" s="95"/>
      <c r="H49" s="96"/>
      <c r="I49" s="103"/>
      <c r="J49" s="95"/>
      <c r="K49" s="99"/>
      <c r="L49" s="99"/>
      <c r="M49" s="100"/>
      <c r="N49" s="101"/>
      <c r="O49" s="102"/>
      <c r="P49" s="95"/>
      <c r="Q49" s="135"/>
      <c r="R49" s="106"/>
      <c r="S49" s="103"/>
      <c r="T49" s="103"/>
      <c r="V49" s="107"/>
    </row>
    <row r="50" ht="15.75" customHeight="1">
      <c r="A50" s="89"/>
      <c r="B50" s="177"/>
      <c r="C50" s="103"/>
      <c r="D50" s="95"/>
      <c r="E50" s="176"/>
      <c r="F50" s="146"/>
      <c r="G50" s="95"/>
      <c r="H50" s="96"/>
      <c r="I50" s="103"/>
      <c r="J50" s="95"/>
      <c r="K50" s="113"/>
      <c r="L50" s="113"/>
      <c r="M50" s="100"/>
      <c r="N50" s="127"/>
      <c r="O50" s="128"/>
      <c r="P50" s="95"/>
      <c r="Q50" s="95"/>
      <c r="R50" s="129"/>
      <c r="S50" s="95"/>
      <c r="T50" s="103"/>
      <c r="V50" s="107"/>
    </row>
    <row r="51" ht="15.75" customHeight="1">
      <c r="A51" s="89"/>
      <c r="B51" s="177"/>
      <c r="C51" s="103"/>
      <c r="D51" s="95"/>
      <c r="E51" s="176"/>
      <c r="F51" s="179"/>
      <c r="G51" s="95"/>
      <c r="H51" s="96"/>
      <c r="I51" s="103"/>
      <c r="J51" s="95"/>
      <c r="K51" s="99"/>
      <c r="L51" s="99"/>
      <c r="M51" s="100"/>
      <c r="N51" s="101"/>
      <c r="O51" s="102"/>
      <c r="P51" s="95"/>
      <c r="Q51" s="137"/>
      <c r="R51" s="129"/>
      <c r="S51" s="103"/>
      <c r="T51" s="103"/>
      <c r="V51" s="107"/>
    </row>
    <row r="52" ht="15.75" customHeight="1">
      <c r="A52" s="89"/>
      <c r="B52" s="177"/>
      <c r="C52" s="103"/>
      <c r="D52" s="95"/>
      <c r="E52" s="176"/>
      <c r="F52" s="144"/>
      <c r="G52" s="95"/>
      <c r="H52" s="96"/>
      <c r="I52" s="103"/>
      <c r="J52" s="95"/>
      <c r="K52" s="113"/>
      <c r="L52" s="113"/>
      <c r="M52" s="100"/>
      <c r="N52" s="127"/>
      <c r="O52" s="128"/>
      <c r="P52" s="95"/>
      <c r="Q52" s="137"/>
      <c r="R52" s="129"/>
      <c r="S52" s="95"/>
      <c r="T52" s="95"/>
      <c r="V52" s="107"/>
    </row>
    <row r="53" ht="15.75" customHeight="1">
      <c r="A53" s="89"/>
      <c r="B53" s="177"/>
      <c r="C53" s="97"/>
      <c r="D53" s="95"/>
      <c r="E53" s="176"/>
      <c r="F53" s="144"/>
      <c r="G53" s="95"/>
      <c r="H53" s="96"/>
      <c r="I53" s="103"/>
      <c r="J53" s="95"/>
      <c r="K53" s="99"/>
      <c r="L53" s="99"/>
      <c r="M53" s="100"/>
      <c r="N53" s="127"/>
      <c r="O53" s="128"/>
      <c r="P53" s="95"/>
      <c r="Q53" s="135"/>
      <c r="R53" s="106"/>
      <c r="S53" s="95"/>
      <c r="T53" s="103"/>
      <c r="V53" s="107"/>
    </row>
    <row r="54" ht="15.75" customHeight="1">
      <c r="A54" s="89"/>
      <c r="B54" s="177"/>
      <c r="C54" s="96"/>
      <c r="D54" s="95"/>
      <c r="E54" s="176"/>
      <c r="F54" s="144"/>
      <c r="G54" s="95"/>
      <c r="H54" s="96"/>
      <c r="I54" s="103"/>
      <c r="J54" s="95"/>
      <c r="K54" s="113"/>
      <c r="L54" s="113"/>
      <c r="M54" s="100"/>
      <c r="N54" s="101"/>
      <c r="O54" s="102"/>
      <c r="P54" s="95"/>
      <c r="Q54" s="135"/>
      <c r="R54" s="139"/>
      <c r="S54" s="103"/>
      <c r="T54" s="103"/>
      <c r="V54" s="107"/>
    </row>
    <row r="55" ht="15.75" customHeight="1">
      <c r="A55" s="89"/>
      <c r="B55" s="177"/>
      <c r="C55" s="96"/>
      <c r="D55" s="95"/>
      <c r="E55" s="176"/>
      <c r="F55" s="146"/>
      <c r="G55" s="95"/>
      <c r="H55" s="96"/>
      <c r="I55" s="103"/>
      <c r="J55" s="95"/>
      <c r="K55" s="99"/>
      <c r="L55" s="99"/>
      <c r="M55" s="100"/>
      <c r="N55" s="101"/>
      <c r="O55" s="102"/>
      <c r="P55" s="95"/>
      <c r="Q55" s="135"/>
      <c r="R55" s="106"/>
      <c r="S55" s="103"/>
      <c r="T55" s="103"/>
      <c r="V55" s="107"/>
    </row>
    <row r="56" ht="15.75" customHeight="1">
      <c r="A56" s="89"/>
      <c r="B56" s="177"/>
      <c r="C56" s="96"/>
      <c r="D56" s="95"/>
      <c r="E56" s="176"/>
      <c r="F56" s="144"/>
      <c r="G56" s="95"/>
      <c r="H56" s="96"/>
      <c r="I56" s="103"/>
      <c r="J56" s="95"/>
      <c r="K56" s="113"/>
      <c r="L56" s="113"/>
      <c r="M56" s="100"/>
      <c r="N56" s="127"/>
      <c r="O56" s="128"/>
      <c r="P56" s="95"/>
      <c r="Q56" s="114"/>
      <c r="R56" s="106"/>
      <c r="S56" s="95"/>
      <c r="T56" s="103"/>
      <c r="V56" s="107"/>
    </row>
    <row r="57" ht="15.75" customHeight="1">
      <c r="A57" s="89"/>
      <c r="B57" s="177"/>
      <c r="C57" s="96"/>
      <c r="D57" s="95"/>
      <c r="E57" s="176"/>
      <c r="F57" s="144"/>
      <c r="G57" s="95"/>
      <c r="H57" s="96"/>
      <c r="I57" s="103"/>
      <c r="J57" s="95"/>
      <c r="K57" s="99"/>
      <c r="L57" s="99"/>
      <c r="M57" s="100"/>
      <c r="N57" s="127"/>
      <c r="O57" s="128"/>
      <c r="P57" s="95"/>
      <c r="Q57" s="137"/>
      <c r="R57" s="129"/>
      <c r="S57" s="95"/>
      <c r="T57" s="103"/>
      <c r="V57" s="107"/>
    </row>
    <row r="58" ht="15.75" customHeight="1">
      <c r="A58" s="89"/>
      <c r="B58" s="177"/>
      <c r="C58" s="106"/>
      <c r="D58" s="95"/>
      <c r="E58" s="176"/>
      <c r="F58" s="144"/>
      <c r="G58" s="95"/>
      <c r="H58" s="96"/>
      <c r="I58" s="103"/>
      <c r="J58" s="95"/>
      <c r="K58" s="113"/>
      <c r="L58" s="113"/>
      <c r="M58" s="100"/>
      <c r="N58" s="101"/>
      <c r="O58" s="102"/>
      <c r="P58" s="95"/>
      <c r="Q58" s="114"/>
      <c r="R58" s="106"/>
      <c r="S58" s="103"/>
      <c r="T58" s="103"/>
      <c r="V58" s="107"/>
    </row>
    <row r="59" ht="15.75" customHeight="1">
      <c r="A59" s="89"/>
      <c r="B59" s="177"/>
      <c r="C59" s="106"/>
      <c r="D59" s="95"/>
      <c r="E59" s="176"/>
      <c r="F59" s="144"/>
      <c r="G59" s="95"/>
      <c r="H59" s="96"/>
      <c r="I59" s="103"/>
      <c r="J59" s="95"/>
      <c r="K59" s="99"/>
      <c r="L59" s="99"/>
      <c r="M59" s="100"/>
      <c r="N59" s="127"/>
      <c r="O59" s="128"/>
      <c r="P59" s="95"/>
      <c r="Q59" s="95"/>
      <c r="R59" s="129"/>
      <c r="S59" s="95"/>
      <c r="T59" s="95"/>
      <c r="V59" s="107"/>
    </row>
    <row r="60" ht="15.75" customHeight="1">
      <c r="A60" s="89"/>
      <c r="B60" s="177"/>
      <c r="C60" s="106"/>
      <c r="D60" s="95"/>
      <c r="E60" s="96"/>
      <c r="F60" s="144"/>
      <c r="G60" s="95"/>
      <c r="H60" s="96"/>
      <c r="I60" s="103"/>
      <c r="J60" s="95"/>
      <c r="K60" s="113"/>
      <c r="L60" s="113"/>
      <c r="M60" s="100"/>
      <c r="N60" s="127"/>
      <c r="O60" s="128"/>
      <c r="P60" s="95"/>
      <c r="Q60" s="114"/>
      <c r="R60" s="106"/>
      <c r="S60" s="95"/>
      <c r="T60" s="103"/>
      <c r="V60" s="107"/>
    </row>
    <row r="61" ht="15.75" customHeight="1">
      <c r="A61" s="89"/>
      <c r="B61" s="177"/>
      <c r="C61" s="96"/>
      <c r="D61" s="95"/>
      <c r="E61" s="176"/>
      <c r="F61" s="146"/>
      <c r="G61" s="95"/>
      <c r="H61" s="96"/>
      <c r="I61" s="103"/>
      <c r="J61" s="95"/>
      <c r="K61" s="99"/>
      <c r="L61" s="99"/>
      <c r="M61" s="100"/>
      <c r="N61" s="127"/>
      <c r="O61" s="128"/>
      <c r="P61" s="95"/>
      <c r="Q61" s="95"/>
      <c r="R61" s="129"/>
      <c r="S61" s="95"/>
      <c r="T61" s="95"/>
      <c r="V61" s="107"/>
    </row>
    <row r="62" ht="15.75" customHeight="1">
      <c r="A62" s="89"/>
      <c r="B62" s="177"/>
      <c r="C62" s="96"/>
      <c r="D62" s="95"/>
      <c r="E62" s="176"/>
      <c r="F62" s="144"/>
      <c r="G62" s="95"/>
      <c r="H62" s="96"/>
      <c r="I62" s="103"/>
      <c r="J62" s="95"/>
      <c r="K62" s="113"/>
      <c r="L62" s="113"/>
      <c r="M62" s="100"/>
      <c r="N62" s="127"/>
      <c r="O62" s="128"/>
      <c r="P62" s="95"/>
      <c r="Q62" s="95"/>
      <c r="R62" s="129"/>
      <c r="S62" s="95"/>
      <c r="T62" s="95"/>
      <c r="V62" s="107"/>
    </row>
    <row r="63" ht="15.75" customHeight="1">
      <c r="A63" s="89"/>
      <c r="B63" s="177"/>
      <c r="C63" s="140"/>
      <c r="D63" s="95"/>
      <c r="E63" s="176"/>
      <c r="F63" s="146"/>
      <c r="G63" s="95"/>
      <c r="H63" s="96"/>
      <c r="I63" s="103"/>
      <c r="J63" s="95"/>
      <c r="K63" s="99"/>
      <c r="L63" s="99"/>
      <c r="M63" s="100"/>
      <c r="N63" s="127"/>
      <c r="O63" s="128"/>
      <c r="P63" s="95"/>
      <c r="Q63" s="95"/>
      <c r="R63" s="129"/>
      <c r="S63" s="95"/>
      <c r="T63" s="95"/>
      <c r="V63" s="107"/>
    </row>
    <row r="64" ht="15.75" customHeight="1">
      <c r="A64" s="89"/>
      <c r="B64" s="177"/>
      <c r="C64" s="141"/>
      <c r="D64" s="95"/>
      <c r="E64" s="176"/>
      <c r="F64" s="144"/>
      <c r="G64" s="95"/>
      <c r="H64" s="96"/>
      <c r="I64" s="103"/>
      <c r="J64" s="95"/>
      <c r="K64" s="113"/>
      <c r="L64" s="113"/>
      <c r="M64" s="100"/>
      <c r="N64" s="101"/>
      <c r="O64" s="102"/>
      <c r="P64" s="95"/>
      <c r="Q64" s="114"/>
      <c r="R64" s="115"/>
      <c r="S64" s="103"/>
      <c r="T64" s="103"/>
      <c r="V64" s="107"/>
    </row>
    <row r="65" ht="15.75" customHeight="1">
      <c r="A65" s="89"/>
      <c r="B65" s="177"/>
      <c r="C65" s="97"/>
      <c r="D65" s="95"/>
      <c r="E65" s="176"/>
      <c r="F65" s="144"/>
      <c r="G65" s="95"/>
      <c r="H65" s="96"/>
      <c r="I65" s="103"/>
      <c r="J65" s="95"/>
      <c r="K65" s="99"/>
      <c r="L65" s="99"/>
      <c r="M65" s="100"/>
      <c r="N65" s="101"/>
      <c r="O65" s="102"/>
      <c r="P65" s="95"/>
      <c r="Q65" s="135"/>
      <c r="R65" s="115"/>
      <c r="S65" s="103"/>
      <c r="T65" s="103"/>
      <c r="V65" s="107"/>
    </row>
    <row r="66" ht="15.75" customHeight="1">
      <c r="A66" s="89"/>
      <c r="B66" s="177"/>
      <c r="C66" s="106"/>
      <c r="D66" s="95"/>
      <c r="E66" s="176"/>
      <c r="F66" s="144"/>
      <c r="G66" s="95"/>
      <c r="H66" s="96"/>
      <c r="I66" s="103"/>
      <c r="J66" s="95"/>
      <c r="K66" s="113"/>
      <c r="L66" s="113"/>
      <c r="M66" s="100"/>
      <c r="N66" s="127"/>
      <c r="O66" s="128"/>
      <c r="P66" s="95"/>
      <c r="Q66" s="95"/>
      <c r="R66" s="129"/>
      <c r="S66" s="95"/>
      <c r="T66" s="95"/>
      <c r="V66" s="107"/>
    </row>
    <row r="67" ht="15.75" customHeight="1">
      <c r="A67" s="89"/>
      <c r="B67" s="177"/>
      <c r="C67" s="106"/>
      <c r="D67" s="95"/>
      <c r="E67" s="96"/>
      <c r="F67" s="144"/>
      <c r="G67" s="95"/>
      <c r="H67" s="96"/>
      <c r="I67" s="103"/>
      <c r="J67" s="95"/>
      <c r="K67" s="99"/>
      <c r="L67" s="99"/>
      <c r="M67" s="100"/>
      <c r="N67" s="127"/>
      <c r="O67" s="128"/>
      <c r="P67" s="95"/>
      <c r="Q67" s="135"/>
      <c r="R67" s="106"/>
      <c r="S67" s="103"/>
      <c r="T67" s="103"/>
      <c r="V67" s="107"/>
    </row>
    <row r="68" ht="15.75" customHeight="1">
      <c r="A68" s="89"/>
      <c r="B68" s="177"/>
      <c r="C68" s="106"/>
      <c r="D68" s="95"/>
      <c r="E68" s="96"/>
      <c r="F68" s="144"/>
      <c r="G68" s="95"/>
      <c r="H68" s="96"/>
      <c r="I68" s="103"/>
      <c r="J68" s="95"/>
      <c r="K68" s="113"/>
      <c r="L68" s="113"/>
      <c r="M68" s="100"/>
      <c r="N68" s="127"/>
      <c r="O68" s="128"/>
      <c r="P68" s="95"/>
      <c r="Q68" s="135"/>
      <c r="R68" s="129"/>
      <c r="S68" s="95"/>
      <c r="T68" s="103"/>
      <c r="V68" s="107"/>
    </row>
    <row r="69" ht="15.75" customHeight="1">
      <c r="A69" s="89"/>
      <c r="B69" s="177"/>
      <c r="C69" s="96"/>
      <c r="D69" s="95"/>
      <c r="E69" s="96"/>
      <c r="F69" s="146"/>
      <c r="G69" s="95"/>
      <c r="H69" s="96"/>
      <c r="I69" s="103"/>
      <c r="J69" s="95"/>
      <c r="K69" s="99"/>
      <c r="L69" s="99"/>
      <c r="M69" s="100"/>
      <c r="N69" s="127"/>
      <c r="O69" s="128"/>
      <c r="P69" s="95"/>
      <c r="Q69" s="114"/>
      <c r="R69" s="106"/>
      <c r="S69" s="103"/>
      <c r="T69" s="103"/>
      <c r="V69" s="107"/>
    </row>
    <row r="70" ht="15.75" customHeight="1">
      <c r="A70" s="89"/>
      <c r="B70" s="177"/>
      <c r="C70" s="96"/>
      <c r="D70" s="95"/>
      <c r="E70" s="96"/>
      <c r="F70" s="144"/>
      <c r="G70" s="95"/>
      <c r="H70" s="96"/>
      <c r="I70" s="103"/>
      <c r="J70" s="95"/>
      <c r="K70" s="113"/>
      <c r="L70" s="113"/>
      <c r="M70" s="100"/>
      <c r="N70" s="127"/>
      <c r="O70" s="128"/>
      <c r="P70" s="95"/>
      <c r="Q70" s="137"/>
      <c r="R70" s="129"/>
      <c r="S70" s="95"/>
      <c r="T70" s="95"/>
      <c r="V70" s="107"/>
    </row>
    <row r="71" ht="15.75" customHeight="1">
      <c r="A71" s="89"/>
      <c r="B71" s="177"/>
      <c r="C71" s="96"/>
      <c r="D71" s="95"/>
      <c r="E71" s="96"/>
      <c r="F71" s="144"/>
      <c r="G71" s="95"/>
      <c r="H71" s="96"/>
      <c r="I71" s="103"/>
      <c r="J71" s="95"/>
      <c r="K71" s="99"/>
      <c r="L71" s="99"/>
      <c r="M71" s="100"/>
      <c r="N71" s="127"/>
      <c r="O71" s="128"/>
      <c r="P71" s="95"/>
      <c r="Q71" s="135"/>
      <c r="R71" s="106"/>
      <c r="S71" s="103"/>
      <c r="T71" s="103"/>
      <c r="V71" s="107"/>
    </row>
    <row r="72" ht="15.75" customHeight="1">
      <c r="A72" s="89"/>
      <c r="B72" s="177"/>
      <c r="C72" s="96"/>
      <c r="D72" s="95"/>
      <c r="E72" s="176"/>
      <c r="F72" s="144"/>
      <c r="G72" s="95"/>
      <c r="H72" s="96"/>
      <c r="I72" s="103"/>
      <c r="J72" s="95"/>
      <c r="K72" s="113"/>
      <c r="L72" s="113"/>
      <c r="M72" s="100"/>
      <c r="N72" s="101"/>
      <c r="O72" s="128"/>
      <c r="P72" s="95"/>
      <c r="Q72" s="135"/>
      <c r="R72" s="106"/>
      <c r="S72" s="103"/>
      <c r="T72" s="103"/>
      <c r="V72" s="107"/>
    </row>
    <row r="73" ht="15.75" customHeight="1">
      <c r="A73" s="89"/>
      <c r="B73" s="177"/>
      <c r="C73" s="96"/>
      <c r="D73" s="95"/>
      <c r="E73" s="176"/>
      <c r="F73" s="146"/>
      <c r="G73" s="95"/>
      <c r="H73" s="96"/>
      <c r="I73" s="103"/>
      <c r="J73" s="95"/>
      <c r="K73" s="99"/>
      <c r="L73" s="99"/>
      <c r="M73" s="100"/>
      <c r="N73" s="101"/>
      <c r="O73" s="128"/>
      <c r="P73" s="95"/>
      <c r="Q73" s="114"/>
      <c r="R73" s="106"/>
      <c r="S73" s="103"/>
      <c r="T73" s="103"/>
      <c r="V73" s="107"/>
    </row>
    <row r="74" ht="15.75" customHeight="1">
      <c r="A74" s="89"/>
      <c r="B74" s="177"/>
      <c r="C74" s="106"/>
      <c r="D74" s="95"/>
      <c r="E74" s="176"/>
      <c r="F74" s="144"/>
      <c r="G74" s="95"/>
      <c r="H74" s="96"/>
      <c r="I74" s="103"/>
      <c r="J74" s="95"/>
      <c r="K74" s="113"/>
      <c r="L74" s="113"/>
      <c r="M74" s="100"/>
      <c r="N74" s="101"/>
      <c r="O74" s="128"/>
      <c r="P74" s="95"/>
      <c r="Q74" s="114"/>
      <c r="R74" s="106"/>
      <c r="S74" s="103"/>
      <c r="T74" s="103"/>
      <c r="V74" s="107"/>
    </row>
    <row r="75" ht="15.75" customHeight="1">
      <c r="A75" s="89"/>
      <c r="B75" s="177"/>
      <c r="C75" s="106"/>
      <c r="D75" s="95"/>
      <c r="E75" s="176"/>
      <c r="F75" s="144"/>
      <c r="G75" s="95"/>
      <c r="H75" s="96"/>
      <c r="I75" s="103"/>
      <c r="J75" s="95"/>
      <c r="K75" s="99"/>
      <c r="L75" s="99"/>
      <c r="M75" s="100"/>
      <c r="N75" s="127"/>
      <c r="O75" s="128"/>
      <c r="P75" s="95"/>
      <c r="Q75" s="137"/>
      <c r="R75" s="129"/>
      <c r="S75" s="95"/>
      <c r="T75" s="95"/>
      <c r="V75" s="107"/>
    </row>
    <row r="76" ht="15.75" customHeight="1">
      <c r="A76" s="89"/>
      <c r="B76" s="177"/>
      <c r="C76" s="96"/>
      <c r="D76" s="95"/>
      <c r="E76" s="176"/>
      <c r="F76" s="144"/>
      <c r="G76" s="95"/>
      <c r="H76" s="96"/>
      <c r="I76" s="103"/>
      <c r="J76" s="95"/>
      <c r="K76" s="113"/>
      <c r="L76" s="113"/>
      <c r="M76" s="100"/>
      <c r="N76" s="101"/>
      <c r="O76" s="128"/>
      <c r="P76" s="95"/>
      <c r="Q76" s="114"/>
      <c r="R76" s="106"/>
      <c r="S76" s="103"/>
      <c r="T76" s="103"/>
      <c r="V76" s="107"/>
    </row>
    <row r="77" ht="15.75" customHeight="1">
      <c r="A77" s="89"/>
      <c r="B77" s="177"/>
      <c r="C77" s="96"/>
      <c r="D77" s="95"/>
      <c r="E77" s="96"/>
      <c r="F77" s="144"/>
      <c r="G77" s="95"/>
      <c r="H77" s="96"/>
      <c r="I77" s="103"/>
      <c r="J77" s="95"/>
      <c r="K77" s="99"/>
      <c r="L77" s="99"/>
      <c r="M77" s="100"/>
      <c r="N77" s="127"/>
      <c r="O77" s="128"/>
      <c r="P77" s="95"/>
      <c r="Q77" s="137"/>
      <c r="R77" s="129"/>
      <c r="S77" s="95"/>
      <c r="T77" s="95"/>
      <c r="V77" s="107"/>
    </row>
    <row r="78" ht="15.75" customHeight="1">
      <c r="A78" s="89"/>
      <c r="B78" s="177"/>
      <c r="C78" s="96"/>
      <c r="D78" s="95"/>
      <c r="E78" s="176"/>
      <c r="F78" s="144"/>
      <c r="G78" s="95"/>
      <c r="H78" s="96"/>
      <c r="I78" s="103"/>
      <c r="J78" s="95"/>
      <c r="K78" s="113"/>
      <c r="L78" s="113"/>
      <c r="M78" s="100"/>
      <c r="N78" s="101"/>
      <c r="O78" s="128"/>
      <c r="P78" s="95"/>
      <c r="Q78" s="114"/>
      <c r="R78" s="106"/>
      <c r="S78" s="103"/>
      <c r="T78" s="103"/>
      <c r="V78" s="107"/>
    </row>
    <row r="79" ht="15.75" customHeight="1">
      <c r="A79" s="89"/>
      <c r="B79" s="177"/>
      <c r="C79" s="96"/>
      <c r="D79" s="95"/>
      <c r="E79" s="176"/>
      <c r="F79" s="144"/>
      <c r="G79" s="95"/>
      <c r="H79" s="96"/>
      <c r="I79" s="103"/>
      <c r="J79" s="95"/>
      <c r="K79" s="99"/>
      <c r="L79" s="99"/>
      <c r="M79" s="100"/>
      <c r="N79" s="127"/>
      <c r="O79" s="128"/>
      <c r="P79" s="95"/>
      <c r="Q79" s="137"/>
      <c r="R79" s="129"/>
      <c r="S79" s="95"/>
      <c r="T79" s="95"/>
      <c r="V79" s="107"/>
    </row>
    <row r="80" ht="15.75" customHeight="1">
      <c r="A80" s="89"/>
      <c r="B80" s="177"/>
      <c r="C80" s="96"/>
      <c r="D80" s="95"/>
      <c r="E80" s="176"/>
      <c r="F80" s="144"/>
      <c r="G80" s="95"/>
      <c r="H80" s="96"/>
      <c r="I80" s="103"/>
      <c r="J80" s="95"/>
      <c r="K80" s="113"/>
      <c r="L80" s="113"/>
      <c r="M80" s="100"/>
      <c r="N80" s="101"/>
      <c r="O80" s="102"/>
      <c r="P80" s="95"/>
      <c r="Q80" s="135"/>
      <c r="R80" s="106"/>
      <c r="S80" s="103"/>
      <c r="T80" s="103"/>
      <c r="V80" s="107"/>
    </row>
    <row r="81" ht="15.75" customHeight="1">
      <c r="A81" s="89"/>
      <c r="B81" s="177"/>
      <c r="C81" s="106"/>
      <c r="D81" s="95"/>
      <c r="E81" s="176"/>
      <c r="F81" s="144"/>
      <c r="G81" s="95"/>
      <c r="H81" s="96"/>
      <c r="I81" s="103"/>
      <c r="J81" s="95"/>
      <c r="K81" s="99"/>
      <c r="L81" s="99"/>
      <c r="M81" s="100"/>
      <c r="N81" s="101"/>
      <c r="O81" s="102"/>
      <c r="P81" s="95"/>
      <c r="Q81" s="114"/>
      <c r="R81" s="142"/>
      <c r="S81" s="103"/>
      <c r="T81" s="103"/>
      <c r="V81" s="107"/>
    </row>
    <row r="82" ht="15.75" customHeight="1">
      <c r="A82" s="89"/>
      <c r="B82" s="177"/>
      <c r="C82" s="106"/>
      <c r="D82" s="95"/>
      <c r="E82" s="176"/>
      <c r="F82" s="144"/>
      <c r="G82" s="95"/>
      <c r="H82" s="96"/>
      <c r="I82" s="103"/>
      <c r="J82" s="95"/>
      <c r="K82" s="113"/>
      <c r="L82" s="113"/>
      <c r="M82" s="100"/>
      <c r="N82" s="101"/>
      <c r="O82" s="102"/>
      <c r="P82" s="95"/>
      <c r="Q82" s="114"/>
      <c r="R82" s="106"/>
      <c r="S82" s="103"/>
      <c r="T82" s="103"/>
      <c r="V82" s="107"/>
    </row>
    <row r="83" ht="15.75" customHeight="1">
      <c r="A83" s="89"/>
      <c r="B83" s="177"/>
      <c r="C83" s="96"/>
      <c r="D83" s="95"/>
      <c r="E83" s="176"/>
      <c r="F83" s="144"/>
      <c r="G83" s="95"/>
      <c r="H83" s="96"/>
      <c r="I83" s="103"/>
      <c r="J83" s="95"/>
      <c r="K83" s="99"/>
      <c r="L83" s="99"/>
      <c r="M83" s="100"/>
      <c r="N83" s="127"/>
      <c r="O83" s="128"/>
      <c r="P83" s="95"/>
      <c r="Q83" s="137"/>
      <c r="R83" s="129"/>
      <c r="S83" s="95"/>
      <c r="T83" s="95"/>
      <c r="V83" s="107"/>
    </row>
    <row r="84" ht="15.75" customHeight="1">
      <c r="A84" s="89"/>
      <c r="B84" s="177"/>
      <c r="C84" s="96"/>
      <c r="D84" s="95"/>
      <c r="E84" s="176"/>
      <c r="F84" s="144"/>
      <c r="G84" s="95"/>
      <c r="H84" s="96"/>
      <c r="I84" s="103"/>
      <c r="J84" s="95"/>
      <c r="K84" s="113"/>
      <c r="L84" s="113"/>
      <c r="M84" s="100"/>
      <c r="N84" s="127"/>
      <c r="O84" s="128"/>
      <c r="P84" s="95"/>
      <c r="Q84" s="95"/>
      <c r="R84" s="129"/>
      <c r="S84" s="95"/>
      <c r="T84" s="95"/>
      <c r="V84" s="107"/>
    </row>
    <row r="85" ht="15.75" customHeight="1">
      <c r="A85" s="89"/>
      <c r="B85" s="177"/>
      <c r="C85" s="143"/>
      <c r="D85" s="95"/>
      <c r="E85" s="176"/>
      <c r="F85" s="144"/>
      <c r="G85" s="95"/>
      <c r="H85" s="96"/>
      <c r="I85" s="103"/>
      <c r="J85" s="95"/>
      <c r="K85" s="99"/>
      <c r="L85" s="99"/>
      <c r="M85" s="100"/>
      <c r="N85" s="127"/>
      <c r="O85" s="128"/>
      <c r="P85" s="95"/>
      <c r="Q85" s="137"/>
      <c r="R85" s="129"/>
      <c r="S85" s="95"/>
      <c r="T85" s="95"/>
      <c r="V85" s="107"/>
    </row>
    <row r="86" ht="15.75" customHeight="1">
      <c r="A86" s="89"/>
      <c r="B86" s="177"/>
      <c r="C86" s="97"/>
      <c r="D86" s="95"/>
      <c r="E86" s="176"/>
      <c r="F86" s="144"/>
      <c r="G86" s="95"/>
      <c r="H86" s="96"/>
      <c r="I86" s="103"/>
      <c r="J86" s="95"/>
      <c r="K86" s="113"/>
      <c r="L86" s="113"/>
      <c r="M86" s="100"/>
      <c r="N86" s="101"/>
      <c r="O86" s="102"/>
      <c r="P86" s="95"/>
      <c r="Q86" s="135"/>
      <c r="R86" s="115"/>
      <c r="S86" s="103"/>
      <c r="T86" s="103"/>
      <c r="V86" s="107"/>
    </row>
    <row r="87" ht="15.75" customHeight="1">
      <c r="A87" s="89"/>
      <c r="B87" s="177"/>
      <c r="C87" s="96"/>
      <c r="D87" s="95"/>
      <c r="E87" s="176"/>
      <c r="F87" s="144"/>
      <c r="G87" s="95"/>
      <c r="H87" s="96"/>
      <c r="I87" s="103"/>
      <c r="J87" s="95"/>
      <c r="K87" s="99"/>
      <c r="L87" s="99"/>
      <c r="M87" s="100"/>
      <c r="N87" s="127"/>
      <c r="O87" s="102"/>
      <c r="P87" s="95"/>
      <c r="Q87" s="137"/>
      <c r="R87" s="106"/>
      <c r="S87" s="103"/>
      <c r="T87" s="103"/>
      <c r="V87" s="107"/>
    </row>
    <row r="88" ht="15.75" customHeight="1">
      <c r="A88" s="89"/>
      <c r="B88" s="177"/>
      <c r="C88" s="96"/>
      <c r="D88" s="95"/>
      <c r="E88" s="176"/>
      <c r="F88" s="144"/>
      <c r="G88" s="95"/>
      <c r="H88" s="96"/>
      <c r="I88" s="103"/>
      <c r="J88" s="95"/>
      <c r="K88" s="113"/>
      <c r="L88" s="113"/>
      <c r="M88" s="100"/>
      <c r="N88" s="101"/>
      <c r="O88" s="102"/>
      <c r="P88" s="95"/>
      <c r="Q88" s="114"/>
      <c r="R88" s="106"/>
      <c r="S88" s="103"/>
      <c r="T88" s="103"/>
      <c r="V88" s="107"/>
    </row>
    <row r="89" ht="15.75" customHeight="1">
      <c r="A89" s="89"/>
      <c r="B89" s="177"/>
      <c r="C89" s="96"/>
      <c r="D89" s="95"/>
      <c r="E89" s="176"/>
      <c r="F89" s="144"/>
      <c r="G89" s="95"/>
      <c r="H89" s="96"/>
      <c r="I89" s="103"/>
      <c r="J89" s="95"/>
      <c r="K89" s="99"/>
      <c r="L89" s="99"/>
      <c r="M89" s="100"/>
      <c r="N89" s="127"/>
      <c r="O89" s="128"/>
      <c r="P89" s="95"/>
      <c r="Q89" s="95"/>
      <c r="R89" s="129"/>
      <c r="S89" s="95"/>
      <c r="T89" s="95"/>
      <c r="V89" s="107"/>
    </row>
    <row r="90" ht="15.75" customHeight="1">
      <c r="A90" s="89"/>
      <c r="B90" s="177"/>
      <c r="C90" s="144"/>
      <c r="D90" s="95"/>
      <c r="E90" s="176"/>
      <c r="F90" s="180"/>
      <c r="G90" s="95"/>
      <c r="H90" s="96"/>
      <c r="I90" s="103"/>
      <c r="J90" s="95"/>
      <c r="K90" s="113"/>
      <c r="L90" s="113"/>
      <c r="M90" s="100"/>
      <c r="N90" s="101"/>
      <c r="O90" s="102"/>
      <c r="P90" s="95"/>
      <c r="Q90" s="103"/>
      <c r="R90" s="106"/>
      <c r="S90" s="103"/>
      <c r="T90" s="103"/>
      <c r="V90" s="107"/>
    </row>
    <row r="91" ht="15.75" customHeight="1">
      <c r="A91" s="89"/>
      <c r="B91" s="177"/>
      <c r="C91" s="146"/>
      <c r="D91" s="95"/>
      <c r="E91" s="176"/>
      <c r="F91" s="144"/>
      <c r="G91" s="95"/>
      <c r="H91" s="96"/>
      <c r="I91" s="103"/>
      <c r="J91" s="95"/>
      <c r="K91" s="99"/>
      <c r="L91" s="99"/>
      <c r="M91" s="100"/>
      <c r="N91" s="127"/>
      <c r="O91" s="128"/>
      <c r="P91" s="95"/>
      <c r="Q91" s="95"/>
      <c r="R91" s="129"/>
      <c r="S91" s="95"/>
      <c r="T91" s="95"/>
      <c r="V91" s="107"/>
    </row>
    <row r="92" ht="15.75" customHeight="1">
      <c r="A92" s="89"/>
      <c r="B92" s="177"/>
      <c r="C92" s="144"/>
      <c r="D92" s="95"/>
      <c r="E92" s="176"/>
      <c r="F92" s="144"/>
      <c r="G92" s="95"/>
      <c r="H92" s="96"/>
      <c r="I92" s="103"/>
      <c r="J92" s="95"/>
      <c r="K92" s="113"/>
      <c r="L92" s="113"/>
      <c r="M92" s="100"/>
      <c r="N92" s="101"/>
      <c r="O92" s="102"/>
      <c r="P92" s="95"/>
      <c r="Q92" s="135"/>
      <c r="R92" s="106"/>
      <c r="S92" s="103"/>
      <c r="T92" s="103"/>
      <c r="V92" s="107"/>
    </row>
    <row r="93" ht="15.75" customHeight="1">
      <c r="A93" s="89"/>
      <c r="B93" s="177"/>
      <c r="C93" s="146"/>
      <c r="D93" s="95"/>
      <c r="E93" s="144"/>
      <c r="F93" s="144"/>
      <c r="G93" s="95"/>
      <c r="H93" s="96"/>
      <c r="I93" s="103"/>
      <c r="J93" s="95"/>
      <c r="K93" s="99"/>
      <c r="L93" s="99"/>
      <c r="M93" s="100"/>
      <c r="N93" s="127"/>
      <c r="O93" s="128"/>
      <c r="P93" s="95"/>
      <c r="Q93" s="137"/>
      <c r="R93" s="129"/>
      <c r="S93" s="95"/>
      <c r="T93" s="95"/>
      <c r="V93" s="107"/>
    </row>
    <row r="94" ht="15.75" customHeight="1">
      <c r="A94" s="89"/>
      <c r="B94" s="177"/>
      <c r="C94" s="96"/>
      <c r="D94" s="95"/>
      <c r="E94" s="176"/>
      <c r="F94" s="144"/>
      <c r="G94" s="95"/>
      <c r="H94" s="96"/>
      <c r="I94" s="103"/>
      <c r="J94" s="95"/>
      <c r="K94" s="113"/>
      <c r="L94" s="113"/>
      <c r="M94" s="100"/>
      <c r="N94" s="127"/>
      <c r="O94" s="128"/>
      <c r="P94" s="95"/>
      <c r="Q94" s="95"/>
      <c r="R94" s="129"/>
      <c r="S94" s="95"/>
      <c r="T94" s="95"/>
      <c r="V94" s="107"/>
    </row>
    <row r="95" ht="15.75" customHeight="1">
      <c r="A95" s="89"/>
      <c r="B95" s="177"/>
      <c r="C95" s="96"/>
      <c r="D95" s="95"/>
      <c r="E95" s="176"/>
      <c r="F95" s="144"/>
      <c r="G95" s="95"/>
      <c r="H95" s="96"/>
      <c r="I95" s="103"/>
      <c r="J95" s="95"/>
      <c r="K95" s="99"/>
      <c r="L95" s="99"/>
      <c r="M95" s="100"/>
      <c r="N95" s="101"/>
      <c r="O95" s="102"/>
      <c r="P95" s="95"/>
      <c r="Q95" s="114"/>
      <c r="R95" s="106"/>
      <c r="S95" s="103"/>
      <c r="T95" s="103"/>
      <c r="V95" s="107"/>
    </row>
    <row r="96" ht="15.75" customHeight="1">
      <c r="A96" s="89"/>
      <c r="B96" s="177"/>
      <c r="C96" s="96"/>
      <c r="D96" s="95"/>
      <c r="E96" s="176"/>
      <c r="F96" s="144"/>
      <c r="G96" s="95"/>
      <c r="H96" s="96"/>
      <c r="I96" s="103"/>
      <c r="J96" s="95"/>
      <c r="K96" s="113"/>
      <c r="L96" s="113"/>
      <c r="M96" s="100"/>
      <c r="N96" s="127"/>
      <c r="O96" s="128"/>
      <c r="P96" s="95"/>
      <c r="Q96" s="95"/>
      <c r="R96" s="129"/>
      <c r="S96" s="95"/>
      <c r="T96" s="95"/>
      <c r="V96" s="107"/>
    </row>
    <row r="97" ht="15.75" customHeight="1">
      <c r="A97" s="89"/>
      <c r="B97" s="177"/>
      <c r="C97" s="96"/>
      <c r="D97" s="95"/>
      <c r="E97" s="181"/>
      <c r="F97" s="144"/>
      <c r="G97" s="95"/>
      <c r="H97" s="96"/>
      <c r="I97" s="103"/>
      <c r="J97" s="95"/>
      <c r="K97" s="99"/>
      <c r="L97" s="99"/>
      <c r="M97" s="100"/>
      <c r="N97" s="127"/>
      <c r="O97" s="128"/>
      <c r="P97" s="95"/>
      <c r="Q97" s="137"/>
      <c r="R97" s="129"/>
      <c r="S97" s="95"/>
      <c r="T97" s="95"/>
      <c r="V97" s="107"/>
    </row>
    <row r="98" ht="15.75" customHeight="1">
      <c r="A98" s="89"/>
      <c r="B98" s="177"/>
      <c r="C98" s="106"/>
      <c r="D98" s="95"/>
      <c r="E98" s="176"/>
      <c r="F98" s="144"/>
      <c r="G98" s="95"/>
      <c r="H98" s="96"/>
      <c r="I98" s="103"/>
      <c r="J98" s="95"/>
      <c r="K98" s="113"/>
      <c r="L98" s="113"/>
      <c r="M98" s="100"/>
      <c r="N98" s="127"/>
      <c r="O98" s="128"/>
      <c r="P98" s="95"/>
      <c r="Q98" s="135"/>
      <c r="R98" s="106"/>
      <c r="S98" s="95"/>
      <c r="T98" s="103"/>
      <c r="V98" s="107"/>
    </row>
    <row r="99" ht="15.75" customHeight="1">
      <c r="A99" s="89"/>
      <c r="B99" s="177"/>
      <c r="C99" s="106"/>
      <c r="D99" s="95"/>
      <c r="E99" s="176"/>
      <c r="F99" s="144"/>
      <c r="G99" s="95"/>
      <c r="H99" s="96"/>
      <c r="I99" s="103"/>
      <c r="J99" s="95"/>
      <c r="K99" s="99"/>
      <c r="L99" s="99"/>
      <c r="M99" s="100"/>
      <c r="N99" s="127"/>
      <c r="O99" s="128"/>
      <c r="P99" s="95"/>
      <c r="Q99" s="135"/>
      <c r="R99" s="106"/>
      <c r="S99" s="95"/>
      <c r="T99" s="103"/>
      <c r="V99" s="107"/>
    </row>
    <row r="100" ht="15.75" customHeight="1">
      <c r="A100" s="89"/>
      <c r="B100" s="177"/>
      <c r="C100" s="96"/>
      <c r="D100" s="95"/>
      <c r="E100" s="96"/>
      <c r="F100" s="146"/>
      <c r="G100" s="95"/>
      <c r="H100" s="96"/>
      <c r="I100" s="103"/>
      <c r="J100" s="95"/>
      <c r="K100" s="113"/>
      <c r="L100" s="113"/>
      <c r="M100" s="100"/>
      <c r="N100" s="127"/>
      <c r="O100" s="128"/>
      <c r="P100" s="95"/>
      <c r="Q100" s="137"/>
      <c r="R100" s="129"/>
      <c r="S100" s="95"/>
      <c r="T100" s="95"/>
      <c r="V100" s="107"/>
    </row>
    <row r="101" ht="15.75" customHeight="1">
      <c r="A101" s="89"/>
      <c r="B101" s="177"/>
      <c r="C101" s="96"/>
      <c r="D101" s="95"/>
      <c r="E101" s="176"/>
      <c r="F101" s="144"/>
      <c r="G101" s="95"/>
      <c r="H101" s="96"/>
      <c r="I101" s="103"/>
      <c r="J101" s="95"/>
      <c r="K101" s="99"/>
      <c r="L101" s="99"/>
      <c r="M101" s="100"/>
      <c r="N101" s="127"/>
      <c r="O101" s="128"/>
      <c r="P101" s="95"/>
      <c r="Q101" s="95"/>
      <c r="R101" s="129"/>
      <c r="S101" s="95"/>
      <c r="T101" s="95"/>
      <c r="V101" s="107"/>
    </row>
    <row r="102" ht="15.75" customHeight="1">
      <c r="A102" s="89"/>
      <c r="B102" s="177"/>
      <c r="C102" s="96"/>
      <c r="D102" s="95"/>
      <c r="E102" s="176"/>
      <c r="F102" s="144"/>
      <c r="G102" s="95"/>
      <c r="H102" s="96"/>
      <c r="I102" s="103"/>
      <c r="J102" s="95"/>
      <c r="K102" s="113"/>
      <c r="L102" s="113"/>
      <c r="M102" s="100"/>
      <c r="N102" s="101"/>
      <c r="O102" s="102"/>
      <c r="P102" s="95"/>
      <c r="Q102" s="114"/>
      <c r="R102" s="115"/>
      <c r="S102" s="103"/>
      <c r="T102" s="103"/>
      <c r="V102" s="107"/>
    </row>
    <row r="103" ht="15.75" customHeight="1">
      <c r="A103" s="89"/>
      <c r="B103" s="182"/>
      <c r="C103" s="149"/>
      <c r="D103" s="95"/>
      <c r="E103" s="149"/>
      <c r="F103" s="180"/>
      <c r="G103" s="95"/>
      <c r="H103" s="96"/>
      <c r="I103" s="103"/>
      <c r="J103" s="95"/>
      <c r="K103" s="99"/>
      <c r="L103" s="99"/>
      <c r="M103" s="100"/>
      <c r="N103" s="101"/>
      <c r="O103" s="128"/>
      <c r="P103" s="95"/>
      <c r="Q103" s="137"/>
      <c r="R103" s="129"/>
      <c r="S103" s="103"/>
      <c r="T103" s="95"/>
      <c r="V103" s="107"/>
    </row>
    <row r="104" ht="15.75" customHeight="1">
      <c r="A104" s="89"/>
      <c r="B104" s="182"/>
      <c r="C104" s="149"/>
      <c r="D104" s="95"/>
      <c r="E104" s="149"/>
      <c r="F104" s="149"/>
      <c r="G104" s="95"/>
      <c r="H104" s="96"/>
      <c r="I104" s="103"/>
      <c r="J104" s="95"/>
      <c r="K104" s="113"/>
      <c r="L104" s="113"/>
      <c r="M104" s="100"/>
      <c r="N104" s="101"/>
      <c r="O104" s="128"/>
      <c r="P104" s="95"/>
      <c r="Q104" s="95"/>
      <c r="R104" s="129"/>
      <c r="S104" s="103"/>
      <c r="T104" s="95"/>
      <c r="V104" s="107"/>
    </row>
    <row r="105" ht="15.75" customHeight="1">
      <c r="A105" s="89"/>
      <c r="B105" s="182"/>
      <c r="C105" s="107"/>
      <c r="D105" s="95"/>
      <c r="E105" s="149"/>
      <c r="F105" s="149"/>
      <c r="G105" s="95"/>
      <c r="H105" s="96"/>
      <c r="I105" s="103"/>
      <c r="J105" s="95"/>
      <c r="K105" s="99"/>
      <c r="L105" s="99"/>
      <c r="M105" s="100"/>
      <c r="N105" s="101"/>
      <c r="O105" s="128"/>
      <c r="P105" s="95"/>
      <c r="Q105" s="137"/>
      <c r="R105" s="129"/>
      <c r="S105" s="103"/>
      <c r="T105" s="95"/>
      <c r="V105" s="107"/>
    </row>
    <row r="106" ht="15.75" customHeight="1">
      <c r="A106" s="89"/>
      <c r="B106" s="182"/>
      <c r="C106" s="107"/>
      <c r="D106" s="95"/>
      <c r="E106" s="149"/>
      <c r="F106" s="149"/>
      <c r="G106" s="95"/>
      <c r="H106" s="96"/>
      <c r="I106" s="103"/>
      <c r="J106" s="95"/>
      <c r="K106" s="113"/>
      <c r="L106" s="113"/>
      <c r="M106" s="100"/>
      <c r="N106" s="101"/>
      <c r="O106" s="128"/>
      <c r="P106" s="95"/>
      <c r="Q106" s="137"/>
      <c r="R106" s="129"/>
      <c r="S106" s="103"/>
      <c r="T106" s="95"/>
      <c r="V106" s="107"/>
    </row>
    <row r="107" ht="15.75" customHeight="1">
      <c r="A107" s="89"/>
      <c r="B107" s="182"/>
      <c r="C107" s="149"/>
      <c r="D107" s="95"/>
      <c r="E107" s="149"/>
      <c r="F107" s="149"/>
      <c r="G107" s="95"/>
      <c r="H107" s="96"/>
      <c r="I107" s="103"/>
      <c r="J107" s="95"/>
      <c r="K107" s="99"/>
      <c r="L107" s="99"/>
      <c r="M107" s="100"/>
      <c r="N107" s="101"/>
      <c r="O107" s="128"/>
      <c r="P107" s="95"/>
      <c r="Q107" s="137"/>
      <c r="R107" s="129"/>
      <c r="S107" s="103"/>
      <c r="T107" s="95"/>
      <c r="V107" s="107"/>
    </row>
    <row r="108" ht="15.75" customHeight="1">
      <c r="A108" s="89"/>
      <c r="B108" s="182"/>
      <c r="C108" s="149"/>
      <c r="D108" s="95"/>
      <c r="E108" s="149"/>
      <c r="F108" s="149"/>
      <c r="G108" s="95"/>
      <c r="H108" s="96"/>
      <c r="I108" s="103"/>
      <c r="J108" s="95"/>
      <c r="K108" s="113"/>
      <c r="L108" s="113"/>
      <c r="M108" s="100"/>
      <c r="N108" s="101"/>
      <c r="O108" s="128"/>
      <c r="P108" s="95"/>
      <c r="Q108" s="95"/>
      <c r="R108" s="129"/>
      <c r="S108" s="103"/>
      <c r="T108" s="95"/>
      <c r="V108" s="107"/>
    </row>
    <row r="109" ht="15.75" customHeight="1">
      <c r="A109" s="89"/>
      <c r="B109" s="182"/>
      <c r="C109" s="149"/>
      <c r="D109" s="95"/>
      <c r="E109" s="149"/>
      <c r="F109" s="149"/>
      <c r="G109" s="95"/>
      <c r="H109" s="96"/>
      <c r="I109" s="103"/>
      <c r="J109" s="95"/>
      <c r="K109" s="99"/>
      <c r="L109" s="99"/>
      <c r="M109" s="100"/>
      <c r="N109" s="101"/>
      <c r="O109" s="128"/>
      <c r="P109" s="95"/>
      <c r="Q109" s="137"/>
      <c r="R109" s="129"/>
      <c r="S109" s="103"/>
      <c r="T109" s="95"/>
      <c r="V109" s="107"/>
    </row>
    <row r="110" ht="15.75" customHeight="1">
      <c r="A110" s="89"/>
      <c r="B110" s="182"/>
      <c r="C110" s="149"/>
      <c r="D110" s="95"/>
      <c r="E110" s="149"/>
      <c r="F110" s="149"/>
      <c r="G110" s="95"/>
      <c r="H110" s="149"/>
      <c r="I110" s="151"/>
      <c r="J110" s="95"/>
      <c r="K110" s="113"/>
      <c r="L110" s="113"/>
      <c r="M110" s="100"/>
      <c r="N110" s="127"/>
      <c r="O110" s="128"/>
      <c r="P110" s="95"/>
      <c r="Q110" s="95"/>
      <c r="R110" s="129"/>
      <c r="S110" s="95"/>
      <c r="T110" s="95"/>
      <c r="V110" s="107"/>
    </row>
    <row r="111" ht="15.75" customHeight="1">
      <c r="A111" s="89"/>
      <c r="B111" s="182"/>
      <c r="C111" s="149"/>
      <c r="D111" s="95"/>
      <c r="E111" s="149"/>
      <c r="F111" s="149"/>
      <c r="G111" s="95"/>
      <c r="H111" s="149"/>
      <c r="I111" s="95"/>
      <c r="J111" s="95"/>
      <c r="K111" s="99"/>
      <c r="L111" s="99"/>
      <c r="M111" s="100"/>
      <c r="N111" s="127"/>
      <c r="O111" s="128"/>
      <c r="P111" s="95"/>
      <c r="Q111" s="137"/>
      <c r="R111" s="129"/>
      <c r="S111" s="95"/>
      <c r="T111" s="95"/>
      <c r="V111" s="107"/>
    </row>
    <row r="112" ht="15.75" customHeight="1">
      <c r="A112" s="89"/>
      <c r="B112" s="182"/>
      <c r="C112" s="107"/>
      <c r="D112" s="95"/>
      <c r="E112" s="149"/>
      <c r="F112" s="149"/>
      <c r="G112" s="95"/>
      <c r="H112" s="149"/>
      <c r="I112" s="95"/>
      <c r="J112" s="95"/>
      <c r="K112" s="113"/>
      <c r="L112" s="113"/>
      <c r="M112" s="100"/>
      <c r="N112" s="127"/>
      <c r="O112" s="128"/>
      <c r="P112" s="95"/>
      <c r="Q112" s="95"/>
      <c r="R112" s="129"/>
      <c r="S112" s="95"/>
      <c r="T112" s="95"/>
      <c r="V112" s="107"/>
    </row>
    <row r="113" ht="15.75" customHeight="1">
      <c r="A113" s="89"/>
      <c r="B113" s="182"/>
      <c r="C113" s="107"/>
      <c r="D113" s="95"/>
      <c r="E113" s="149"/>
      <c r="F113" s="149"/>
      <c r="G113" s="95"/>
      <c r="H113" s="149"/>
      <c r="I113" s="95"/>
      <c r="J113" s="95"/>
      <c r="K113" s="99"/>
      <c r="L113" s="99"/>
      <c r="M113" s="100"/>
      <c r="N113" s="127"/>
      <c r="O113" s="128"/>
      <c r="P113" s="95"/>
      <c r="Q113" s="95"/>
      <c r="R113" s="129"/>
      <c r="S113" s="95"/>
      <c r="T113" s="95"/>
      <c r="V113" s="107"/>
    </row>
    <row r="114" ht="15.75" customHeight="1">
      <c r="A114" s="89"/>
      <c r="B114" s="182"/>
      <c r="C114" s="107"/>
      <c r="D114" s="95"/>
      <c r="E114" s="149"/>
      <c r="F114" s="149"/>
      <c r="G114" s="95"/>
      <c r="H114" s="149"/>
      <c r="I114" s="95"/>
      <c r="J114" s="95"/>
      <c r="K114" s="113"/>
      <c r="L114" s="113"/>
      <c r="M114" s="100"/>
      <c r="N114" s="127"/>
      <c r="O114" s="128"/>
      <c r="P114" s="95"/>
      <c r="Q114" s="95"/>
      <c r="R114" s="129"/>
      <c r="S114" s="95"/>
      <c r="T114" s="95"/>
      <c r="V114" s="107"/>
    </row>
    <row r="115" ht="15.75" customHeight="1">
      <c r="A115" s="89"/>
      <c r="B115" s="182"/>
      <c r="C115" s="149"/>
      <c r="D115" s="95"/>
      <c r="E115" s="149"/>
      <c r="F115" s="149"/>
      <c r="G115" s="95"/>
      <c r="H115" s="149"/>
      <c r="I115" s="95"/>
      <c r="J115" s="95"/>
      <c r="K115" s="99"/>
      <c r="L115" s="99"/>
      <c r="M115" s="100"/>
      <c r="N115" s="127"/>
      <c r="O115" s="128"/>
      <c r="P115" s="95"/>
      <c r="Q115" s="95"/>
      <c r="R115" s="129"/>
      <c r="S115" s="95"/>
      <c r="T115" s="95"/>
      <c r="V115" s="107"/>
    </row>
    <row r="116" ht="15.75" customHeight="1">
      <c r="A116" s="89"/>
      <c r="B116" s="182"/>
      <c r="C116" s="149"/>
      <c r="D116" s="95"/>
      <c r="E116" s="149"/>
      <c r="F116" s="149"/>
      <c r="G116" s="95"/>
      <c r="H116" s="149"/>
      <c r="I116" s="95"/>
      <c r="J116" s="95"/>
      <c r="K116" s="113"/>
      <c r="L116" s="113"/>
      <c r="M116" s="100"/>
      <c r="N116" s="127"/>
      <c r="O116" s="128"/>
      <c r="P116" s="95"/>
      <c r="Q116" s="95"/>
      <c r="R116" s="129"/>
      <c r="S116" s="95"/>
      <c r="T116" s="95"/>
      <c r="V116" s="107"/>
    </row>
    <row r="117" ht="15.75" customHeight="1">
      <c r="A117" s="89"/>
      <c r="B117" s="182"/>
      <c r="C117" s="149"/>
      <c r="D117" s="95"/>
      <c r="E117" s="149"/>
      <c r="F117" s="149"/>
      <c r="G117" s="95"/>
      <c r="H117" s="149"/>
      <c r="I117" s="95"/>
      <c r="J117" s="95"/>
      <c r="K117" s="99"/>
      <c r="L117" s="99"/>
      <c r="M117" s="100"/>
      <c r="N117" s="127"/>
      <c r="O117" s="128"/>
      <c r="P117" s="95"/>
      <c r="Q117" s="95"/>
      <c r="R117" s="129"/>
      <c r="S117" s="95"/>
      <c r="T117" s="95"/>
      <c r="V117" s="107"/>
    </row>
    <row r="118" ht="15.75" customHeight="1">
      <c r="A118" s="89"/>
      <c r="B118" s="182"/>
      <c r="C118" s="149"/>
      <c r="D118" s="95"/>
      <c r="E118" s="149"/>
      <c r="F118" s="149"/>
      <c r="G118" s="95"/>
      <c r="H118" s="149"/>
      <c r="I118" s="95"/>
      <c r="J118" s="95"/>
      <c r="K118" s="113"/>
      <c r="L118" s="113"/>
      <c r="M118" s="100"/>
      <c r="N118" s="127"/>
      <c r="O118" s="128"/>
      <c r="P118" s="95"/>
      <c r="Q118" s="95"/>
      <c r="R118" s="129"/>
      <c r="S118" s="95"/>
      <c r="T118" s="95"/>
      <c r="V118" s="107"/>
    </row>
    <row r="119" ht="15.75" customHeight="1">
      <c r="A119" s="89"/>
      <c r="B119" s="182"/>
      <c r="C119" s="149"/>
      <c r="D119" s="95"/>
      <c r="E119" s="149"/>
      <c r="F119" s="149"/>
      <c r="G119" s="95"/>
      <c r="H119" s="149"/>
      <c r="I119" s="95"/>
      <c r="J119" s="95"/>
      <c r="K119" s="99"/>
      <c r="L119" s="99"/>
      <c r="M119" s="100"/>
      <c r="N119" s="127"/>
      <c r="O119" s="128"/>
      <c r="P119" s="95"/>
      <c r="Q119" s="137"/>
      <c r="R119" s="129"/>
      <c r="S119" s="95"/>
      <c r="T119" s="95"/>
      <c r="V119" s="107"/>
    </row>
    <row r="120" ht="15.75" customHeight="1">
      <c r="A120" s="89"/>
      <c r="B120" s="182"/>
      <c r="C120" s="107"/>
      <c r="D120" s="95"/>
      <c r="E120" s="149"/>
      <c r="F120" s="149"/>
      <c r="G120" s="95"/>
      <c r="H120" s="149"/>
      <c r="I120" s="95"/>
      <c r="J120" s="95"/>
      <c r="K120" s="113"/>
      <c r="L120" s="113"/>
      <c r="M120" s="100"/>
      <c r="N120" s="127"/>
      <c r="O120" s="128"/>
      <c r="P120" s="95"/>
      <c r="Q120" s="95"/>
      <c r="R120" s="129"/>
      <c r="S120" s="95"/>
      <c r="T120" s="95"/>
      <c r="V120" s="107"/>
    </row>
    <row r="121" ht="15.75" customHeight="1">
      <c r="A121" s="89"/>
      <c r="B121" s="182"/>
      <c r="C121" s="107"/>
      <c r="D121" s="95"/>
      <c r="E121" s="149"/>
      <c r="F121" s="149"/>
      <c r="G121" s="95"/>
      <c r="H121" s="149"/>
      <c r="I121" s="95"/>
      <c r="J121" s="95"/>
      <c r="K121" s="99"/>
      <c r="L121" s="99"/>
      <c r="M121" s="100"/>
      <c r="N121" s="127"/>
      <c r="O121" s="128"/>
      <c r="P121" s="95"/>
      <c r="Q121" s="95"/>
      <c r="R121" s="129"/>
      <c r="S121" s="95"/>
      <c r="T121" s="95"/>
      <c r="V121" s="107"/>
    </row>
    <row r="122" ht="15.75" customHeight="1">
      <c r="A122" s="89"/>
      <c r="B122" s="182"/>
      <c r="C122" s="107"/>
      <c r="D122" s="95"/>
      <c r="E122" s="149"/>
      <c r="F122" s="149"/>
      <c r="G122" s="95"/>
      <c r="H122" s="149"/>
      <c r="I122" s="95"/>
      <c r="J122" s="95"/>
      <c r="K122" s="113"/>
      <c r="L122" s="113"/>
      <c r="M122" s="100"/>
      <c r="N122" s="127"/>
      <c r="O122" s="128"/>
      <c r="P122" s="95"/>
      <c r="Q122" s="137"/>
      <c r="R122" s="129"/>
      <c r="S122" s="95"/>
      <c r="T122" s="95"/>
      <c r="V122" s="107"/>
    </row>
    <row r="123" ht="15.75" customHeight="1">
      <c r="A123" s="89"/>
      <c r="B123" s="182"/>
      <c r="C123" s="149"/>
      <c r="D123" s="95"/>
      <c r="E123" s="149"/>
      <c r="F123" s="149"/>
      <c r="G123" s="95"/>
      <c r="H123" s="149"/>
      <c r="I123" s="95"/>
      <c r="J123" s="95"/>
      <c r="K123" s="99"/>
      <c r="L123" s="99"/>
      <c r="M123" s="100"/>
      <c r="N123" s="127"/>
      <c r="O123" s="128"/>
      <c r="P123" s="95"/>
      <c r="Q123" s="137"/>
      <c r="R123" s="129"/>
      <c r="S123" s="95"/>
      <c r="T123" s="95"/>
      <c r="V123" s="107"/>
    </row>
    <row r="124" ht="15.75" customHeight="1">
      <c r="A124" s="89"/>
      <c r="B124" s="182"/>
      <c r="C124" s="149"/>
      <c r="D124" s="95"/>
      <c r="E124" s="149"/>
      <c r="F124" s="149"/>
      <c r="G124" s="95"/>
      <c r="H124" s="149"/>
      <c r="I124" s="95"/>
      <c r="J124" s="95"/>
      <c r="K124" s="113"/>
      <c r="L124" s="113"/>
      <c r="M124" s="100"/>
      <c r="N124" s="127"/>
      <c r="O124" s="128"/>
      <c r="P124" s="95"/>
      <c r="Q124" s="137"/>
      <c r="R124" s="129"/>
      <c r="S124" s="95"/>
      <c r="T124" s="95"/>
      <c r="V124" s="107"/>
    </row>
    <row r="125" ht="15.75" customHeight="1">
      <c r="A125" s="89"/>
      <c r="B125" s="182"/>
      <c r="C125" s="149"/>
      <c r="D125" s="95"/>
      <c r="E125" s="149"/>
      <c r="F125" s="149"/>
      <c r="G125" s="95"/>
      <c r="H125" s="149"/>
      <c r="I125" s="95"/>
      <c r="J125" s="95"/>
      <c r="K125" s="99"/>
      <c r="L125" s="99"/>
      <c r="M125" s="100"/>
      <c r="N125" s="127"/>
      <c r="O125" s="128"/>
      <c r="P125" s="95"/>
      <c r="Q125" s="137"/>
      <c r="R125" s="129"/>
      <c r="S125" s="95"/>
      <c r="T125" s="95"/>
      <c r="V125" s="107"/>
    </row>
    <row r="126" ht="15.75" customHeight="1">
      <c r="A126" s="89"/>
      <c r="B126" s="182"/>
      <c r="C126" s="149"/>
      <c r="D126" s="95"/>
      <c r="E126" s="149"/>
      <c r="F126" s="149"/>
      <c r="G126" s="95"/>
      <c r="H126" s="149"/>
      <c r="I126" s="95"/>
      <c r="J126" s="95"/>
      <c r="K126" s="113"/>
      <c r="L126" s="113"/>
      <c r="M126" s="100"/>
      <c r="N126" s="127"/>
      <c r="O126" s="128"/>
      <c r="P126" s="95"/>
      <c r="Q126" s="137"/>
      <c r="R126" s="129"/>
      <c r="S126" s="95"/>
      <c r="T126" s="95"/>
      <c r="V126" s="107"/>
    </row>
    <row r="127" ht="15.75" customHeight="1">
      <c r="A127" s="89"/>
      <c r="B127" s="182"/>
      <c r="C127" s="149"/>
      <c r="D127" s="95"/>
      <c r="E127" s="149"/>
      <c r="F127" s="149"/>
      <c r="G127" s="95"/>
      <c r="H127" s="149"/>
      <c r="I127" s="95"/>
      <c r="J127" s="95"/>
      <c r="K127" s="99"/>
      <c r="L127" s="99"/>
      <c r="M127" s="100"/>
      <c r="N127" s="127"/>
      <c r="O127" s="128"/>
      <c r="P127" s="95"/>
      <c r="Q127" s="137"/>
      <c r="R127" s="129"/>
      <c r="S127" s="95"/>
      <c r="T127" s="95"/>
      <c r="V127" s="107"/>
    </row>
    <row r="128" ht="15.75" customHeight="1">
      <c r="A128" s="89"/>
      <c r="B128" s="182"/>
      <c r="C128" s="107"/>
      <c r="D128" s="95"/>
      <c r="E128" s="149"/>
      <c r="F128" s="149"/>
      <c r="G128" s="95"/>
      <c r="H128" s="149"/>
      <c r="I128" s="95"/>
      <c r="J128" s="95"/>
      <c r="K128" s="113"/>
      <c r="L128" s="113"/>
      <c r="M128" s="100"/>
      <c r="N128" s="127"/>
      <c r="O128" s="128"/>
      <c r="P128" s="95"/>
      <c r="Q128" s="95"/>
      <c r="R128" s="129"/>
      <c r="S128" s="95"/>
      <c r="T128" s="95"/>
      <c r="V128" s="107"/>
    </row>
    <row r="129" ht="15.75" customHeight="1">
      <c r="A129" s="89"/>
      <c r="B129" s="182"/>
      <c r="C129" s="107"/>
      <c r="D129" s="95"/>
      <c r="E129" s="149"/>
      <c r="F129" s="149"/>
      <c r="G129" s="95"/>
      <c r="H129" s="149"/>
      <c r="I129" s="95"/>
      <c r="J129" s="95"/>
      <c r="K129" s="99"/>
      <c r="L129" s="99"/>
      <c r="M129" s="100"/>
      <c r="N129" s="127"/>
      <c r="O129" s="128"/>
      <c r="P129" s="95"/>
      <c r="Q129" s="137"/>
      <c r="R129" s="129"/>
      <c r="S129" s="95"/>
      <c r="T129" s="95"/>
      <c r="V129" s="107"/>
    </row>
    <row r="130" ht="15.75" customHeight="1">
      <c r="A130" s="89"/>
      <c r="B130" s="182"/>
      <c r="C130" s="107"/>
      <c r="D130" s="95"/>
      <c r="E130" s="149"/>
      <c r="F130" s="149"/>
      <c r="G130" s="95"/>
      <c r="H130" s="149"/>
      <c r="I130" s="95"/>
      <c r="J130" s="95"/>
      <c r="K130" s="113"/>
      <c r="L130" s="113"/>
      <c r="M130" s="100"/>
      <c r="N130" s="127"/>
      <c r="O130" s="128"/>
      <c r="P130" s="95"/>
      <c r="Q130" s="95"/>
      <c r="R130" s="129"/>
      <c r="S130" s="95"/>
      <c r="T130" s="95"/>
      <c r="V130" s="107"/>
    </row>
    <row r="131" ht="15.75" customHeight="1">
      <c r="A131" s="89"/>
      <c r="B131" s="182"/>
      <c r="C131" s="149"/>
      <c r="D131" s="95"/>
      <c r="E131" s="149"/>
      <c r="F131" s="149"/>
      <c r="G131" s="95"/>
      <c r="H131" s="149"/>
      <c r="I131" s="95"/>
      <c r="J131" s="95"/>
      <c r="K131" s="99"/>
      <c r="L131" s="99"/>
      <c r="M131" s="100"/>
      <c r="N131" s="127"/>
      <c r="O131" s="128"/>
      <c r="P131" s="95"/>
      <c r="Q131" s="95"/>
      <c r="R131" s="129"/>
      <c r="S131" s="95"/>
      <c r="T131" s="95"/>
      <c r="V131" s="107"/>
    </row>
    <row r="132" ht="15.75" customHeight="1">
      <c r="A132" s="89"/>
      <c r="B132" s="182"/>
      <c r="C132" s="149"/>
      <c r="D132" s="95"/>
      <c r="E132" s="149"/>
      <c r="F132" s="149"/>
      <c r="G132" s="95"/>
      <c r="H132" s="149"/>
      <c r="I132" s="95"/>
      <c r="J132" s="95"/>
      <c r="K132" s="113"/>
      <c r="L132" s="113"/>
      <c r="M132" s="100"/>
      <c r="N132" s="127"/>
      <c r="O132" s="128"/>
      <c r="P132" s="95"/>
      <c r="Q132" s="137"/>
      <c r="R132" s="129"/>
      <c r="S132" s="95"/>
      <c r="T132" s="95"/>
      <c r="V132" s="107"/>
    </row>
    <row r="133" ht="15.75" customHeight="1">
      <c r="A133" s="89"/>
      <c r="B133" s="182"/>
      <c r="C133" s="149"/>
      <c r="D133" s="95"/>
      <c r="E133" s="149"/>
      <c r="F133" s="149"/>
      <c r="G133" s="95"/>
      <c r="H133" s="149"/>
      <c r="I133" s="95"/>
      <c r="J133" s="95"/>
      <c r="K133" s="99"/>
      <c r="L133" s="99"/>
      <c r="M133" s="100"/>
      <c r="N133" s="127"/>
      <c r="O133" s="128"/>
      <c r="P133" s="95"/>
      <c r="Q133" s="95"/>
      <c r="R133" s="129"/>
      <c r="S133" s="95"/>
      <c r="T133" s="95"/>
      <c r="V133" s="107"/>
    </row>
    <row r="134" ht="15.75" customHeight="1">
      <c r="A134" s="89"/>
      <c r="B134" s="182"/>
      <c r="C134" s="149"/>
      <c r="D134" s="95"/>
      <c r="E134" s="149"/>
      <c r="F134" s="149"/>
      <c r="G134" s="95"/>
      <c r="H134" s="149"/>
      <c r="I134" s="95"/>
      <c r="J134" s="95"/>
      <c r="K134" s="113"/>
      <c r="L134" s="113"/>
      <c r="M134" s="100"/>
      <c r="N134" s="127"/>
      <c r="O134" s="128"/>
      <c r="P134" s="95"/>
      <c r="Q134" s="95"/>
      <c r="R134" s="129"/>
      <c r="S134" s="95"/>
      <c r="T134" s="95"/>
      <c r="V134" s="107"/>
    </row>
    <row r="135" ht="15.75" customHeight="1">
      <c r="A135" s="89"/>
      <c r="B135" s="182"/>
      <c r="C135" s="149"/>
      <c r="D135" s="95"/>
      <c r="E135" s="149"/>
      <c r="F135" s="149"/>
      <c r="G135" s="95"/>
      <c r="H135" s="149"/>
      <c r="I135" s="95"/>
      <c r="J135" s="95"/>
      <c r="K135" s="99"/>
      <c r="L135" s="99"/>
      <c r="M135" s="100"/>
      <c r="N135" s="127"/>
      <c r="O135" s="128"/>
      <c r="P135" s="95"/>
      <c r="Q135" s="137"/>
      <c r="R135" s="129"/>
      <c r="S135" s="95"/>
      <c r="T135" s="95"/>
      <c r="V135" s="107"/>
    </row>
    <row r="136" ht="15.75" customHeight="1">
      <c r="A136" s="89"/>
      <c r="B136" s="182"/>
      <c r="C136" s="107"/>
      <c r="D136" s="95"/>
      <c r="E136" s="149"/>
      <c r="F136" s="149"/>
      <c r="G136" s="95"/>
      <c r="H136" s="149"/>
      <c r="I136" s="95"/>
      <c r="J136" s="95"/>
      <c r="K136" s="113"/>
      <c r="L136" s="113"/>
      <c r="M136" s="100"/>
      <c r="N136" s="127"/>
      <c r="O136" s="128"/>
      <c r="P136" s="95"/>
      <c r="Q136" s="95"/>
      <c r="R136" s="129"/>
      <c r="S136" s="95"/>
      <c r="T136" s="95"/>
      <c r="V136" s="107"/>
    </row>
    <row r="137" ht="15.75" customHeight="1">
      <c r="A137" s="89"/>
      <c r="B137" s="182"/>
      <c r="C137" s="107"/>
      <c r="D137" s="95"/>
      <c r="E137" s="149"/>
      <c r="F137" s="149"/>
      <c r="G137" s="95"/>
      <c r="H137" s="149"/>
      <c r="I137" s="95"/>
      <c r="J137" s="95"/>
      <c r="K137" s="99"/>
      <c r="L137" s="99"/>
      <c r="M137" s="100"/>
      <c r="N137" s="127"/>
      <c r="O137" s="128"/>
      <c r="P137" s="95"/>
      <c r="Q137" s="137"/>
      <c r="R137" s="129"/>
      <c r="S137" s="95"/>
      <c r="T137" s="95"/>
      <c r="V137" s="107"/>
    </row>
    <row r="138" ht="15.75" customHeight="1">
      <c r="A138" s="89"/>
      <c r="B138" s="182"/>
      <c r="C138" s="107"/>
      <c r="D138" s="95"/>
      <c r="E138" s="149"/>
      <c r="F138" s="149"/>
      <c r="G138" s="95"/>
      <c r="H138" s="149"/>
      <c r="I138" s="95"/>
      <c r="J138" s="95"/>
      <c r="K138" s="113"/>
      <c r="L138" s="113"/>
      <c r="M138" s="100"/>
      <c r="N138" s="127"/>
      <c r="O138" s="128"/>
      <c r="P138" s="95"/>
      <c r="Q138" s="137"/>
      <c r="R138" s="129"/>
      <c r="S138" s="95"/>
      <c r="T138" s="95"/>
      <c r="V138" s="107"/>
    </row>
    <row r="139" ht="15.75" customHeight="1">
      <c r="A139" s="89"/>
      <c r="B139" s="182"/>
      <c r="C139" s="149"/>
      <c r="D139" s="95"/>
      <c r="E139" s="149"/>
      <c r="F139" s="149"/>
      <c r="G139" s="95"/>
      <c r="H139" s="149"/>
      <c r="I139" s="95"/>
      <c r="J139" s="95"/>
      <c r="K139" s="99"/>
      <c r="L139" s="99"/>
      <c r="M139" s="100"/>
      <c r="N139" s="127"/>
      <c r="O139" s="128"/>
      <c r="P139" s="95"/>
      <c r="Q139" s="137"/>
      <c r="R139" s="129"/>
      <c r="S139" s="95"/>
      <c r="T139" s="95"/>
      <c r="V139" s="107"/>
    </row>
    <row r="140" ht="15.75" customHeight="1">
      <c r="A140" s="89"/>
      <c r="B140" s="182"/>
      <c r="C140" s="149"/>
      <c r="D140" s="95"/>
      <c r="E140" s="149"/>
      <c r="F140" s="149"/>
      <c r="G140" s="95"/>
      <c r="H140" s="149"/>
      <c r="I140" s="95"/>
      <c r="J140" s="95"/>
      <c r="K140" s="113"/>
      <c r="L140" s="113"/>
      <c r="M140" s="100"/>
      <c r="N140" s="127"/>
      <c r="O140" s="128"/>
      <c r="P140" s="95"/>
      <c r="Q140" s="95"/>
      <c r="R140" s="129"/>
      <c r="S140" s="95"/>
      <c r="T140" s="95"/>
      <c r="V140" s="107"/>
    </row>
    <row r="141" ht="15.75" customHeight="1">
      <c r="A141" s="89"/>
      <c r="B141" s="182"/>
      <c r="C141" s="149"/>
      <c r="D141" s="95"/>
      <c r="E141" s="149"/>
      <c r="F141" s="149"/>
      <c r="G141" s="95"/>
      <c r="H141" s="149"/>
      <c r="I141" s="95"/>
      <c r="J141" s="95"/>
      <c r="K141" s="99"/>
      <c r="L141" s="99"/>
      <c r="M141" s="100"/>
      <c r="N141" s="127"/>
      <c r="O141" s="128"/>
      <c r="P141" s="95"/>
      <c r="Q141" s="137"/>
      <c r="R141" s="129"/>
      <c r="S141" s="95"/>
      <c r="T141" s="95"/>
      <c r="V141" s="107"/>
    </row>
    <row r="142" ht="15.75" customHeight="1">
      <c r="A142" s="89"/>
      <c r="B142" s="182"/>
      <c r="C142" s="149"/>
      <c r="D142" s="95"/>
      <c r="E142" s="149"/>
      <c r="F142" s="149"/>
      <c r="G142" s="95"/>
      <c r="H142" s="149"/>
      <c r="I142" s="95"/>
      <c r="J142" s="95"/>
      <c r="K142" s="113"/>
      <c r="L142" s="113"/>
      <c r="M142" s="100"/>
      <c r="N142" s="127"/>
      <c r="O142" s="128"/>
      <c r="P142" s="95"/>
      <c r="Q142" s="95"/>
      <c r="R142" s="129"/>
      <c r="S142" s="95"/>
      <c r="T142" s="95"/>
      <c r="V142" s="107"/>
    </row>
    <row r="143" ht="15.75" customHeight="1">
      <c r="A143" s="89"/>
      <c r="B143" s="182"/>
      <c r="C143" s="149"/>
      <c r="D143" s="95"/>
      <c r="E143" s="149"/>
      <c r="F143" s="183"/>
      <c r="G143" s="95"/>
      <c r="H143" s="149"/>
      <c r="I143" s="95"/>
      <c r="J143" s="95"/>
      <c r="K143" s="99"/>
      <c r="L143" s="99"/>
      <c r="M143" s="100"/>
      <c r="N143" s="127"/>
      <c r="O143" s="128"/>
      <c r="P143" s="95"/>
      <c r="Q143" s="137"/>
      <c r="R143" s="129"/>
      <c r="S143" s="95"/>
      <c r="T143" s="95"/>
      <c r="V143" s="107"/>
    </row>
    <row r="144" ht="15.75" customHeight="1">
      <c r="A144" s="89"/>
      <c r="B144" s="182"/>
      <c r="C144" s="107"/>
      <c r="D144" s="95"/>
      <c r="E144" s="149"/>
      <c r="F144" s="149"/>
      <c r="G144" s="95"/>
      <c r="H144" s="149"/>
      <c r="I144" s="95"/>
      <c r="J144" s="95"/>
      <c r="K144" s="113"/>
      <c r="L144" s="113"/>
      <c r="M144" s="100"/>
      <c r="N144" s="127"/>
      <c r="O144" s="128"/>
      <c r="P144" s="95"/>
      <c r="Q144" s="95"/>
      <c r="R144" s="129"/>
      <c r="S144" s="95"/>
      <c r="T144" s="95"/>
      <c r="V144" s="107"/>
    </row>
    <row r="145" ht="15.75" customHeight="1">
      <c r="A145" s="89"/>
      <c r="B145" s="182"/>
      <c r="C145" s="107"/>
      <c r="D145" s="95"/>
      <c r="E145" s="149"/>
      <c r="F145" s="149"/>
      <c r="G145" s="95"/>
      <c r="H145" s="149"/>
      <c r="I145" s="95"/>
      <c r="J145" s="95"/>
      <c r="K145" s="99"/>
      <c r="L145" s="99"/>
      <c r="M145" s="100"/>
      <c r="N145" s="127"/>
      <c r="O145" s="128"/>
      <c r="P145" s="95"/>
      <c r="Q145" s="137"/>
      <c r="R145" s="129"/>
      <c r="S145" s="95"/>
      <c r="T145" s="95"/>
      <c r="V145" s="107"/>
    </row>
    <row r="146" ht="15.75" customHeight="1">
      <c r="A146" s="89"/>
      <c r="B146" s="182"/>
      <c r="C146" s="149"/>
      <c r="D146" s="95"/>
      <c r="E146" s="149"/>
      <c r="F146" s="149"/>
      <c r="G146" s="95"/>
      <c r="H146" s="149"/>
      <c r="I146" s="95"/>
      <c r="J146" s="95"/>
      <c r="K146" s="113"/>
      <c r="L146" s="113"/>
      <c r="M146" s="100"/>
      <c r="N146" s="127"/>
      <c r="O146" s="128"/>
      <c r="P146" s="95"/>
      <c r="Q146" s="137"/>
      <c r="R146" s="129"/>
      <c r="S146" s="95"/>
      <c r="T146" s="95"/>
      <c r="V146" s="107"/>
    </row>
    <row r="147" ht="15.75" customHeight="1">
      <c r="A147" s="89"/>
      <c r="B147" s="182"/>
      <c r="C147" s="149"/>
      <c r="D147" s="95"/>
      <c r="E147" s="149"/>
      <c r="F147" s="149"/>
      <c r="G147" s="95"/>
      <c r="H147" s="149"/>
      <c r="I147" s="95"/>
      <c r="J147" s="95"/>
      <c r="K147" s="99"/>
      <c r="L147" s="99"/>
      <c r="M147" s="100"/>
      <c r="N147" s="127"/>
      <c r="O147" s="128"/>
      <c r="P147" s="95"/>
      <c r="Q147" s="137"/>
      <c r="R147" s="129"/>
      <c r="S147" s="95"/>
      <c r="T147" s="95"/>
      <c r="V147" s="107"/>
    </row>
    <row r="148" ht="15.75" customHeight="1">
      <c r="A148" s="89"/>
      <c r="B148" s="182"/>
      <c r="C148" s="149"/>
      <c r="D148" s="95"/>
      <c r="E148" s="149"/>
      <c r="F148" s="149"/>
      <c r="G148" s="95"/>
      <c r="H148" s="149"/>
      <c r="I148" s="95"/>
      <c r="J148" s="95"/>
      <c r="K148" s="113"/>
      <c r="L148" s="113"/>
      <c r="M148" s="100"/>
      <c r="N148" s="127"/>
      <c r="O148" s="128"/>
      <c r="P148" s="95"/>
      <c r="Q148" s="137"/>
      <c r="R148" s="129"/>
      <c r="S148" s="95"/>
      <c r="T148" s="95"/>
      <c r="V148" s="107"/>
    </row>
    <row r="149" ht="15.75" customHeight="1">
      <c r="A149" s="89"/>
      <c r="B149" s="182"/>
      <c r="C149" s="149"/>
      <c r="D149" s="95"/>
      <c r="E149" s="149"/>
      <c r="F149" s="149"/>
      <c r="G149" s="95"/>
      <c r="H149" s="149"/>
      <c r="I149" s="95"/>
      <c r="J149" s="95"/>
      <c r="K149" s="99"/>
      <c r="L149" s="99"/>
      <c r="M149" s="100"/>
      <c r="N149" s="127"/>
      <c r="O149" s="128"/>
      <c r="P149" s="95"/>
      <c r="Q149" s="137"/>
      <c r="R149" s="129"/>
      <c r="S149" s="95"/>
      <c r="T149" s="95"/>
      <c r="V149" s="107"/>
    </row>
    <row r="150" ht="15.75" customHeight="1">
      <c r="A150" s="89"/>
      <c r="B150" s="182"/>
      <c r="C150" s="149"/>
      <c r="D150" s="95"/>
      <c r="E150" s="149"/>
      <c r="F150" s="149"/>
      <c r="G150" s="95"/>
      <c r="H150" s="149"/>
      <c r="I150" s="95"/>
      <c r="J150" s="95"/>
      <c r="K150" s="113"/>
      <c r="L150" s="113"/>
      <c r="M150" s="100"/>
      <c r="N150" s="127"/>
      <c r="O150" s="128"/>
      <c r="P150" s="95"/>
      <c r="Q150" s="137"/>
      <c r="R150" s="129"/>
      <c r="S150" s="95"/>
      <c r="T150" s="95"/>
      <c r="V150" s="107"/>
    </row>
    <row r="151" ht="15.75" customHeight="1">
      <c r="A151" s="89"/>
      <c r="B151" s="182"/>
      <c r="C151" s="107"/>
      <c r="D151" s="95"/>
      <c r="E151" s="149"/>
      <c r="F151" s="149"/>
      <c r="G151" s="95"/>
      <c r="H151" s="149"/>
      <c r="I151" s="95"/>
      <c r="J151" s="95"/>
      <c r="K151" s="99"/>
      <c r="L151" s="99"/>
      <c r="M151" s="100"/>
      <c r="N151" s="127"/>
      <c r="O151" s="128"/>
      <c r="P151" s="95"/>
      <c r="Q151" s="137"/>
      <c r="R151" s="129"/>
      <c r="S151" s="95"/>
      <c r="T151" s="95"/>
      <c r="V151" s="107"/>
    </row>
    <row r="152" ht="15.75" customHeight="1">
      <c r="A152" s="89"/>
      <c r="B152" s="182"/>
      <c r="C152" s="149"/>
      <c r="D152" s="95"/>
      <c r="E152" s="149"/>
      <c r="F152" s="149"/>
      <c r="G152" s="95"/>
      <c r="H152" s="149"/>
      <c r="I152" s="95"/>
      <c r="J152" s="95"/>
      <c r="K152" s="113"/>
      <c r="L152" s="113"/>
      <c r="M152" s="100"/>
      <c r="N152" s="127"/>
      <c r="O152" s="128"/>
      <c r="P152" s="95"/>
      <c r="Q152" s="137"/>
      <c r="R152" s="129"/>
      <c r="S152" s="95"/>
      <c r="T152" s="95"/>
      <c r="V152" s="107"/>
    </row>
    <row r="153" ht="15.75" customHeight="1">
      <c r="A153" s="89"/>
      <c r="B153" s="182"/>
      <c r="C153" s="149"/>
      <c r="D153" s="95"/>
      <c r="E153" s="149"/>
      <c r="F153" s="149"/>
      <c r="G153" s="95"/>
      <c r="H153" s="149"/>
      <c r="I153" s="95"/>
      <c r="J153" s="95"/>
      <c r="K153" s="99"/>
      <c r="L153" s="99"/>
      <c r="M153" s="100"/>
      <c r="N153" s="127"/>
      <c r="O153" s="128"/>
      <c r="P153" s="95"/>
      <c r="Q153" s="137"/>
      <c r="R153" s="129"/>
      <c r="S153" s="95"/>
      <c r="T153" s="95"/>
      <c r="V153" s="107"/>
    </row>
    <row r="154" ht="15.75" customHeight="1">
      <c r="A154" s="89"/>
      <c r="B154" s="182"/>
      <c r="C154" s="149"/>
      <c r="D154" s="95"/>
      <c r="E154" s="149"/>
      <c r="F154" s="149"/>
      <c r="G154" s="95"/>
      <c r="H154" s="149"/>
      <c r="I154" s="95"/>
      <c r="J154" s="95"/>
      <c r="K154" s="113"/>
      <c r="L154" s="113"/>
      <c r="M154" s="100"/>
      <c r="N154" s="127"/>
      <c r="O154" s="128"/>
      <c r="P154" s="95"/>
      <c r="Q154" s="137"/>
      <c r="R154" s="129"/>
      <c r="S154" s="95"/>
      <c r="T154" s="95"/>
      <c r="V154" s="107"/>
    </row>
    <row r="155" ht="15.75" customHeight="1">
      <c r="A155" s="89"/>
      <c r="B155" s="182"/>
      <c r="C155" s="149"/>
      <c r="D155" s="95"/>
      <c r="E155" s="149"/>
      <c r="F155" s="149"/>
      <c r="G155" s="95"/>
      <c r="H155" s="149"/>
      <c r="I155" s="95"/>
      <c r="J155" s="95"/>
      <c r="K155" s="99"/>
      <c r="L155" s="99"/>
      <c r="M155" s="100"/>
      <c r="N155" s="127"/>
      <c r="O155" s="128"/>
      <c r="P155" s="95"/>
      <c r="Q155" s="137"/>
      <c r="R155" s="129"/>
      <c r="S155" s="95"/>
      <c r="T155" s="95"/>
      <c r="V155" s="107"/>
    </row>
    <row r="156" ht="15.75" customHeight="1">
      <c r="A156" s="89"/>
      <c r="B156" s="182"/>
      <c r="C156" s="149"/>
      <c r="D156" s="95"/>
      <c r="E156" s="149"/>
      <c r="F156" s="149"/>
      <c r="G156" s="95"/>
      <c r="H156" s="149"/>
      <c r="I156" s="95"/>
      <c r="J156" s="95"/>
      <c r="K156" s="113"/>
      <c r="L156" s="113"/>
      <c r="M156" s="100"/>
      <c r="N156" s="127"/>
      <c r="O156" s="128"/>
      <c r="P156" s="95"/>
      <c r="Q156" s="137"/>
      <c r="R156" s="129"/>
      <c r="S156" s="95"/>
      <c r="T156" s="95"/>
      <c r="V156" s="107"/>
    </row>
    <row r="157" ht="15.75" customHeight="1">
      <c r="A157" s="89"/>
      <c r="B157" s="182"/>
      <c r="C157" s="107"/>
      <c r="D157" s="95"/>
      <c r="E157" s="149"/>
      <c r="F157" s="149"/>
      <c r="G157" s="95"/>
      <c r="H157" s="149"/>
      <c r="I157" s="95"/>
      <c r="J157" s="95"/>
      <c r="K157" s="99"/>
      <c r="L157" s="99"/>
      <c r="M157" s="100"/>
      <c r="N157" s="127"/>
      <c r="O157" s="128"/>
      <c r="P157" s="95"/>
      <c r="Q157" s="137"/>
      <c r="R157" s="129"/>
      <c r="S157" s="95"/>
      <c r="T157" s="95"/>
      <c r="V157" s="107"/>
    </row>
    <row r="158" ht="15.75" customHeight="1">
      <c r="A158" s="89"/>
      <c r="B158" s="182"/>
      <c r="C158" s="149"/>
      <c r="D158" s="95"/>
      <c r="E158" s="149"/>
      <c r="F158" s="149"/>
      <c r="G158" s="95"/>
      <c r="H158" s="149"/>
      <c r="I158" s="95"/>
      <c r="J158" s="95"/>
      <c r="K158" s="113"/>
      <c r="L158" s="113"/>
      <c r="M158" s="100"/>
      <c r="N158" s="127"/>
      <c r="O158" s="128"/>
      <c r="P158" s="95"/>
      <c r="Q158" s="137"/>
      <c r="R158" s="129"/>
      <c r="S158" s="95"/>
      <c r="T158" s="95"/>
      <c r="V158" s="107"/>
    </row>
    <row r="159" ht="15.75" customHeight="1">
      <c r="A159" s="89"/>
      <c r="B159" s="182"/>
      <c r="C159" s="149"/>
      <c r="D159" s="95"/>
      <c r="E159" s="149"/>
      <c r="F159" s="149"/>
      <c r="G159" s="95"/>
      <c r="H159" s="149"/>
      <c r="I159" s="95"/>
      <c r="J159" s="95"/>
      <c r="K159" s="99"/>
      <c r="L159" s="99"/>
      <c r="M159" s="100"/>
      <c r="N159" s="127"/>
      <c r="O159" s="128"/>
      <c r="P159" s="95"/>
      <c r="Q159" s="137"/>
      <c r="R159" s="129"/>
      <c r="S159" s="95"/>
      <c r="T159" s="95"/>
      <c r="V159" s="107"/>
    </row>
    <row r="160" ht="15.75" customHeight="1">
      <c r="A160" s="89"/>
      <c r="B160" s="182"/>
      <c r="C160" s="149"/>
      <c r="D160" s="95"/>
      <c r="E160" s="149"/>
      <c r="F160" s="149"/>
      <c r="G160" s="95"/>
      <c r="H160" s="149"/>
      <c r="I160" s="95"/>
      <c r="J160" s="95"/>
      <c r="K160" s="113"/>
      <c r="L160" s="113"/>
      <c r="M160" s="100"/>
      <c r="N160" s="127"/>
      <c r="O160" s="128"/>
      <c r="P160" s="95"/>
      <c r="Q160" s="137"/>
      <c r="R160" s="129"/>
      <c r="S160" s="95"/>
      <c r="T160" s="95"/>
      <c r="V160" s="107"/>
    </row>
    <row r="161" ht="15.75" customHeight="1">
      <c r="A161" s="89"/>
      <c r="B161" s="182"/>
      <c r="C161" s="149"/>
      <c r="D161" s="95"/>
      <c r="E161" s="149"/>
      <c r="F161" s="149"/>
      <c r="G161" s="95"/>
      <c r="H161" s="149"/>
      <c r="I161" s="95"/>
      <c r="J161" s="95"/>
      <c r="K161" s="99"/>
      <c r="L161" s="99"/>
      <c r="M161" s="100"/>
      <c r="N161" s="127"/>
      <c r="O161" s="128"/>
      <c r="P161" s="95"/>
      <c r="Q161" s="137"/>
      <c r="R161" s="129"/>
      <c r="S161" s="95"/>
      <c r="T161" s="95"/>
      <c r="V161" s="107"/>
    </row>
    <row r="162" ht="15.75" customHeight="1">
      <c r="A162" s="89"/>
      <c r="B162" s="182"/>
      <c r="C162" s="149"/>
      <c r="D162" s="95"/>
      <c r="E162" s="149"/>
      <c r="F162" s="149"/>
      <c r="G162" s="95"/>
      <c r="H162" s="149"/>
      <c r="I162" s="95"/>
      <c r="J162" s="95"/>
      <c r="K162" s="113"/>
      <c r="L162" s="113"/>
      <c r="M162" s="100"/>
      <c r="N162" s="127"/>
      <c r="O162" s="128"/>
      <c r="P162" s="95"/>
      <c r="Q162" s="137"/>
      <c r="R162" s="129"/>
      <c r="S162" s="95"/>
      <c r="T162" s="95"/>
      <c r="V162" s="107"/>
    </row>
    <row r="163" ht="15.75" customHeight="1">
      <c r="A163" s="89"/>
      <c r="B163" s="182"/>
      <c r="C163" s="107"/>
      <c r="D163" s="95"/>
      <c r="E163" s="149"/>
      <c r="F163" s="149"/>
      <c r="G163" s="95"/>
      <c r="H163" s="149"/>
      <c r="I163" s="95"/>
      <c r="J163" s="95"/>
      <c r="K163" s="99"/>
      <c r="L163" s="99"/>
      <c r="M163" s="100"/>
      <c r="N163" s="127"/>
      <c r="O163" s="128"/>
      <c r="P163" s="95"/>
      <c r="Q163" s="137"/>
      <c r="R163" s="129"/>
      <c r="S163" s="95"/>
      <c r="T163" s="95"/>
      <c r="V163" s="107"/>
    </row>
    <row r="164" ht="15.75" customHeight="1">
      <c r="A164" s="89"/>
      <c r="B164" s="182"/>
      <c r="C164" s="149"/>
      <c r="D164" s="95"/>
      <c r="E164" s="149"/>
      <c r="F164" s="149"/>
      <c r="G164" s="95"/>
      <c r="H164" s="149"/>
      <c r="I164" s="95"/>
      <c r="J164" s="95"/>
      <c r="K164" s="113"/>
      <c r="L164" s="113"/>
      <c r="M164" s="100"/>
      <c r="N164" s="127"/>
      <c r="O164" s="128"/>
      <c r="P164" s="95"/>
      <c r="Q164" s="137"/>
      <c r="R164" s="129"/>
      <c r="S164" s="95"/>
      <c r="T164" s="95"/>
      <c r="V164" s="107"/>
    </row>
    <row r="165" ht="15.75" customHeight="1">
      <c r="A165" s="89"/>
      <c r="B165" s="182"/>
      <c r="C165" s="149"/>
      <c r="D165" s="95"/>
      <c r="E165" s="149"/>
      <c r="F165" s="149"/>
      <c r="G165" s="95"/>
      <c r="H165" s="149"/>
      <c r="I165" s="95"/>
      <c r="J165" s="95"/>
      <c r="K165" s="99"/>
      <c r="L165" s="99"/>
      <c r="M165" s="100"/>
      <c r="N165" s="127"/>
      <c r="O165" s="128"/>
      <c r="P165" s="95"/>
      <c r="Q165" s="137"/>
      <c r="R165" s="129"/>
      <c r="S165" s="95"/>
      <c r="T165" s="95"/>
      <c r="V165" s="107"/>
    </row>
    <row r="166" ht="15.75" customHeight="1">
      <c r="A166" s="89"/>
      <c r="B166" s="182"/>
      <c r="C166" s="149"/>
      <c r="D166" s="95"/>
      <c r="E166" s="149"/>
      <c r="F166" s="149"/>
      <c r="G166" s="95"/>
      <c r="H166" s="149"/>
      <c r="I166" s="95"/>
      <c r="J166" s="95"/>
      <c r="K166" s="113"/>
      <c r="L166" s="113"/>
      <c r="M166" s="100"/>
      <c r="N166" s="127"/>
      <c r="O166" s="128"/>
      <c r="P166" s="95"/>
      <c r="Q166" s="137"/>
      <c r="R166" s="129"/>
      <c r="S166" s="95"/>
      <c r="T166" s="95"/>
      <c r="V166" s="107"/>
    </row>
    <row r="167" ht="15.75" customHeight="1">
      <c r="A167" s="89"/>
      <c r="B167" s="182"/>
      <c r="C167" s="149"/>
      <c r="D167" s="95"/>
      <c r="E167" s="149"/>
      <c r="F167" s="149"/>
      <c r="G167" s="95"/>
      <c r="H167" s="149"/>
      <c r="I167" s="95"/>
      <c r="J167" s="95"/>
      <c r="K167" s="99"/>
      <c r="L167" s="99"/>
      <c r="M167" s="100"/>
      <c r="N167" s="127"/>
      <c r="O167" s="128"/>
      <c r="P167" s="95"/>
      <c r="Q167" s="137"/>
      <c r="R167" s="129"/>
      <c r="S167" s="95"/>
      <c r="T167" s="95"/>
      <c r="V167" s="107"/>
    </row>
    <row r="168" ht="15.75" customHeight="1">
      <c r="A168" s="89"/>
      <c r="B168" s="182"/>
      <c r="C168" s="149"/>
      <c r="D168" s="95"/>
      <c r="E168" s="149"/>
      <c r="F168" s="149"/>
      <c r="G168" s="95"/>
      <c r="H168" s="149"/>
      <c r="I168" s="95"/>
      <c r="J168" s="95"/>
      <c r="K168" s="113"/>
      <c r="L168" s="113"/>
      <c r="M168" s="100"/>
      <c r="N168" s="127"/>
      <c r="O168" s="128"/>
      <c r="P168" s="95"/>
      <c r="Q168" s="137"/>
      <c r="R168" s="129"/>
      <c r="S168" s="95"/>
      <c r="T168" s="95"/>
      <c r="V168" s="107"/>
    </row>
    <row r="169" ht="15.75" customHeight="1">
      <c r="A169" s="89"/>
      <c r="B169" s="182"/>
      <c r="C169" s="107"/>
      <c r="D169" s="95"/>
      <c r="E169" s="149"/>
      <c r="F169" s="149"/>
      <c r="G169" s="95"/>
      <c r="H169" s="149"/>
      <c r="I169" s="95"/>
      <c r="J169" s="95"/>
      <c r="K169" s="99"/>
      <c r="L169" s="99"/>
      <c r="M169" s="100"/>
      <c r="N169" s="127"/>
      <c r="O169" s="128"/>
      <c r="P169" s="95"/>
      <c r="Q169" s="137"/>
      <c r="R169" s="129"/>
      <c r="S169" s="95"/>
      <c r="T169" s="95"/>
      <c r="V169" s="107"/>
    </row>
    <row r="170" ht="15.75" customHeight="1">
      <c r="A170" s="89"/>
      <c r="B170" s="182"/>
      <c r="C170" s="149"/>
      <c r="D170" s="95"/>
      <c r="E170" s="149"/>
      <c r="F170" s="149"/>
      <c r="G170" s="95"/>
      <c r="H170" s="149"/>
      <c r="I170" s="95"/>
      <c r="J170" s="95"/>
      <c r="K170" s="113"/>
      <c r="L170" s="113"/>
      <c r="M170" s="100"/>
      <c r="N170" s="127"/>
      <c r="O170" s="128"/>
      <c r="P170" s="95"/>
      <c r="Q170" s="137"/>
      <c r="R170" s="129"/>
      <c r="S170" s="95"/>
      <c r="T170" s="95"/>
      <c r="V170" s="107"/>
    </row>
    <row r="171" ht="15.75" customHeight="1">
      <c r="A171" s="89"/>
      <c r="B171" s="182"/>
      <c r="C171" s="149"/>
      <c r="D171" s="95"/>
      <c r="E171" s="149"/>
      <c r="F171" s="149"/>
      <c r="G171" s="95"/>
      <c r="H171" s="149"/>
      <c r="I171" s="95"/>
      <c r="J171" s="95"/>
      <c r="K171" s="99"/>
      <c r="L171" s="99"/>
      <c r="M171" s="100"/>
      <c r="N171" s="127"/>
      <c r="O171" s="128"/>
      <c r="P171" s="95"/>
      <c r="Q171" s="137"/>
      <c r="R171" s="129"/>
      <c r="S171" s="95"/>
      <c r="T171" s="95"/>
      <c r="V171" s="107"/>
    </row>
    <row r="172" ht="15.75" customHeight="1">
      <c r="A172" s="89"/>
      <c r="B172" s="182"/>
      <c r="C172" s="149"/>
      <c r="D172" s="95"/>
      <c r="E172" s="149"/>
      <c r="F172" s="149"/>
      <c r="G172" s="95"/>
      <c r="H172" s="149"/>
      <c r="I172" s="95"/>
      <c r="J172" s="95"/>
      <c r="K172" s="113"/>
      <c r="L172" s="113"/>
      <c r="M172" s="100"/>
      <c r="N172" s="127"/>
      <c r="O172" s="128"/>
      <c r="P172" s="95"/>
      <c r="Q172" s="137"/>
      <c r="R172" s="129"/>
      <c r="S172" s="95"/>
      <c r="T172" s="95"/>
      <c r="V172" s="107"/>
    </row>
    <row r="173" ht="15.75" customHeight="1">
      <c r="A173" s="89"/>
      <c r="B173" s="182"/>
      <c r="C173" s="149"/>
      <c r="D173" s="95"/>
      <c r="E173" s="149"/>
      <c r="F173" s="149"/>
      <c r="G173" s="95"/>
      <c r="H173" s="149"/>
      <c r="I173" s="95"/>
      <c r="J173" s="95"/>
      <c r="K173" s="99"/>
      <c r="L173" s="99"/>
      <c r="M173" s="100"/>
      <c r="N173" s="127"/>
      <c r="O173" s="128"/>
      <c r="P173" s="95"/>
      <c r="Q173" s="137"/>
      <c r="R173" s="129"/>
      <c r="S173" s="95"/>
      <c r="T173" s="95"/>
      <c r="V173" s="107"/>
    </row>
    <row r="174" ht="15.75" customHeight="1">
      <c r="A174" s="89"/>
      <c r="B174" s="182"/>
      <c r="C174" s="149"/>
      <c r="D174" s="95"/>
      <c r="E174" s="149"/>
      <c r="F174" s="149"/>
      <c r="G174" s="95"/>
      <c r="H174" s="149"/>
      <c r="I174" s="95"/>
      <c r="J174" s="95"/>
      <c r="K174" s="113"/>
      <c r="L174" s="113"/>
      <c r="M174" s="100"/>
      <c r="N174" s="127"/>
      <c r="O174" s="128"/>
      <c r="P174" s="95"/>
      <c r="Q174" s="137"/>
      <c r="R174" s="129"/>
      <c r="S174" s="95"/>
      <c r="T174" s="95"/>
      <c r="V174" s="107"/>
    </row>
    <row r="175" ht="15.75" customHeight="1">
      <c r="A175" s="89"/>
      <c r="B175" s="182"/>
      <c r="C175" s="107"/>
      <c r="D175" s="95"/>
      <c r="E175" s="149"/>
      <c r="F175" s="149"/>
      <c r="G175" s="95"/>
      <c r="H175" s="149"/>
      <c r="I175" s="95"/>
      <c r="J175" s="95"/>
      <c r="K175" s="99"/>
      <c r="L175" s="99"/>
      <c r="M175" s="100"/>
      <c r="N175" s="127"/>
      <c r="O175" s="128"/>
      <c r="P175" s="95"/>
      <c r="Q175" s="137"/>
      <c r="R175" s="129"/>
      <c r="S175" s="95"/>
      <c r="T175" s="95"/>
      <c r="V175" s="107"/>
    </row>
    <row r="176" ht="15.75" customHeight="1">
      <c r="A176" s="89"/>
      <c r="B176" s="182"/>
      <c r="C176" s="149"/>
      <c r="D176" s="95"/>
      <c r="E176" s="149"/>
      <c r="F176" s="149"/>
      <c r="G176" s="95"/>
      <c r="H176" s="149"/>
      <c r="I176" s="95"/>
      <c r="J176" s="95"/>
      <c r="K176" s="113"/>
      <c r="L176" s="113"/>
      <c r="M176" s="100"/>
      <c r="N176" s="127"/>
      <c r="O176" s="128"/>
      <c r="P176" s="95"/>
      <c r="Q176" s="137"/>
      <c r="R176" s="129"/>
      <c r="S176" s="95"/>
      <c r="T176" s="95"/>
      <c r="V176" s="107"/>
    </row>
    <row r="177" ht="15.75" customHeight="1">
      <c r="A177" s="89"/>
      <c r="B177" s="182"/>
      <c r="C177" s="149"/>
      <c r="D177" s="95"/>
      <c r="E177" s="149"/>
      <c r="F177" s="149"/>
      <c r="G177" s="95"/>
      <c r="H177" s="149"/>
      <c r="I177" s="95"/>
      <c r="J177" s="95"/>
      <c r="K177" s="99"/>
      <c r="L177" s="99"/>
      <c r="M177" s="100"/>
      <c r="N177" s="127"/>
      <c r="O177" s="128"/>
      <c r="P177" s="95"/>
      <c r="Q177" s="137"/>
      <c r="R177" s="129"/>
      <c r="S177" s="95"/>
      <c r="T177" s="95"/>
      <c r="V177" s="107"/>
    </row>
    <row r="178" ht="15.75" customHeight="1">
      <c r="A178" s="89"/>
      <c r="B178" s="182"/>
      <c r="C178" s="149"/>
      <c r="D178" s="95"/>
      <c r="E178" s="149"/>
      <c r="F178" s="149"/>
      <c r="G178" s="95"/>
      <c r="H178" s="149"/>
      <c r="I178" s="95"/>
      <c r="J178" s="95"/>
      <c r="K178" s="113"/>
      <c r="L178" s="113"/>
      <c r="M178" s="100"/>
      <c r="N178" s="127"/>
      <c r="O178" s="128"/>
      <c r="P178" s="95"/>
      <c r="Q178" s="137"/>
      <c r="R178" s="129"/>
      <c r="S178" s="95"/>
      <c r="T178" s="95"/>
      <c r="V178" s="107"/>
    </row>
    <row r="179" ht="15.75" customHeight="1">
      <c r="A179" s="89"/>
      <c r="B179" s="182"/>
      <c r="C179" s="149"/>
      <c r="D179" s="95"/>
      <c r="E179" s="149"/>
      <c r="F179" s="149"/>
      <c r="G179" s="95"/>
      <c r="H179" s="149"/>
      <c r="I179" s="95"/>
      <c r="J179" s="95"/>
      <c r="K179" s="99"/>
      <c r="L179" s="99"/>
      <c r="M179" s="100"/>
      <c r="N179" s="127"/>
      <c r="O179" s="128"/>
      <c r="P179" s="95"/>
      <c r="Q179" s="137"/>
      <c r="R179" s="129"/>
      <c r="S179" s="95"/>
      <c r="T179" s="95"/>
      <c r="V179" s="107"/>
    </row>
    <row r="180" ht="15.75" customHeight="1">
      <c r="A180" s="89"/>
      <c r="B180" s="182"/>
      <c r="C180" s="149"/>
      <c r="D180" s="95"/>
      <c r="E180" s="149"/>
      <c r="F180" s="149"/>
      <c r="G180" s="95"/>
      <c r="H180" s="149"/>
      <c r="I180" s="95"/>
      <c r="J180" s="95"/>
      <c r="K180" s="113"/>
      <c r="L180" s="113"/>
      <c r="M180" s="100"/>
      <c r="N180" s="127"/>
      <c r="O180" s="128"/>
      <c r="P180" s="95"/>
      <c r="Q180" s="137"/>
      <c r="R180" s="129"/>
      <c r="S180" s="95"/>
      <c r="T180" s="95"/>
      <c r="V180" s="107"/>
    </row>
    <row r="181" ht="15.75" customHeight="1">
      <c r="A181" s="89"/>
      <c r="B181" s="182"/>
      <c r="C181" s="107"/>
      <c r="D181" s="95"/>
      <c r="E181" s="149"/>
      <c r="F181" s="149"/>
      <c r="G181" s="95"/>
      <c r="H181" s="149"/>
      <c r="I181" s="95"/>
      <c r="J181" s="95"/>
      <c r="K181" s="99"/>
      <c r="L181" s="99"/>
      <c r="M181" s="100"/>
      <c r="N181" s="127"/>
      <c r="O181" s="128"/>
      <c r="P181" s="95"/>
      <c r="Q181" s="137"/>
      <c r="R181" s="129"/>
      <c r="S181" s="95"/>
      <c r="T181" s="95"/>
      <c r="V181" s="107"/>
    </row>
    <row r="182" ht="15.75" customHeight="1">
      <c r="A182" s="89"/>
      <c r="B182" s="182"/>
      <c r="C182" s="149"/>
      <c r="D182" s="95"/>
      <c r="E182" s="149"/>
      <c r="F182" s="149"/>
      <c r="G182" s="95"/>
      <c r="H182" s="149"/>
      <c r="I182" s="95"/>
      <c r="J182" s="95"/>
      <c r="K182" s="113"/>
      <c r="L182" s="113"/>
      <c r="M182" s="100"/>
      <c r="N182" s="127"/>
      <c r="O182" s="128"/>
      <c r="P182" s="95"/>
      <c r="Q182" s="137"/>
      <c r="R182" s="129"/>
      <c r="S182" s="95"/>
      <c r="T182" s="95"/>
      <c r="V182" s="107"/>
    </row>
    <row r="183" ht="15.75" customHeight="1">
      <c r="A183" s="89"/>
      <c r="B183" s="182"/>
      <c r="C183" s="149"/>
      <c r="D183" s="95"/>
      <c r="E183" s="149"/>
      <c r="F183" s="149"/>
      <c r="G183" s="95"/>
      <c r="H183" s="149"/>
      <c r="I183" s="95"/>
      <c r="J183" s="95"/>
      <c r="K183" s="99"/>
      <c r="L183" s="99"/>
      <c r="M183" s="100"/>
      <c r="N183" s="127"/>
      <c r="O183" s="128"/>
      <c r="P183" s="95"/>
      <c r="Q183" s="137"/>
      <c r="R183" s="129"/>
      <c r="S183" s="95"/>
      <c r="T183" s="95"/>
      <c r="V183" s="107"/>
    </row>
    <row r="184" ht="15.75" customHeight="1">
      <c r="A184" s="89"/>
      <c r="B184" s="182"/>
      <c r="C184" s="149"/>
      <c r="D184" s="95"/>
      <c r="E184" s="149"/>
      <c r="F184" s="149"/>
      <c r="G184" s="95"/>
      <c r="H184" s="149"/>
      <c r="I184" s="95"/>
      <c r="J184" s="95"/>
      <c r="K184" s="113"/>
      <c r="L184" s="113"/>
      <c r="M184" s="100"/>
      <c r="N184" s="127"/>
      <c r="O184" s="128"/>
      <c r="P184" s="95"/>
      <c r="Q184" s="137"/>
      <c r="R184" s="129"/>
      <c r="S184" s="95"/>
      <c r="T184" s="95"/>
      <c r="V184" s="107"/>
    </row>
    <row r="185" ht="15.75" customHeight="1">
      <c r="A185" s="89"/>
      <c r="B185" s="182"/>
      <c r="C185" s="149"/>
      <c r="D185" s="95"/>
      <c r="E185" s="149"/>
      <c r="F185" s="149"/>
      <c r="G185" s="95"/>
      <c r="H185" s="149"/>
      <c r="I185" s="95"/>
      <c r="J185" s="95"/>
      <c r="K185" s="99"/>
      <c r="L185" s="99"/>
      <c r="M185" s="100"/>
      <c r="N185" s="127"/>
      <c r="O185" s="128"/>
      <c r="P185" s="95"/>
      <c r="Q185" s="137"/>
      <c r="R185" s="129"/>
      <c r="S185" s="95"/>
      <c r="T185" s="95"/>
      <c r="V185" s="107"/>
    </row>
    <row r="186" ht="15.75" customHeight="1">
      <c r="A186" s="89"/>
      <c r="B186" s="182"/>
      <c r="C186" s="149"/>
      <c r="D186" s="95"/>
      <c r="E186" s="149"/>
      <c r="F186" s="149"/>
      <c r="G186" s="95"/>
      <c r="H186" s="149"/>
      <c r="I186" s="95"/>
      <c r="J186" s="95"/>
      <c r="K186" s="113"/>
      <c r="L186" s="113"/>
      <c r="M186" s="100"/>
      <c r="N186" s="127"/>
      <c r="O186" s="128"/>
      <c r="P186" s="95"/>
      <c r="Q186" s="137"/>
      <c r="R186" s="129"/>
      <c r="S186" s="95"/>
      <c r="T186" s="95"/>
      <c r="V186" s="107"/>
    </row>
    <row r="187" ht="15.75" customHeight="1">
      <c r="A187" s="89"/>
      <c r="B187" s="182"/>
      <c r="C187" s="107"/>
      <c r="D187" s="95"/>
      <c r="E187" s="149"/>
      <c r="F187" s="149"/>
      <c r="G187" s="95"/>
      <c r="H187" s="149"/>
      <c r="I187" s="95"/>
      <c r="J187" s="95"/>
      <c r="K187" s="99"/>
      <c r="L187" s="99"/>
      <c r="M187" s="100"/>
      <c r="N187" s="127"/>
      <c r="O187" s="128"/>
      <c r="P187" s="95"/>
      <c r="Q187" s="137"/>
      <c r="R187" s="129"/>
      <c r="S187" s="95"/>
      <c r="T187" s="95"/>
      <c r="V187" s="107"/>
    </row>
    <row r="188" ht="15.75" customHeight="1">
      <c r="A188" s="89"/>
      <c r="B188" s="182"/>
      <c r="C188" s="149"/>
      <c r="D188" s="95"/>
      <c r="E188" s="149"/>
      <c r="F188" s="149"/>
      <c r="G188" s="95"/>
      <c r="H188" s="149"/>
      <c r="I188" s="95"/>
      <c r="J188" s="95"/>
      <c r="K188" s="113"/>
      <c r="L188" s="113"/>
      <c r="M188" s="100"/>
      <c r="N188" s="127"/>
      <c r="O188" s="128"/>
      <c r="P188" s="95"/>
      <c r="Q188" s="137"/>
      <c r="R188" s="129"/>
      <c r="S188" s="95"/>
      <c r="T188" s="95"/>
      <c r="V188" s="107"/>
    </row>
    <row r="189" ht="15.75" customHeight="1">
      <c r="A189" s="89"/>
      <c r="B189" s="182"/>
      <c r="C189" s="149"/>
      <c r="D189" s="95"/>
      <c r="E189" s="149"/>
      <c r="F189" s="149"/>
      <c r="G189" s="95"/>
      <c r="H189" s="149"/>
      <c r="I189" s="95"/>
      <c r="J189" s="95"/>
      <c r="K189" s="99"/>
      <c r="L189" s="99"/>
      <c r="M189" s="100"/>
      <c r="N189" s="127"/>
      <c r="O189" s="128"/>
      <c r="P189" s="95"/>
      <c r="Q189" s="137"/>
      <c r="R189" s="129"/>
      <c r="S189" s="95"/>
      <c r="T189" s="95"/>
      <c r="V189" s="107"/>
    </row>
    <row r="190" ht="15.75" customHeight="1">
      <c r="A190" s="89"/>
      <c r="B190" s="182"/>
      <c r="C190" s="149"/>
      <c r="D190" s="95"/>
      <c r="E190" s="149"/>
      <c r="F190" s="149"/>
      <c r="G190" s="95"/>
      <c r="H190" s="149"/>
      <c r="I190" s="95"/>
      <c r="J190" s="95"/>
      <c r="K190" s="113"/>
      <c r="L190" s="113"/>
      <c r="M190" s="100"/>
      <c r="N190" s="127"/>
      <c r="O190" s="128"/>
      <c r="P190" s="95"/>
      <c r="Q190" s="137"/>
      <c r="R190" s="129"/>
      <c r="S190" s="95"/>
      <c r="T190" s="95"/>
      <c r="V190" s="107"/>
    </row>
    <row r="191" ht="15.75" customHeight="1">
      <c r="A191" s="89"/>
      <c r="B191" s="182"/>
      <c r="C191" s="149"/>
      <c r="D191" s="95"/>
      <c r="E191" s="149"/>
      <c r="F191" s="149"/>
      <c r="G191" s="95"/>
      <c r="H191" s="149"/>
      <c r="I191" s="95"/>
      <c r="J191" s="95"/>
      <c r="K191" s="99"/>
      <c r="L191" s="99"/>
      <c r="M191" s="100"/>
      <c r="N191" s="127"/>
      <c r="O191" s="128"/>
      <c r="P191" s="95"/>
      <c r="Q191" s="137"/>
      <c r="R191" s="129"/>
      <c r="S191" s="95"/>
      <c r="T191" s="95"/>
      <c r="V191" s="107"/>
    </row>
    <row r="192" ht="15.75" customHeight="1">
      <c r="A192" s="89"/>
      <c r="B192" s="182"/>
      <c r="C192" s="149"/>
      <c r="D192" s="95"/>
      <c r="E192" s="149"/>
      <c r="F192" s="149"/>
      <c r="G192" s="95"/>
      <c r="H192" s="149"/>
      <c r="I192" s="95"/>
      <c r="J192" s="95"/>
      <c r="K192" s="113"/>
      <c r="L192" s="113"/>
      <c r="M192" s="100"/>
      <c r="N192" s="127"/>
      <c r="O192" s="128"/>
      <c r="P192" s="95"/>
      <c r="Q192" s="137"/>
      <c r="R192" s="129"/>
      <c r="S192" s="95"/>
      <c r="T192" s="95"/>
      <c r="V192" s="107"/>
    </row>
    <row r="193" ht="15.75" customHeight="1">
      <c r="A193" s="89"/>
      <c r="B193" s="182"/>
      <c r="C193" s="107"/>
      <c r="D193" s="95"/>
      <c r="E193" s="149"/>
      <c r="F193" s="149"/>
      <c r="G193" s="95"/>
      <c r="H193" s="149"/>
      <c r="I193" s="95"/>
      <c r="J193" s="95"/>
      <c r="K193" s="99"/>
      <c r="L193" s="99"/>
      <c r="M193" s="100"/>
      <c r="N193" s="127"/>
      <c r="O193" s="128"/>
      <c r="P193" s="95"/>
      <c r="Q193" s="137"/>
      <c r="R193" s="129"/>
      <c r="S193" s="95"/>
      <c r="T193" s="95"/>
      <c r="V193" s="107"/>
    </row>
    <row r="194" ht="15.75" customHeight="1">
      <c r="A194" s="89"/>
      <c r="B194" s="182"/>
      <c r="C194" s="149"/>
      <c r="D194" s="95"/>
      <c r="E194" s="149"/>
      <c r="F194" s="149"/>
      <c r="G194" s="95"/>
      <c r="H194" s="149"/>
      <c r="I194" s="95"/>
      <c r="J194" s="95"/>
      <c r="K194" s="113"/>
      <c r="L194" s="113"/>
      <c r="M194" s="100"/>
      <c r="N194" s="127"/>
      <c r="O194" s="128"/>
      <c r="P194" s="95"/>
      <c r="Q194" s="137"/>
      <c r="R194" s="129"/>
      <c r="S194" s="95"/>
      <c r="T194" s="95"/>
      <c r="V194" s="107"/>
    </row>
    <row r="195" ht="15.75" customHeight="1">
      <c r="A195" s="89"/>
      <c r="B195" s="182"/>
      <c r="C195" s="149"/>
      <c r="D195" s="95"/>
      <c r="E195" s="149"/>
      <c r="F195" s="149"/>
      <c r="G195" s="95"/>
      <c r="H195" s="149"/>
      <c r="I195" s="95"/>
      <c r="J195" s="95"/>
      <c r="K195" s="99"/>
      <c r="L195" s="99"/>
      <c r="M195" s="100"/>
      <c r="N195" s="127"/>
      <c r="O195" s="128"/>
      <c r="P195" s="95"/>
      <c r="Q195" s="137"/>
      <c r="R195" s="129"/>
      <c r="S195" s="95"/>
      <c r="T195" s="95"/>
      <c r="V195" s="107"/>
    </row>
    <row r="196" ht="15.75" customHeight="1">
      <c r="A196" s="89"/>
      <c r="B196" s="182"/>
      <c r="C196" s="149"/>
      <c r="D196" s="95"/>
      <c r="E196" s="149"/>
      <c r="F196" s="149"/>
      <c r="G196" s="95"/>
      <c r="H196" s="149"/>
      <c r="I196" s="95"/>
      <c r="J196" s="95"/>
      <c r="K196" s="113"/>
      <c r="L196" s="113"/>
      <c r="M196" s="100"/>
      <c r="N196" s="127"/>
      <c r="O196" s="128"/>
      <c r="P196" s="95"/>
      <c r="Q196" s="137"/>
      <c r="R196" s="129"/>
      <c r="S196" s="95"/>
      <c r="T196" s="95"/>
      <c r="V196" s="107"/>
    </row>
    <row r="197" ht="15.75" customHeight="1">
      <c r="A197" s="89"/>
      <c r="B197" s="182"/>
      <c r="C197" s="149"/>
      <c r="D197" s="95"/>
      <c r="E197" s="149"/>
      <c r="F197" s="149"/>
      <c r="G197" s="95"/>
      <c r="H197" s="149"/>
      <c r="I197" s="95"/>
      <c r="J197" s="95"/>
      <c r="K197" s="99"/>
      <c r="L197" s="99"/>
      <c r="M197" s="100"/>
      <c r="N197" s="127"/>
      <c r="O197" s="128"/>
      <c r="P197" s="95"/>
      <c r="Q197" s="137"/>
      <c r="R197" s="129"/>
      <c r="S197" s="95"/>
      <c r="T197" s="95"/>
      <c r="V197" s="107"/>
    </row>
    <row r="198" ht="15.75" customHeight="1">
      <c r="A198" s="89"/>
      <c r="B198" s="182"/>
      <c r="C198" s="149"/>
      <c r="D198" s="95"/>
      <c r="E198" s="149"/>
      <c r="F198" s="149"/>
      <c r="G198" s="95"/>
      <c r="H198" s="149"/>
      <c r="I198" s="95"/>
      <c r="J198" s="95"/>
      <c r="K198" s="113"/>
      <c r="L198" s="113"/>
      <c r="M198" s="100"/>
      <c r="N198" s="127"/>
      <c r="O198" s="128"/>
      <c r="P198" s="95"/>
      <c r="Q198" s="137"/>
      <c r="R198" s="129"/>
      <c r="S198" s="95"/>
      <c r="T198" s="95"/>
      <c r="V198" s="107"/>
    </row>
    <row r="199" ht="15.75" customHeight="1">
      <c r="A199" s="89"/>
      <c r="B199" s="182"/>
      <c r="C199" s="107"/>
      <c r="D199" s="95"/>
      <c r="E199" s="149"/>
      <c r="F199" s="149"/>
      <c r="G199" s="95"/>
      <c r="H199" s="149"/>
      <c r="I199" s="95"/>
      <c r="J199" s="95"/>
      <c r="K199" s="99"/>
      <c r="L199" s="99"/>
      <c r="M199" s="100"/>
      <c r="N199" s="127"/>
      <c r="O199" s="128"/>
      <c r="P199" s="95"/>
      <c r="Q199" s="137"/>
      <c r="R199" s="129"/>
      <c r="S199" s="95"/>
      <c r="T199" s="95"/>
      <c r="V199" s="107"/>
    </row>
    <row r="200" ht="15.75" customHeight="1">
      <c r="A200" s="89"/>
      <c r="B200" s="182"/>
      <c r="C200" s="149"/>
      <c r="D200" s="95"/>
      <c r="E200" s="149"/>
      <c r="F200" s="149"/>
      <c r="G200" s="95"/>
      <c r="H200" s="149"/>
      <c r="I200" s="95"/>
      <c r="J200" s="95"/>
      <c r="K200" s="113"/>
      <c r="L200" s="113"/>
      <c r="M200" s="100"/>
      <c r="N200" s="127"/>
      <c r="O200" s="128"/>
      <c r="P200" s="95"/>
      <c r="Q200" s="137"/>
      <c r="R200" s="129"/>
      <c r="S200" s="95"/>
      <c r="T200" s="95"/>
      <c r="V200" s="107"/>
    </row>
    <row r="201" ht="15.75" customHeight="1">
      <c r="A201" s="89"/>
      <c r="B201" s="182"/>
      <c r="C201" s="149"/>
      <c r="D201" s="95"/>
      <c r="E201" s="149"/>
      <c r="F201" s="149"/>
      <c r="G201" s="95"/>
      <c r="H201" s="149"/>
      <c r="I201" s="95"/>
      <c r="J201" s="95"/>
      <c r="K201" s="99"/>
      <c r="L201" s="99"/>
      <c r="M201" s="100"/>
      <c r="N201" s="127"/>
      <c r="O201" s="128"/>
      <c r="P201" s="95"/>
      <c r="Q201" s="137"/>
      <c r="R201" s="129"/>
      <c r="S201" s="95"/>
      <c r="T201" s="95"/>
      <c r="V201" s="107"/>
    </row>
    <row r="202" ht="15.75" customHeight="1">
      <c r="A202" s="89"/>
      <c r="B202" s="182"/>
      <c r="C202" s="149"/>
      <c r="D202" s="95"/>
      <c r="E202" s="149"/>
      <c r="F202" s="149"/>
      <c r="G202" s="95"/>
      <c r="H202" s="149"/>
      <c r="I202" s="95"/>
      <c r="J202" s="95"/>
      <c r="K202" s="113"/>
      <c r="L202" s="113"/>
      <c r="M202" s="100"/>
      <c r="N202" s="127"/>
      <c r="O202" s="128"/>
      <c r="P202" s="95"/>
      <c r="Q202" s="137"/>
      <c r="R202" s="129"/>
      <c r="S202" s="95"/>
      <c r="T202" s="95"/>
      <c r="V202" s="107"/>
    </row>
    <row r="203" ht="15.75" customHeight="1">
      <c r="A203" s="89"/>
      <c r="B203" s="182"/>
      <c r="C203" s="149"/>
      <c r="D203" s="95"/>
      <c r="E203" s="149"/>
      <c r="F203" s="149"/>
      <c r="G203" s="95"/>
      <c r="H203" s="149"/>
      <c r="I203" s="95"/>
      <c r="J203" s="95"/>
      <c r="K203" s="99"/>
      <c r="L203" s="99"/>
      <c r="M203" s="100"/>
      <c r="N203" s="127"/>
      <c r="O203" s="128"/>
      <c r="P203" s="95"/>
      <c r="Q203" s="137"/>
      <c r="R203" s="129"/>
      <c r="S203" s="95"/>
      <c r="T203" s="95"/>
      <c r="V203" s="107"/>
    </row>
    <row r="204" ht="15.75" customHeight="1">
      <c r="A204" s="89"/>
      <c r="B204" s="182"/>
      <c r="C204" s="149"/>
      <c r="D204" s="95"/>
      <c r="E204" s="149"/>
      <c r="F204" s="149"/>
      <c r="G204" s="95"/>
      <c r="H204" s="149"/>
      <c r="I204" s="95"/>
      <c r="J204" s="95"/>
      <c r="K204" s="113"/>
      <c r="L204" s="113"/>
      <c r="M204" s="100"/>
      <c r="N204" s="127"/>
      <c r="O204" s="128"/>
      <c r="P204" s="95"/>
      <c r="Q204" s="137"/>
      <c r="R204" s="129"/>
      <c r="S204" s="95"/>
      <c r="T204" s="95"/>
      <c r="V204" s="107"/>
    </row>
    <row r="205" ht="15.75" customHeight="1">
      <c r="A205" s="89"/>
      <c r="B205" s="182"/>
      <c r="C205" s="107"/>
      <c r="D205" s="95"/>
      <c r="E205" s="149"/>
      <c r="F205" s="149"/>
      <c r="G205" s="95"/>
      <c r="H205" s="149"/>
      <c r="I205" s="95"/>
      <c r="J205" s="95"/>
      <c r="K205" s="99"/>
      <c r="L205" s="99"/>
      <c r="M205" s="100"/>
      <c r="N205" s="127"/>
      <c r="O205" s="128"/>
      <c r="P205" s="95"/>
      <c r="Q205" s="137"/>
      <c r="R205" s="129"/>
      <c r="S205" s="95"/>
      <c r="T205" s="95"/>
      <c r="V205" s="107"/>
    </row>
    <row r="206" ht="15.75" customHeight="1">
      <c r="A206" s="89"/>
      <c r="B206" s="182"/>
      <c r="C206" s="149"/>
      <c r="D206" s="95"/>
      <c r="E206" s="149"/>
      <c r="F206" s="149"/>
      <c r="G206" s="95"/>
      <c r="H206" s="149"/>
      <c r="I206" s="95"/>
      <c r="J206" s="95"/>
      <c r="K206" s="113"/>
      <c r="L206" s="113"/>
      <c r="M206" s="100"/>
      <c r="N206" s="127"/>
      <c r="O206" s="128"/>
      <c r="P206" s="95"/>
      <c r="Q206" s="137"/>
      <c r="R206" s="129"/>
      <c r="S206" s="95"/>
      <c r="T206" s="95"/>
      <c r="V206" s="107"/>
    </row>
    <row r="207" ht="15.75" customHeight="1">
      <c r="A207" s="89"/>
      <c r="B207" s="182"/>
      <c r="C207" s="149"/>
      <c r="D207" s="95"/>
      <c r="E207" s="149"/>
      <c r="F207" s="149"/>
      <c r="G207" s="95"/>
      <c r="H207" s="149"/>
      <c r="I207" s="95"/>
      <c r="J207" s="95"/>
      <c r="K207" s="99"/>
      <c r="L207" s="99"/>
      <c r="M207" s="100"/>
      <c r="N207" s="127"/>
      <c r="O207" s="128"/>
      <c r="P207" s="95"/>
      <c r="Q207" s="137"/>
      <c r="R207" s="129"/>
      <c r="S207" s="95"/>
      <c r="T207" s="95"/>
      <c r="V207" s="107"/>
    </row>
    <row r="208" ht="15.75" customHeight="1">
      <c r="A208" s="89"/>
      <c r="B208" s="182"/>
      <c r="C208" s="149"/>
      <c r="D208" s="95"/>
      <c r="E208" s="149"/>
      <c r="F208" s="149"/>
      <c r="G208" s="95"/>
      <c r="H208" s="149"/>
      <c r="I208" s="95"/>
      <c r="J208" s="95"/>
      <c r="K208" s="113"/>
      <c r="L208" s="113"/>
      <c r="M208" s="100"/>
      <c r="N208" s="127"/>
      <c r="O208" s="128"/>
      <c r="P208" s="95"/>
      <c r="Q208" s="137"/>
      <c r="R208" s="129"/>
      <c r="S208" s="95"/>
      <c r="T208" s="95"/>
      <c r="V208" s="107"/>
    </row>
    <row r="209" ht="15.75" customHeight="1">
      <c r="A209" s="89"/>
      <c r="B209" s="182"/>
      <c r="C209" s="149"/>
      <c r="D209" s="95"/>
      <c r="E209" s="149"/>
      <c r="F209" s="149"/>
      <c r="G209" s="95"/>
      <c r="H209" s="149"/>
      <c r="I209" s="95"/>
      <c r="J209" s="95"/>
      <c r="K209" s="99"/>
      <c r="L209" s="99"/>
      <c r="M209" s="100"/>
      <c r="N209" s="127"/>
      <c r="O209" s="128"/>
      <c r="P209" s="95"/>
      <c r="Q209" s="137"/>
      <c r="R209" s="129"/>
      <c r="S209" s="95"/>
      <c r="T209" s="95"/>
      <c r="V209" s="107"/>
    </row>
    <row r="210" ht="15.75" customHeight="1">
      <c r="A210" s="89"/>
      <c r="B210" s="182"/>
      <c r="C210" s="149"/>
      <c r="D210" s="95"/>
      <c r="E210" s="149"/>
      <c r="F210" s="149"/>
      <c r="G210" s="95"/>
      <c r="H210" s="149"/>
      <c r="I210" s="95"/>
      <c r="J210" s="95"/>
      <c r="K210" s="113"/>
      <c r="L210" s="113"/>
      <c r="M210" s="100"/>
      <c r="N210" s="127"/>
      <c r="O210" s="128"/>
      <c r="P210" s="95"/>
      <c r="Q210" s="137"/>
      <c r="R210" s="129"/>
      <c r="S210" s="95"/>
      <c r="T210" s="95"/>
      <c r="V210" s="107"/>
    </row>
    <row r="211" ht="15.75" customHeight="1">
      <c r="A211" s="89"/>
      <c r="B211" s="182"/>
      <c r="C211" s="107"/>
      <c r="D211" s="95"/>
      <c r="E211" s="149"/>
      <c r="F211" s="149"/>
      <c r="G211" s="95"/>
      <c r="H211" s="149"/>
      <c r="I211" s="95"/>
      <c r="J211" s="95"/>
      <c r="K211" s="99"/>
      <c r="L211" s="99"/>
      <c r="M211" s="100"/>
      <c r="N211" s="127"/>
      <c r="O211" s="128"/>
      <c r="P211" s="95"/>
      <c r="Q211" s="137"/>
      <c r="R211" s="129"/>
      <c r="S211" s="95"/>
      <c r="T211" s="95"/>
      <c r="V211" s="107"/>
    </row>
    <row r="212" ht="15.75" customHeight="1">
      <c r="A212" s="89"/>
      <c r="B212" s="182"/>
      <c r="C212" s="149"/>
      <c r="D212" s="95"/>
      <c r="E212" s="149"/>
      <c r="F212" s="149"/>
      <c r="G212" s="95"/>
      <c r="H212" s="149"/>
      <c r="I212" s="95"/>
      <c r="J212" s="95"/>
      <c r="K212" s="113"/>
      <c r="L212" s="113"/>
      <c r="M212" s="100"/>
      <c r="N212" s="127"/>
      <c r="O212" s="128"/>
      <c r="P212" s="95"/>
      <c r="Q212" s="137"/>
      <c r="R212" s="129"/>
      <c r="S212" s="95"/>
      <c r="T212" s="95"/>
      <c r="V212" s="107"/>
    </row>
    <row r="213" ht="15.75" customHeight="1">
      <c r="A213" s="89"/>
      <c r="B213" s="182"/>
      <c r="C213" s="149"/>
      <c r="D213" s="95"/>
      <c r="E213" s="149"/>
      <c r="F213" s="149"/>
      <c r="G213" s="95"/>
      <c r="H213" s="149"/>
      <c r="I213" s="95"/>
      <c r="J213" s="95"/>
      <c r="K213" s="99"/>
      <c r="L213" s="99"/>
      <c r="M213" s="100"/>
      <c r="N213" s="127"/>
      <c r="O213" s="128"/>
      <c r="P213" s="95"/>
      <c r="Q213" s="137"/>
      <c r="R213" s="129"/>
      <c r="S213" s="95"/>
      <c r="T213" s="95"/>
      <c r="V213" s="107"/>
    </row>
    <row r="214" ht="15.75" customHeight="1">
      <c r="A214" s="89"/>
      <c r="B214" s="182"/>
      <c r="C214" s="149"/>
      <c r="D214" s="95"/>
      <c r="E214" s="149"/>
      <c r="F214" s="149"/>
      <c r="G214" s="95"/>
      <c r="H214" s="149"/>
      <c r="I214" s="95"/>
      <c r="J214" s="95"/>
      <c r="K214" s="113"/>
      <c r="L214" s="113"/>
      <c r="M214" s="100"/>
      <c r="N214" s="127"/>
      <c r="O214" s="128"/>
      <c r="P214" s="95"/>
      <c r="Q214" s="137"/>
      <c r="R214" s="129"/>
      <c r="S214" s="95"/>
      <c r="T214" s="95"/>
      <c r="V214" s="107"/>
    </row>
    <row r="215" ht="15.75" customHeight="1">
      <c r="A215" s="89"/>
      <c r="B215" s="182"/>
      <c r="C215" s="149"/>
      <c r="D215" s="95"/>
      <c r="E215" s="149"/>
      <c r="F215" s="149"/>
      <c r="G215" s="95"/>
      <c r="H215" s="149"/>
      <c r="I215" s="95"/>
      <c r="J215" s="95"/>
      <c r="K215" s="99"/>
      <c r="L215" s="99"/>
      <c r="M215" s="100"/>
      <c r="N215" s="127"/>
      <c r="O215" s="128"/>
      <c r="P215" s="95"/>
      <c r="Q215" s="137"/>
      <c r="R215" s="129"/>
      <c r="S215" s="95"/>
      <c r="T215" s="95"/>
      <c r="V215" s="107"/>
    </row>
    <row r="216" ht="15.75" customHeight="1">
      <c r="A216" s="89"/>
      <c r="B216" s="182"/>
      <c r="C216" s="149"/>
      <c r="D216" s="95"/>
      <c r="E216" s="149"/>
      <c r="F216" s="149"/>
      <c r="G216" s="95"/>
      <c r="H216" s="149"/>
      <c r="I216" s="95"/>
      <c r="J216" s="95"/>
      <c r="K216" s="113"/>
      <c r="L216" s="113"/>
      <c r="M216" s="100"/>
      <c r="N216" s="127"/>
      <c r="O216" s="128"/>
      <c r="P216" s="95"/>
      <c r="Q216" s="137"/>
      <c r="R216" s="129"/>
      <c r="S216" s="95"/>
      <c r="T216" s="95"/>
      <c r="V216" s="107"/>
    </row>
    <row r="217" ht="15.75" customHeight="1">
      <c r="A217" s="89"/>
      <c r="B217" s="182"/>
      <c r="C217" s="107"/>
      <c r="D217" s="95"/>
      <c r="E217" s="149"/>
      <c r="F217" s="149"/>
      <c r="G217" s="95"/>
      <c r="H217" s="149"/>
      <c r="I217" s="95"/>
      <c r="J217" s="95"/>
      <c r="K217" s="99"/>
      <c r="L217" s="99"/>
      <c r="M217" s="100"/>
      <c r="N217" s="127"/>
      <c r="O217" s="128"/>
      <c r="P217" s="95"/>
      <c r="Q217" s="137"/>
      <c r="R217" s="129"/>
      <c r="S217" s="95"/>
      <c r="T217" s="95"/>
      <c r="V217" s="107"/>
    </row>
    <row r="218" ht="15.75" customHeight="1">
      <c r="A218" s="89"/>
      <c r="B218" s="182"/>
      <c r="C218" s="149"/>
      <c r="D218" s="95"/>
      <c r="E218" s="149"/>
      <c r="F218" s="149"/>
      <c r="G218" s="95"/>
      <c r="H218" s="149"/>
      <c r="I218" s="95"/>
      <c r="J218" s="95"/>
      <c r="K218" s="113"/>
      <c r="L218" s="113"/>
      <c r="M218" s="100"/>
      <c r="N218" s="127"/>
      <c r="O218" s="128"/>
      <c r="P218" s="95"/>
      <c r="Q218" s="137"/>
      <c r="R218" s="129"/>
      <c r="S218" s="95"/>
      <c r="T218" s="95"/>
      <c r="V218" s="107"/>
    </row>
    <row r="219" ht="15.75" customHeight="1">
      <c r="A219" s="89"/>
      <c r="B219" s="182"/>
      <c r="C219" s="149"/>
      <c r="D219" s="95"/>
      <c r="E219" s="149"/>
      <c r="F219" s="149"/>
      <c r="G219" s="95"/>
      <c r="H219" s="149"/>
      <c r="I219" s="95"/>
      <c r="J219" s="95"/>
      <c r="K219" s="99"/>
      <c r="L219" s="99"/>
      <c r="M219" s="100"/>
      <c r="N219" s="127"/>
      <c r="O219" s="128"/>
      <c r="P219" s="95"/>
      <c r="Q219" s="137"/>
      <c r="R219" s="129"/>
      <c r="S219" s="95"/>
      <c r="T219" s="95"/>
      <c r="V219" s="107"/>
    </row>
    <row r="220" ht="15.75" customHeight="1">
      <c r="A220" s="89"/>
      <c r="B220" s="182"/>
      <c r="C220" s="149"/>
      <c r="D220" s="95"/>
      <c r="E220" s="149"/>
      <c r="F220" s="149"/>
      <c r="G220" s="95"/>
      <c r="H220" s="149"/>
      <c r="I220" s="95"/>
      <c r="J220" s="95"/>
      <c r="K220" s="113"/>
      <c r="L220" s="113"/>
      <c r="M220" s="100"/>
      <c r="N220" s="127"/>
      <c r="O220" s="128"/>
      <c r="P220" s="95"/>
      <c r="Q220" s="137"/>
      <c r="R220" s="129"/>
      <c r="S220" s="95"/>
      <c r="T220" s="95"/>
      <c r="V220" s="107"/>
    </row>
    <row r="221" ht="15.75" customHeight="1">
      <c r="A221" s="89"/>
      <c r="B221" s="182"/>
      <c r="C221" s="149"/>
      <c r="D221" s="95"/>
      <c r="E221" s="149"/>
      <c r="F221" s="149"/>
      <c r="G221" s="95"/>
      <c r="H221" s="149"/>
      <c r="I221" s="95"/>
      <c r="J221" s="95"/>
      <c r="K221" s="99"/>
      <c r="L221" s="99"/>
      <c r="M221" s="100"/>
      <c r="N221" s="127"/>
      <c r="O221" s="128"/>
      <c r="P221" s="95"/>
      <c r="Q221" s="137"/>
      <c r="R221" s="129"/>
      <c r="S221" s="95"/>
      <c r="T221" s="95"/>
      <c r="V221" s="107"/>
    </row>
    <row r="222" ht="15.75" customHeight="1">
      <c r="A222" s="89"/>
      <c r="B222" s="182"/>
      <c r="C222" s="149"/>
      <c r="D222" s="95"/>
      <c r="E222" s="149"/>
      <c r="F222" s="149"/>
      <c r="G222" s="95"/>
      <c r="H222" s="149"/>
      <c r="I222" s="95"/>
      <c r="J222" s="95"/>
      <c r="K222" s="113"/>
      <c r="L222" s="113"/>
      <c r="M222" s="100"/>
      <c r="N222" s="127"/>
      <c r="O222" s="128"/>
      <c r="P222" s="95"/>
      <c r="Q222" s="137"/>
      <c r="R222" s="129"/>
      <c r="S222" s="95"/>
      <c r="T222" s="95"/>
      <c r="V222" s="107"/>
    </row>
    <row r="223" ht="15.75" customHeight="1">
      <c r="A223" s="89"/>
      <c r="B223" s="182"/>
      <c r="C223" s="107"/>
      <c r="D223" s="95"/>
      <c r="E223" s="149"/>
      <c r="F223" s="149"/>
      <c r="G223" s="95"/>
      <c r="H223" s="149"/>
      <c r="I223" s="95"/>
      <c r="J223" s="95"/>
      <c r="K223" s="99"/>
      <c r="L223" s="99"/>
      <c r="M223" s="100"/>
      <c r="N223" s="127"/>
      <c r="O223" s="128"/>
      <c r="P223" s="95"/>
      <c r="Q223" s="137"/>
      <c r="R223" s="129"/>
      <c r="S223" s="95"/>
      <c r="T223" s="95"/>
      <c r="V223" s="107"/>
    </row>
    <row r="224" ht="15.75" customHeight="1">
      <c r="A224" s="89"/>
      <c r="B224" s="182"/>
      <c r="C224" s="149"/>
      <c r="D224" s="95"/>
      <c r="E224" s="149"/>
      <c r="F224" s="149"/>
      <c r="G224" s="95"/>
      <c r="H224" s="149"/>
      <c r="I224" s="95"/>
      <c r="J224" s="95"/>
      <c r="K224" s="113"/>
      <c r="L224" s="113"/>
      <c r="M224" s="100"/>
      <c r="N224" s="127"/>
      <c r="O224" s="128"/>
      <c r="P224" s="95"/>
      <c r="Q224" s="137"/>
      <c r="R224" s="129"/>
      <c r="S224" s="95"/>
      <c r="T224" s="95"/>
      <c r="V224" s="107"/>
    </row>
    <row r="225" ht="15.75" customHeight="1">
      <c r="A225" s="89"/>
      <c r="B225" s="182"/>
      <c r="C225" s="149"/>
      <c r="D225" s="95"/>
      <c r="E225" s="149"/>
      <c r="F225" s="149"/>
      <c r="G225" s="95"/>
      <c r="H225" s="149"/>
      <c r="I225" s="95"/>
      <c r="J225" s="95"/>
      <c r="K225" s="99"/>
      <c r="L225" s="99"/>
      <c r="M225" s="100"/>
      <c r="N225" s="127"/>
      <c r="O225" s="128"/>
      <c r="P225" s="95"/>
      <c r="Q225" s="137"/>
      <c r="R225" s="129"/>
      <c r="S225" s="95"/>
      <c r="T225" s="95"/>
      <c r="V225" s="107"/>
    </row>
    <row r="226" ht="15.75" customHeight="1">
      <c r="A226" s="89"/>
      <c r="B226" s="182"/>
      <c r="C226" s="149"/>
      <c r="D226" s="95"/>
      <c r="E226" s="149"/>
      <c r="F226" s="149"/>
      <c r="G226" s="95"/>
      <c r="H226" s="149"/>
      <c r="I226" s="95"/>
      <c r="J226" s="95"/>
      <c r="K226" s="113"/>
      <c r="L226" s="113"/>
      <c r="M226" s="100"/>
      <c r="N226" s="127"/>
      <c r="O226" s="128"/>
      <c r="P226" s="95"/>
      <c r="Q226" s="137"/>
      <c r="R226" s="129"/>
      <c r="S226" s="95"/>
      <c r="T226" s="95"/>
      <c r="V226" s="107"/>
    </row>
    <row r="227" ht="15.75" customHeight="1">
      <c r="A227" s="89"/>
      <c r="B227" s="182"/>
      <c r="C227" s="149"/>
      <c r="D227" s="95"/>
      <c r="E227" s="149"/>
      <c r="F227" s="149"/>
      <c r="G227" s="95"/>
      <c r="H227" s="149"/>
      <c r="I227" s="95"/>
      <c r="J227" s="95"/>
      <c r="K227" s="99"/>
      <c r="L227" s="99"/>
      <c r="M227" s="100"/>
      <c r="N227" s="127"/>
      <c r="O227" s="128"/>
      <c r="P227" s="95"/>
      <c r="Q227" s="137"/>
      <c r="R227" s="129"/>
      <c r="S227" s="95"/>
      <c r="T227" s="95"/>
      <c r="V227" s="107"/>
    </row>
    <row r="228" ht="15.75" customHeight="1">
      <c r="A228" s="89"/>
      <c r="B228" s="182"/>
      <c r="C228" s="149"/>
      <c r="D228" s="95"/>
      <c r="E228" s="149"/>
      <c r="F228" s="149"/>
      <c r="G228" s="95"/>
      <c r="H228" s="149"/>
      <c r="I228" s="95"/>
      <c r="J228" s="95"/>
      <c r="K228" s="113"/>
      <c r="L228" s="113"/>
      <c r="M228" s="100"/>
      <c r="N228" s="127"/>
      <c r="O228" s="128"/>
      <c r="P228" s="95"/>
      <c r="Q228" s="137"/>
      <c r="R228" s="129"/>
      <c r="S228" s="95"/>
      <c r="T228" s="95"/>
      <c r="V228" s="107"/>
    </row>
    <row r="229" ht="15.75" customHeight="1">
      <c r="A229" s="89"/>
      <c r="B229" s="182"/>
      <c r="C229" s="107"/>
      <c r="D229" s="95"/>
      <c r="E229" s="149"/>
      <c r="F229" s="149"/>
      <c r="G229" s="95"/>
      <c r="H229" s="149"/>
      <c r="I229" s="95"/>
      <c r="J229" s="95"/>
      <c r="K229" s="99"/>
      <c r="L229" s="99"/>
      <c r="M229" s="100"/>
      <c r="N229" s="127"/>
      <c r="O229" s="128"/>
      <c r="P229" s="95"/>
      <c r="Q229" s="137"/>
      <c r="R229" s="129"/>
      <c r="S229" s="95"/>
      <c r="T229" s="95"/>
      <c r="V229" s="107"/>
    </row>
    <row r="230" ht="15.75" customHeight="1">
      <c r="A230" s="89"/>
      <c r="B230" s="182"/>
      <c r="C230" s="149"/>
      <c r="D230" s="95"/>
      <c r="E230" s="149"/>
      <c r="F230" s="149"/>
      <c r="G230" s="95"/>
      <c r="H230" s="149"/>
      <c r="I230" s="95"/>
      <c r="J230" s="95"/>
      <c r="K230" s="113"/>
      <c r="L230" s="113"/>
      <c r="M230" s="100"/>
      <c r="N230" s="127"/>
      <c r="O230" s="128"/>
      <c r="P230" s="95"/>
      <c r="Q230" s="137"/>
      <c r="R230" s="129"/>
      <c r="S230" s="95"/>
      <c r="T230" s="95"/>
      <c r="V230" s="107"/>
    </row>
    <row r="231" ht="15.75" customHeight="1">
      <c r="A231" s="89"/>
      <c r="B231" s="182"/>
      <c r="C231" s="149"/>
      <c r="D231" s="95"/>
      <c r="E231" s="149"/>
      <c r="F231" s="149"/>
      <c r="G231" s="95"/>
      <c r="H231" s="149"/>
      <c r="I231" s="95"/>
      <c r="J231" s="95"/>
      <c r="K231" s="99"/>
      <c r="L231" s="99"/>
      <c r="M231" s="100"/>
      <c r="N231" s="127"/>
      <c r="O231" s="128"/>
      <c r="P231" s="95"/>
      <c r="Q231" s="137"/>
      <c r="R231" s="129"/>
      <c r="S231" s="95"/>
      <c r="T231" s="95"/>
      <c r="V231" s="107"/>
    </row>
    <row r="232" ht="15.75" customHeight="1">
      <c r="A232" s="89"/>
      <c r="B232" s="182"/>
      <c r="C232" s="149"/>
      <c r="D232" s="95"/>
      <c r="E232" s="149"/>
      <c r="F232" s="149"/>
      <c r="G232" s="95"/>
      <c r="H232" s="149"/>
      <c r="I232" s="95"/>
      <c r="J232" s="95"/>
      <c r="K232" s="113"/>
      <c r="L232" s="113"/>
      <c r="M232" s="100"/>
      <c r="N232" s="127"/>
      <c r="O232" s="128"/>
      <c r="P232" s="95"/>
      <c r="Q232" s="137"/>
      <c r="R232" s="129"/>
      <c r="S232" s="95"/>
      <c r="T232" s="95"/>
      <c r="V232" s="107"/>
    </row>
    <row r="233" ht="15.75" customHeight="1">
      <c r="A233" s="89"/>
      <c r="B233" s="182"/>
      <c r="C233" s="149"/>
      <c r="D233" s="95"/>
      <c r="E233" s="149"/>
      <c r="F233" s="149"/>
      <c r="G233" s="95"/>
      <c r="H233" s="149"/>
      <c r="I233" s="95"/>
      <c r="J233" s="95"/>
      <c r="K233" s="99"/>
      <c r="L233" s="99"/>
      <c r="M233" s="100"/>
      <c r="N233" s="127"/>
      <c r="O233" s="128"/>
      <c r="P233" s="95"/>
      <c r="Q233" s="137"/>
      <c r="R233" s="129"/>
      <c r="S233" s="95"/>
      <c r="T233" s="95"/>
      <c r="V233" s="107"/>
    </row>
    <row r="234" ht="15.75" customHeight="1">
      <c r="A234" s="89"/>
      <c r="B234" s="182"/>
      <c r="C234" s="149"/>
      <c r="D234" s="95"/>
      <c r="E234" s="149"/>
      <c r="F234" s="149"/>
      <c r="G234" s="95"/>
      <c r="H234" s="149"/>
      <c r="I234" s="95"/>
      <c r="J234" s="95"/>
      <c r="K234" s="113"/>
      <c r="L234" s="113"/>
      <c r="M234" s="100"/>
      <c r="N234" s="127"/>
      <c r="O234" s="128"/>
      <c r="P234" s="95"/>
      <c r="Q234" s="137"/>
      <c r="R234" s="129"/>
      <c r="S234" s="95"/>
      <c r="T234" s="95"/>
      <c r="V234" s="107"/>
    </row>
    <row r="235" ht="15.75" customHeight="1">
      <c r="A235" s="89"/>
      <c r="B235" s="182"/>
      <c r="C235" s="107"/>
      <c r="D235" s="95"/>
      <c r="E235" s="149"/>
      <c r="F235" s="149"/>
      <c r="G235" s="95"/>
      <c r="H235" s="149"/>
      <c r="I235" s="95"/>
      <c r="J235" s="95"/>
      <c r="K235" s="99"/>
      <c r="L235" s="99"/>
      <c r="M235" s="100"/>
      <c r="N235" s="127"/>
      <c r="O235" s="128"/>
      <c r="P235" s="95"/>
      <c r="Q235" s="137"/>
      <c r="R235" s="129"/>
      <c r="S235" s="95"/>
      <c r="T235" s="95"/>
      <c r="V235" s="107"/>
    </row>
    <row r="236" ht="15.75" customHeight="1">
      <c r="A236" s="89"/>
      <c r="B236" s="182"/>
      <c r="C236" s="149"/>
      <c r="D236" s="95"/>
      <c r="E236" s="149"/>
      <c r="F236" s="149"/>
      <c r="G236" s="95"/>
      <c r="H236" s="149"/>
      <c r="I236" s="95"/>
      <c r="J236" s="95"/>
      <c r="K236" s="113"/>
      <c r="L236" s="113"/>
      <c r="M236" s="100"/>
      <c r="N236" s="127"/>
      <c r="O236" s="128"/>
      <c r="P236" s="95"/>
      <c r="Q236" s="137"/>
      <c r="R236" s="129"/>
      <c r="S236" s="95"/>
      <c r="T236" s="95"/>
      <c r="V236" s="107"/>
    </row>
    <row r="237" ht="15.75" customHeight="1">
      <c r="A237" s="89"/>
      <c r="B237" s="182"/>
      <c r="C237" s="149"/>
      <c r="D237" s="95"/>
      <c r="E237" s="149"/>
      <c r="F237" s="149"/>
      <c r="G237" s="95"/>
      <c r="H237" s="149"/>
      <c r="I237" s="95"/>
      <c r="J237" s="95"/>
      <c r="K237" s="99"/>
      <c r="L237" s="99"/>
      <c r="M237" s="100"/>
      <c r="N237" s="127"/>
      <c r="O237" s="128"/>
      <c r="P237" s="95"/>
      <c r="Q237" s="137"/>
      <c r="R237" s="129"/>
      <c r="S237" s="95"/>
      <c r="T237" s="95"/>
      <c r="V237" s="107"/>
    </row>
    <row r="238" ht="15.75" customHeight="1">
      <c r="A238" s="89"/>
      <c r="B238" s="182"/>
      <c r="C238" s="149"/>
      <c r="D238" s="95"/>
      <c r="E238" s="149"/>
      <c r="F238" s="149"/>
      <c r="G238" s="95"/>
      <c r="H238" s="149"/>
      <c r="I238" s="95"/>
      <c r="J238" s="95"/>
      <c r="K238" s="113"/>
      <c r="L238" s="113"/>
      <c r="M238" s="100"/>
      <c r="N238" s="127"/>
      <c r="O238" s="128"/>
      <c r="P238" s="95"/>
      <c r="Q238" s="137"/>
      <c r="R238" s="129"/>
      <c r="S238" s="95"/>
      <c r="T238" s="95"/>
      <c r="V238" s="107"/>
    </row>
    <row r="239" ht="15.75" customHeight="1">
      <c r="A239" s="89"/>
      <c r="B239" s="182"/>
      <c r="C239" s="149"/>
      <c r="D239" s="95"/>
      <c r="E239" s="149"/>
      <c r="F239" s="149"/>
      <c r="G239" s="95"/>
      <c r="H239" s="149"/>
      <c r="I239" s="95"/>
      <c r="J239" s="95"/>
      <c r="K239" s="99"/>
      <c r="L239" s="99"/>
      <c r="M239" s="100"/>
      <c r="N239" s="127"/>
      <c r="O239" s="128"/>
      <c r="P239" s="95"/>
      <c r="Q239" s="137"/>
      <c r="R239" s="129"/>
      <c r="S239" s="95"/>
      <c r="T239" s="95"/>
      <c r="V239" s="107"/>
    </row>
    <row r="240" ht="15.75" customHeight="1">
      <c r="A240" s="89"/>
      <c r="B240" s="182"/>
      <c r="C240" s="149"/>
      <c r="D240" s="95"/>
      <c r="E240" s="149"/>
      <c r="F240" s="149"/>
      <c r="G240" s="95"/>
      <c r="H240" s="149"/>
      <c r="I240" s="95"/>
      <c r="J240" s="95"/>
      <c r="K240" s="113"/>
      <c r="L240" s="113"/>
      <c r="M240" s="100"/>
      <c r="N240" s="127"/>
      <c r="O240" s="128"/>
      <c r="P240" s="95"/>
      <c r="Q240" s="137"/>
      <c r="R240" s="129"/>
      <c r="S240" s="95"/>
      <c r="T240" s="95"/>
      <c r="V240" s="107"/>
    </row>
    <row r="241" ht="15.75" customHeight="1">
      <c r="A241" s="89"/>
      <c r="B241" s="182"/>
      <c r="C241" s="107"/>
      <c r="D241" s="95"/>
      <c r="E241" s="149"/>
      <c r="F241" s="149"/>
      <c r="G241" s="95"/>
      <c r="H241" s="149"/>
      <c r="I241" s="95"/>
      <c r="J241" s="95"/>
      <c r="K241" s="99"/>
      <c r="L241" s="99"/>
      <c r="M241" s="100"/>
      <c r="N241" s="127"/>
      <c r="O241" s="128"/>
      <c r="P241" s="95"/>
      <c r="Q241" s="137"/>
      <c r="R241" s="129"/>
      <c r="S241" s="95"/>
      <c r="T241" s="95"/>
      <c r="V241" s="107"/>
    </row>
    <row r="242" ht="15.75" customHeight="1">
      <c r="A242" s="89"/>
      <c r="B242" s="182"/>
      <c r="C242" s="149"/>
      <c r="D242" s="95"/>
      <c r="E242" s="149"/>
      <c r="F242" s="149"/>
      <c r="G242" s="95"/>
      <c r="H242" s="149"/>
      <c r="I242" s="95"/>
      <c r="J242" s="95"/>
      <c r="K242" s="113"/>
      <c r="L242" s="113"/>
      <c r="M242" s="100"/>
      <c r="N242" s="127"/>
      <c r="O242" s="128"/>
      <c r="P242" s="95"/>
      <c r="Q242" s="137"/>
      <c r="R242" s="129"/>
      <c r="S242" s="95"/>
      <c r="T242" s="95"/>
      <c r="V242" s="107"/>
    </row>
    <row r="243" ht="15.75" customHeight="1">
      <c r="A243" s="89"/>
      <c r="B243" s="182"/>
      <c r="C243" s="149"/>
      <c r="D243" s="95"/>
      <c r="E243" s="149"/>
      <c r="F243" s="149"/>
      <c r="G243" s="95"/>
      <c r="H243" s="149"/>
      <c r="I243" s="95"/>
      <c r="J243" s="95"/>
      <c r="K243" s="99"/>
      <c r="L243" s="99"/>
      <c r="M243" s="100"/>
      <c r="N243" s="127"/>
      <c r="O243" s="128"/>
      <c r="P243" s="95"/>
      <c r="Q243" s="137"/>
      <c r="R243" s="129"/>
      <c r="S243" s="95"/>
      <c r="T243" s="95"/>
      <c r="V243" s="107"/>
    </row>
    <row r="244" ht="15.75" customHeight="1">
      <c r="A244" s="89"/>
      <c r="B244" s="182"/>
      <c r="C244" s="149"/>
      <c r="D244" s="95"/>
      <c r="E244" s="149"/>
      <c r="F244" s="149"/>
      <c r="G244" s="95"/>
      <c r="H244" s="149"/>
      <c r="I244" s="95"/>
      <c r="J244" s="95"/>
      <c r="K244" s="154"/>
      <c r="L244" s="154"/>
      <c r="M244" s="100"/>
      <c r="N244" s="127"/>
      <c r="O244" s="128"/>
      <c r="P244" s="95"/>
      <c r="Q244" s="137"/>
      <c r="R244" s="129"/>
      <c r="S244" s="95"/>
      <c r="T244" s="95"/>
      <c r="V244" s="107"/>
    </row>
    <row r="245" ht="15.75" customHeight="1">
      <c r="A245" s="89"/>
      <c r="B245" s="182"/>
      <c r="C245" s="149"/>
      <c r="D245" s="95"/>
      <c r="E245" s="149"/>
      <c r="F245" s="149"/>
      <c r="G245" s="95"/>
      <c r="H245" s="149"/>
      <c r="I245" s="95"/>
      <c r="J245" s="95"/>
      <c r="K245" s="156"/>
      <c r="L245" s="156"/>
      <c r="M245" s="100"/>
      <c r="N245" s="127"/>
      <c r="O245" s="128"/>
      <c r="P245" s="95"/>
      <c r="Q245" s="137"/>
      <c r="R245" s="129"/>
      <c r="S245" s="95"/>
      <c r="T245" s="95"/>
      <c r="V245" s="107"/>
    </row>
    <row r="246" ht="15.75" customHeight="1">
      <c r="A246" s="89"/>
      <c r="B246" s="182"/>
      <c r="C246" s="149"/>
      <c r="D246" s="95"/>
      <c r="E246" s="149"/>
      <c r="F246" s="149"/>
      <c r="G246" s="95"/>
      <c r="H246" s="149"/>
      <c r="I246" s="95"/>
      <c r="J246" s="95"/>
      <c r="K246" s="154"/>
      <c r="L246" s="154"/>
      <c r="M246" s="100"/>
      <c r="N246" s="127"/>
      <c r="O246" s="128"/>
      <c r="P246" s="95"/>
      <c r="Q246" s="137"/>
      <c r="R246" s="129"/>
      <c r="S246" s="95"/>
      <c r="T246" s="95"/>
      <c r="V246" s="107"/>
    </row>
    <row r="247" ht="15.75" customHeight="1">
      <c r="A247" s="89"/>
      <c r="B247" s="182"/>
      <c r="C247" s="107"/>
      <c r="D247" s="95"/>
      <c r="E247" s="149"/>
      <c r="F247" s="149"/>
      <c r="G247" s="95"/>
      <c r="H247" s="149"/>
      <c r="I247" s="95"/>
      <c r="J247" s="95"/>
      <c r="K247" s="156"/>
      <c r="L247" s="156"/>
      <c r="M247" s="100"/>
      <c r="N247" s="127"/>
      <c r="O247" s="128"/>
      <c r="P247" s="95"/>
      <c r="Q247" s="137"/>
      <c r="R247" s="129"/>
      <c r="S247" s="95"/>
      <c r="T247" s="95"/>
      <c r="V247" s="107"/>
    </row>
    <row r="248" ht="15.75" customHeight="1">
      <c r="A248" s="89"/>
      <c r="B248" s="182"/>
      <c r="C248" s="149"/>
      <c r="D248" s="95"/>
      <c r="E248" s="149"/>
      <c r="F248" s="149"/>
      <c r="G248" s="95"/>
      <c r="H248" s="149"/>
      <c r="I248" s="95"/>
      <c r="J248" s="95"/>
      <c r="K248" s="154"/>
      <c r="L248" s="154"/>
      <c r="M248" s="100"/>
      <c r="N248" s="127"/>
      <c r="O248" s="128"/>
      <c r="P248" s="95"/>
      <c r="Q248" s="137"/>
      <c r="R248" s="129"/>
      <c r="S248" s="95"/>
      <c r="T248" s="95"/>
      <c r="V248" s="107"/>
    </row>
    <row r="249" ht="15.75" customHeight="1">
      <c r="A249" s="89"/>
      <c r="B249" s="182"/>
      <c r="C249" s="149"/>
      <c r="D249" s="95"/>
      <c r="E249" s="149"/>
      <c r="F249" s="149"/>
      <c r="G249" s="95"/>
      <c r="H249" s="149"/>
      <c r="I249" s="95"/>
      <c r="J249" s="95"/>
      <c r="K249" s="156"/>
      <c r="L249" s="156"/>
      <c r="M249" s="100"/>
      <c r="N249" s="127"/>
      <c r="O249" s="128"/>
      <c r="P249" s="95"/>
      <c r="Q249" s="137"/>
      <c r="R249" s="129"/>
      <c r="S249" s="95"/>
      <c r="T249" s="95"/>
      <c r="V249" s="107"/>
    </row>
    <row r="250" ht="15.75" customHeight="1">
      <c r="A250" s="89"/>
      <c r="B250" s="182"/>
      <c r="C250" s="149"/>
      <c r="D250" s="95"/>
      <c r="E250" s="149"/>
      <c r="F250" s="149"/>
      <c r="G250" s="95"/>
      <c r="H250" s="149"/>
      <c r="I250" s="95"/>
      <c r="J250" s="95"/>
      <c r="K250" s="154"/>
      <c r="L250" s="154"/>
      <c r="M250" s="100"/>
      <c r="N250" s="127"/>
      <c r="O250" s="128"/>
      <c r="P250" s="95"/>
      <c r="Q250" s="137"/>
      <c r="R250" s="129"/>
      <c r="S250" s="95"/>
      <c r="T250" s="95"/>
      <c r="V250" s="107"/>
    </row>
    <row r="251" ht="15.75" customHeight="1">
      <c r="A251" s="89"/>
      <c r="B251" s="182"/>
      <c r="C251" s="149"/>
      <c r="D251" s="95"/>
      <c r="E251" s="149"/>
      <c r="F251" s="149"/>
      <c r="G251" s="95"/>
      <c r="H251" s="149"/>
      <c r="I251" s="95"/>
      <c r="J251" s="95"/>
      <c r="K251" s="156"/>
      <c r="L251" s="156"/>
      <c r="M251" s="100"/>
      <c r="N251" s="127"/>
      <c r="O251" s="128"/>
      <c r="P251" s="95"/>
      <c r="Q251" s="137"/>
      <c r="R251" s="129"/>
      <c r="S251" s="95"/>
      <c r="T251" s="95"/>
      <c r="V251" s="107"/>
    </row>
    <row r="252" ht="15.75" customHeight="1">
      <c r="A252" s="89"/>
      <c r="B252" s="182"/>
      <c r="C252" s="149"/>
      <c r="D252" s="95"/>
      <c r="E252" s="149"/>
      <c r="F252" s="149"/>
      <c r="G252" s="95"/>
      <c r="H252" s="149"/>
      <c r="I252" s="95"/>
      <c r="J252" s="95"/>
      <c r="K252" s="154"/>
      <c r="L252" s="154"/>
      <c r="M252" s="100"/>
      <c r="N252" s="127"/>
      <c r="O252" s="128"/>
      <c r="P252" s="95"/>
      <c r="Q252" s="137"/>
      <c r="R252" s="129"/>
      <c r="S252" s="95"/>
      <c r="T252" s="95"/>
      <c r="V252" s="107"/>
    </row>
    <row r="253" ht="15.75" customHeight="1">
      <c r="A253" s="89"/>
      <c r="B253" s="182"/>
      <c r="C253" s="107"/>
      <c r="D253" s="95"/>
      <c r="E253" s="149"/>
      <c r="F253" s="149"/>
      <c r="G253" s="95"/>
      <c r="H253" s="149"/>
      <c r="I253" s="95"/>
      <c r="J253" s="95"/>
      <c r="K253" s="156"/>
      <c r="L253" s="156"/>
      <c r="M253" s="100"/>
      <c r="N253" s="127"/>
      <c r="O253" s="128"/>
      <c r="P253" s="95"/>
      <c r="Q253" s="137"/>
      <c r="R253" s="129"/>
      <c r="S253" s="95"/>
      <c r="T253" s="95"/>
      <c r="V253" s="107"/>
    </row>
    <row r="254" ht="15.75" customHeight="1">
      <c r="A254" s="89"/>
      <c r="B254" s="182"/>
      <c r="C254" s="149"/>
      <c r="D254" s="95"/>
      <c r="E254" s="149"/>
      <c r="F254" s="149"/>
      <c r="G254" s="95"/>
      <c r="H254" s="149"/>
      <c r="I254" s="95"/>
      <c r="J254" s="95"/>
      <c r="K254" s="154"/>
      <c r="L254" s="154"/>
      <c r="M254" s="100"/>
      <c r="N254" s="127"/>
      <c r="O254" s="128"/>
      <c r="P254" s="95"/>
      <c r="Q254" s="137"/>
      <c r="R254" s="129"/>
      <c r="S254" s="95"/>
      <c r="T254" s="95"/>
      <c r="V254" s="107"/>
    </row>
    <row r="255" ht="15.75" customHeight="1">
      <c r="A255" s="89"/>
      <c r="B255" s="182"/>
      <c r="C255" s="149"/>
      <c r="D255" s="95"/>
      <c r="E255" s="149"/>
      <c r="F255" s="149"/>
      <c r="G255" s="95"/>
      <c r="H255" s="149"/>
      <c r="I255" s="95"/>
      <c r="J255" s="95"/>
      <c r="K255" s="156"/>
      <c r="L255" s="156"/>
      <c r="M255" s="100"/>
      <c r="N255" s="127"/>
      <c r="O255" s="128"/>
      <c r="P255" s="95"/>
      <c r="Q255" s="137"/>
      <c r="R255" s="129"/>
      <c r="S255" s="95"/>
      <c r="T255" s="95"/>
      <c r="V255" s="107"/>
    </row>
    <row r="256" ht="15.75" customHeight="1">
      <c r="A256" s="89"/>
      <c r="B256" s="182"/>
      <c r="C256" s="149"/>
      <c r="D256" s="95"/>
      <c r="E256" s="149"/>
      <c r="F256" s="149"/>
      <c r="G256" s="95"/>
      <c r="H256" s="149"/>
      <c r="I256" s="95"/>
      <c r="J256" s="95"/>
      <c r="K256" s="154"/>
      <c r="L256" s="154"/>
      <c r="M256" s="100"/>
      <c r="N256" s="127"/>
      <c r="O256" s="128"/>
      <c r="P256" s="95"/>
      <c r="Q256" s="137"/>
      <c r="R256" s="129"/>
      <c r="S256" s="95"/>
      <c r="T256" s="95"/>
      <c r="V256" s="107"/>
    </row>
    <row r="257" ht="15.75" customHeight="1">
      <c r="A257" s="89"/>
      <c r="B257" s="182"/>
      <c r="C257" s="149"/>
      <c r="D257" s="95"/>
      <c r="E257" s="149"/>
      <c r="F257" s="149"/>
      <c r="G257" s="95"/>
      <c r="H257" s="149"/>
      <c r="I257" s="95"/>
      <c r="J257" s="95"/>
      <c r="K257" s="156"/>
      <c r="L257" s="156"/>
      <c r="M257" s="100"/>
      <c r="N257" s="127"/>
      <c r="O257" s="128"/>
      <c r="P257" s="95"/>
      <c r="Q257" s="137"/>
      <c r="R257" s="129"/>
      <c r="S257" s="95"/>
      <c r="T257" s="95"/>
      <c r="V257" s="107"/>
    </row>
    <row r="258" ht="15.75" customHeight="1">
      <c r="A258" s="89"/>
      <c r="B258" s="182"/>
      <c r="C258" s="149"/>
      <c r="D258" s="95"/>
      <c r="E258" s="149"/>
      <c r="F258" s="149"/>
      <c r="G258" s="95"/>
      <c r="H258" s="149"/>
      <c r="I258" s="95"/>
      <c r="J258" s="95"/>
      <c r="K258" s="154"/>
      <c r="L258" s="154"/>
      <c r="M258" s="100"/>
      <c r="N258" s="127"/>
      <c r="O258" s="128"/>
      <c r="P258" s="95"/>
      <c r="Q258" s="137"/>
      <c r="R258" s="129"/>
      <c r="S258" s="95"/>
      <c r="T258" s="95"/>
      <c r="V258" s="107"/>
    </row>
    <row r="259" ht="15.75" customHeight="1">
      <c r="A259" s="89"/>
      <c r="B259" s="182"/>
      <c r="C259" s="107"/>
      <c r="D259" s="95"/>
      <c r="E259" s="149"/>
      <c r="F259" s="149"/>
      <c r="G259" s="95"/>
      <c r="H259" s="149"/>
      <c r="I259" s="95"/>
      <c r="J259" s="95"/>
      <c r="K259" s="156"/>
      <c r="L259" s="156"/>
      <c r="M259" s="100"/>
      <c r="N259" s="127"/>
      <c r="O259" s="128"/>
      <c r="P259" s="95"/>
      <c r="Q259" s="137"/>
      <c r="R259" s="129"/>
      <c r="S259" s="95"/>
      <c r="T259" s="95"/>
      <c r="V259" s="107"/>
    </row>
    <row r="260" ht="15.75" customHeight="1">
      <c r="A260" s="89"/>
      <c r="B260" s="182"/>
      <c r="C260" s="149"/>
      <c r="D260" s="95"/>
      <c r="E260" s="149"/>
      <c r="F260" s="149"/>
      <c r="G260" s="95"/>
      <c r="H260" s="149"/>
      <c r="I260" s="95"/>
      <c r="J260" s="95"/>
      <c r="K260" s="154"/>
      <c r="L260" s="154"/>
      <c r="M260" s="100"/>
      <c r="N260" s="127"/>
      <c r="O260" s="128"/>
      <c r="P260" s="95"/>
      <c r="Q260" s="137"/>
      <c r="R260" s="129"/>
      <c r="S260" s="95"/>
      <c r="T260" s="95"/>
      <c r="V260" s="107"/>
    </row>
    <row r="261" ht="15.75" customHeight="1">
      <c r="A261" s="89"/>
      <c r="B261" s="182"/>
      <c r="C261" s="149"/>
      <c r="D261" s="95"/>
      <c r="E261" s="149"/>
      <c r="F261" s="149"/>
      <c r="G261" s="95"/>
      <c r="H261" s="149"/>
      <c r="I261" s="95"/>
      <c r="J261" s="95"/>
      <c r="K261" s="156"/>
      <c r="L261" s="156"/>
      <c r="M261" s="100"/>
      <c r="N261" s="127"/>
      <c r="O261" s="128"/>
      <c r="P261" s="95"/>
      <c r="Q261" s="137"/>
      <c r="R261" s="129"/>
      <c r="S261" s="95"/>
      <c r="T261" s="95"/>
      <c r="V261" s="107"/>
    </row>
    <row r="262" ht="15.75" customHeight="1">
      <c r="A262" s="89"/>
      <c r="B262" s="182"/>
      <c r="C262" s="149"/>
      <c r="D262" s="95"/>
      <c r="E262" s="149"/>
      <c r="F262" s="149"/>
      <c r="G262" s="95"/>
      <c r="H262" s="149"/>
      <c r="I262" s="95"/>
      <c r="J262" s="95"/>
      <c r="K262" s="154"/>
      <c r="L262" s="154"/>
      <c r="M262" s="100"/>
      <c r="N262" s="127"/>
      <c r="O262" s="128"/>
      <c r="P262" s="95"/>
      <c r="Q262" s="137"/>
      <c r="R262" s="129"/>
      <c r="S262" s="95"/>
      <c r="T262" s="95"/>
      <c r="V262" s="107"/>
    </row>
    <row r="263" ht="15.75" customHeight="1">
      <c r="A263" s="89"/>
      <c r="B263" s="182"/>
      <c r="C263" s="149"/>
      <c r="D263" s="95"/>
      <c r="E263" s="149"/>
      <c r="F263" s="149"/>
      <c r="G263" s="95"/>
      <c r="H263" s="149"/>
      <c r="I263" s="95"/>
      <c r="J263" s="95"/>
      <c r="K263" s="156"/>
      <c r="L263" s="156"/>
      <c r="M263" s="100"/>
      <c r="N263" s="127"/>
      <c r="O263" s="128"/>
      <c r="P263" s="95"/>
      <c r="Q263" s="137"/>
      <c r="R263" s="129"/>
      <c r="S263" s="95"/>
      <c r="T263" s="95"/>
      <c r="V263" s="107"/>
    </row>
    <row r="264" ht="15.75" customHeight="1">
      <c r="A264" s="89"/>
      <c r="B264" s="182"/>
      <c r="C264" s="149"/>
      <c r="D264" s="95"/>
      <c r="E264" s="149"/>
      <c r="F264" s="149"/>
      <c r="G264" s="95"/>
      <c r="H264" s="149"/>
      <c r="I264" s="95"/>
      <c r="J264" s="95"/>
      <c r="K264" s="154"/>
      <c r="L264" s="154"/>
      <c r="M264" s="100"/>
      <c r="N264" s="127"/>
      <c r="O264" s="128"/>
      <c r="P264" s="95"/>
      <c r="Q264" s="137"/>
      <c r="R264" s="129"/>
      <c r="S264" s="95"/>
      <c r="T264" s="95"/>
      <c r="V264" s="107"/>
    </row>
    <row r="265" ht="15.75" customHeight="1">
      <c r="A265" s="89"/>
      <c r="B265" s="182"/>
      <c r="C265" s="107"/>
      <c r="D265" s="95"/>
      <c r="E265" s="149"/>
      <c r="F265" s="149"/>
      <c r="G265" s="95"/>
      <c r="H265" s="149"/>
      <c r="I265" s="95"/>
      <c r="J265" s="95"/>
      <c r="K265" s="156"/>
      <c r="L265" s="156"/>
      <c r="M265" s="100"/>
      <c r="N265" s="127"/>
      <c r="O265" s="128"/>
      <c r="P265" s="95"/>
      <c r="Q265" s="137"/>
      <c r="R265" s="129"/>
      <c r="S265" s="95"/>
      <c r="T265" s="95"/>
      <c r="V265" s="107"/>
    </row>
    <row r="266" ht="15.75" customHeight="1">
      <c r="A266" s="89"/>
      <c r="B266" s="182"/>
      <c r="C266" s="149"/>
      <c r="D266" s="95"/>
      <c r="E266" s="149"/>
      <c r="F266" s="149"/>
      <c r="G266" s="95"/>
      <c r="H266" s="149"/>
      <c r="I266" s="95"/>
      <c r="J266" s="95"/>
      <c r="K266" s="154"/>
      <c r="L266" s="154"/>
      <c r="M266" s="100"/>
      <c r="N266" s="127"/>
      <c r="O266" s="128"/>
      <c r="P266" s="95"/>
      <c r="Q266" s="137"/>
      <c r="R266" s="129"/>
      <c r="S266" s="95"/>
      <c r="T266" s="95"/>
      <c r="V266" s="107"/>
    </row>
    <row r="267" ht="15.75" customHeight="1">
      <c r="A267" s="89"/>
      <c r="B267" s="182"/>
      <c r="C267" s="149"/>
      <c r="D267" s="95"/>
      <c r="E267" s="149"/>
      <c r="F267" s="149"/>
      <c r="G267" s="95"/>
      <c r="H267" s="149"/>
      <c r="I267" s="95"/>
      <c r="J267" s="95"/>
      <c r="K267" s="156"/>
      <c r="L267" s="156"/>
      <c r="M267" s="100"/>
      <c r="N267" s="127"/>
      <c r="O267" s="128"/>
      <c r="P267" s="95"/>
      <c r="Q267" s="137"/>
      <c r="R267" s="129"/>
      <c r="S267" s="95"/>
      <c r="T267" s="95"/>
      <c r="V267" s="107"/>
    </row>
    <row r="268" ht="15.75" customHeight="1">
      <c r="A268" s="89"/>
      <c r="B268" s="182"/>
      <c r="C268" s="149"/>
      <c r="D268" s="95"/>
      <c r="E268" s="149"/>
      <c r="F268" s="149"/>
      <c r="G268" s="95"/>
      <c r="H268" s="149"/>
      <c r="I268" s="95"/>
      <c r="J268" s="95"/>
      <c r="K268" s="154"/>
      <c r="L268" s="154"/>
      <c r="M268" s="100"/>
      <c r="N268" s="127"/>
      <c r="O268" s="128"/>
      <c r="P268" s="95"/>
      <c r="Q268" s="137"/>
      <c r="R268" s="129"/>
      <c r="S268" s="95"/>
      <c r="T268" s="95"/>
      <c r="V268" s="107"/>
    </row>
    <row r="269" ht="15.75" customHeight="1">
      <c r="A269" s="89"/>
      <c r="B269" s="182"/>
      <c r="C269" s="149"/>
      <c r="D269" s="95"/>
      <c r="E269" s="149"/>
      <c r="F269" s="149"/>
      <c r="G269" s="95"/>
      <c r="H269" s="149"/>
      <c r="I269" s="95"/>
      <c r="J269" s="95"/>
      <c r="K269" s="156"/>
      <c r="L269" s="156"/>
      <c r="M269" s="100"/>
      <c r="N269" s="127"/>
      <c r="O269" s="128"/>
      <c r="P269" s="95"/>
      <c r="Q269" s="137"/>
      <c r="R269" s="129"/>
      <c r="S269" s="95"/>
      <c r="T269" s="95"/>
      <c r="V269" s="107"/>
    </row>
    <row r="270" ht="15.75" customHeight="1">
      <c r="A270" s="89"/>
      <c r="B270" s="182"/>
      <c r="C270" s="149"/>
      <c r="D270" s="95"/>
      <c r="E270" s="149"/>
      <c r="F270" s="149"/>
      <c r="G270" s="95"/>
      <c r="H270" s="149"/>
      <c r="I270" s="95"/>
      <c r="J270" s="95"/>
      <c r="K270" s="154"/>
      <c r="L270" s="154"/>
      <c r="M270" s="100"/>
      <c r="N270" s="127"/>
      <c r="O270" s="128"/>
      <c r="P270" s="95"/>
      <c r="Q270" s="137"/>
      <c r="R270" s="129"/>
      <c r="S270" s="95"/>
      <c r="T270" s="95"/>
      <c r="V270" s="107"/>
    </row>
    <row r="271" ht="15.75" customHeight="1">
      <c r="A271" s="89"/>
      <c r="B271" s="182"/>
      <c r="C271" s="107"/>
      <c r="D271" s="95"/>
      <c r="E271" s="149"/>
      <c r="F271" s="149"/>
      <c r="G271" s="95"/>
      <c r="H271" s="149"/>
      <c r="I271" s="95"/>
      <c r="J271" s="95"/>
      <c r="K271" s="156"/>
      <c r="L271" s="156"/>
      <c r="M271" s="100"/>
      <c r="N271" s="127"/>
      <c r="O271" s="128"/>
      <c r="P271" s="95"/>
      <c r="Q271" s="137"/>
      <c r="R271" s="129"/>
      <c r="S271" s="95"/>
      <c r="T271" s="95"/>
      <c r="V271" s="107"/>
    </row>
    <row r="272" ht="15.75" customHeight="1">
      <c r="A272" s="89"/>
      <c r="B272" s="182"/>
      <c r="C272" s="149"/>
      <c r="D272" s="95"/>
      <c r="E272" s="149"/>
      <c r="F272" s="149"/>
      <c r="G272" s="95"/>
      <c r="H272" s="149"/>
      <c r="I272" s="95"/>
      <c r="J272" s="95"/>
      <c r="K272" s="154"/>
      <c r="L272" s="154"/>
      <c r="M272" s="100"/>
      <c r="N272" s="127"/>
      <c r="O272" s="128"/>
      <c r="P272" s="95"/>
      <c r="Q272" s="137"/>
      <c r="R272" s="129"/>
      <c r="S272" s="95"/>
      <c r="T272" s="95"/>
      <c r="V272" s="107"/>
    </row>
    <row r="273" ht="15.75" customHeight="1">
      <c r="A273" s="89"/>
      <c r="B273" s="182"/>
      <c r="C273" s="149"/>
      <c r="D273" s="95"/>
      <c r="E273" s="149"/>
      <c r="F273" s="149"/>
      <c r="G273" s="95"/>
      <c r="H273" s="149"/>
      <c r="I273" s="95"/>
      <c r="J273" s="95"/>
      <c r="K273" s="156"/>
      <c r="L273" s="156"/>
      <c r="M273" s="100"/>
      <c r="N273" s="127"/>
      <c r="O273" s="128"/>
      <c r="P273" s="95"/>
      <c r="Q273" s="137"/>
      <c r="R273" s="129"/>
      <c r="S273" s="95"/>
      <c r="T273" s="95"/>
      <c r="V273" s="107"/>
    </row>
    <row r="274" ht="15.75" customHeight="1">
      <c r="A274" s="89"/>
      <c r="B274" s="182"/>
      <c r="C274" s="149"/>
      <c r="D274" s="95"/>
      <c r="E274" s="149"/>
      <c r="F274" s="149"/>
      <c r="G274" s="95"/>
      <c r="H274" s="149"/>
      <c r="I274" s="95"/>
      <c r="J274" s="95"/>
      <c r="K274" s="154"/>
      <c r="L274" s="154"/>
      <c r="M274" s="100"/>
      <c r="N274" s="127"/>
      <c r="O274" s="128"/>
      <c r="P274" s="95"/>
      <c r="Q274" s="137"/>
      <c r="R274" s="129"/>
      <c r="S274" s="95"/>
      <c r="T274" s="95"/>
      <c r="V274" s="107"/>
    </row>
    <row r="275" ht="15.75" customHeight="1">
      <c r="A275" s="89"/>
      <c r="B275" s="182"/>
      <c r="C275" s="149"/>
      <c r="D275" s="95"/>
      <c r="E275" s="149"/>
      <c r="F275" s="149"/>
      <c r="G275" s="95"/>
      <c r="H275" s="149"/>
      <c r="I275" s="95"/>
      <c r="J275" s="95"/>
      <c r="K275" s="156"/>
      <c r="L275" s="156"/>
      <c r="M275" s="100"/>
      <c r="N275" s="127"/>
      <c r="O275" s="128"/>
      <c r="P275" s="95"/>
      <c r="Q275" s="137"/>
      <c r="R275" s="129"/>
      <c r="S275" s="95"/>
      <c r="T275" s="95"/>
      <c r="V275" s="107"/>
    </row>
    <row r="276" ht="15.75" customHeight="1">
      <c r="A276" s="89"/>
      <c r="B276" s="182"/>
      <c r="C276" s="149"/>
      <c r="D276" s="95"/>
      <c r="E276" s="149"/>
      <c r="F276" s="149"/>
      <c r="G276" s="95"/>
      <c r="H276" s="149"/>
      <c r="I276" s="95"/>
      <c r="J276" s="95"/>
      <c r="K276" s="154"/>
      <c r="L276" s="154"/>
      <c r="M276" s="100"/>
      <c r="N276" s="127"/>
      <c r="O276" s="128"/>
      <c r="P276" s="95"/>
      <c r="Q276" s="137"/>
      <c r="R276" s="129"/>
      <c r="S276" s="95"/>
      <c r="T276" s="95"/>
      <c r="V276" s="107"/>
    </row>
    <row r="277" ht="15.75" customHeight="1">
      <c r="A277" s="89"/>
      <c r="B277" s="182"/>
      <c r="C277" s="107"/>
      <c r="D277" s="95"/>
      <c r="E277" s="149"/>
      <c r="F277" s="149"/>
      <c r="G277" s="95"/>
      <c r="H277" s="149"/>
      <c r="I277" s="95"/>
      <c r="J277" s="95"/>
      <c r="K277" s="156"/>
      <c r="L277" s="156"/>
      <c r="M277" s="100"/>
      <c r="N277" s="127"/>
      <c r="O277" s="128"/>
      <c r="P277" s="95"/>
      <c r="Q277" s="137"/>
      <c r="R277" s="129"/>
      <c r="S277" s="95"/>
      <c r="T277" s="95"/>
      <c r="V277" s="107"/>
    </row>
    <row r="278" ht="15.75" customHeight="1">
      <c r="A278" s="89"/>
      <c r="B278" s="182"/>
      <c r="C278" s="149"/>
      <c r="D278" s="95"/>
      <c r="E278" s="149"/>
      <c r="F278" s="149"/>
      <c r="G278" s="95"/>
      <c r="H278" s="149"/>
      <c r="I278" s="95"/>
      <c r="J278" s="95"/>
      <c r="K278" s="154"/>
      <c r="L278" s="154"/>
      <c r="M278" s="100"/>
      <c r="N278" s="127"/>
      <c r="O278" s="128"/>
      <c r="P278" s="95"/>
      <c r="Q278" s="137"/>
      <c r="R278" s="129"/>
      <c r="S278" s="95"/>
      <c r="T278" s="95"/>
      <c r="V278" s="107"/>
    </row>
    <row r="279" ht="15.75" customHeight="1">
      <c r="A279" s="89"/>
      <c r="B279" s="182"/>
      <c r="C279" s="149"/>
      <c r="D279" s="95"/>
      <c r="E279" s="149"/>
      <c r="F279" s="149"/>
      <c r="G279" s="95"/>
      <c r="H279" s="149"/>
      <c r="I279" s="95"/>
      <c r="J279" s="95"/>
      <c r="K279" s="156"/>
      <c r="L279" s="156"/>
      <c r="M279" s="100"/>
      <c r="N279" s="127"/>
      <c r="O279" s="128"/>
      <c r="P279" s="95"/>
      <c r="Q279" s="137"/>
      <c r="R279" s="129"/>
      <c r="S279" s="95"/>
      <c r="T279" s="95"/>
      <c r="V279" s="107"/>
    </row>
    <row r="280" ht="15.75" customHeight="1">
      <c r="A280" s="89"/>
      <c r="B280" s="182"/>
      <c r="C280" s="149"/>
      <c r="D280" s="95"/>
      <c r="E280" s="149"/>
      <c r="F280" s="149"/>
      <c r="G280" s="95"/>
      <c r="H280" s="149"/>
      <c r="I280" s="95"/>
      <c r="J280" s="95"/>
      <c r="K280" s="154"/>
      <c r="L280" s="154"/>
      <c r="M280" s="100"/>
      <c r="N280" s="127"/>
      <c r="O280" s="128"/>
      <c r="P280" s="95"/>
      <c r="Q280" s="137"/>
      <c r="R280" s="129"/>
      <c r="S280" s="95"/>
      <c r="T280" s="95"/>
      <c r="V280" s="107"/>
    </row>
    <row r="281" ht="15.75" customHeight="1">
      <c r="A281" s="89"/>
      <c r="B281" s="182"/>
      <c r="C281" s="149"/>
      <c r="D281" s="95"/>
      <c r="E281" s="149"/>
      <c r="F281" s="149"/>
      <c r="G281" s="95"/>
      <c r="H281" s="149"/>
      <c r="I281" s="95"/>
      <c r="J281" s="95"/>
      <c r="K281" s="156"/>
      <c r="L281" s="156"/>
      <c r="M281" s="100"/>
      <c r="N281" s="127"/>
      <c r="O281" s="128"/>
      <c r="P281" s="95"/>
      <c r="Q281" s="137"/>
      <c r="R281" s="129"/>
      <c r="S281" s="95"/>
      <c r="T281" s="95"/>
      <c r="V281" s="107"/>
    </row>
    <row r="282" ht="15.75" customHeight="1">
      <c r="A282" s="89"/>
      <c r="B282" s="182"/>
      <c r="C282" s="149"/>
      <c r="D282" s="95"/>
      <c r="E282" s="149"/>
      <c r="F282" s="149"/>
      <c r="G282" s="95"/>
      <c r="H282" s="149"/>
      <c r="I282" s="95"/>
      <c r="J282" s="95"/>
      <c r="K282" s="154"/>
      <c r="L282" s="154"/>
      <c r="M282" s="100"/>
      <c r="N282" s="127"/>
      <c r="O282" s="128"/>
      <c r="P282" s="95"/>
      <c r="Q282" s="137"/>
      <c r="R282" s="129"/>
      <c r="S282" s="95"/>
      <c r="T282" s="95"/>
      <c r="V282" s="107"/>
    </row>
    <row r="283" ht="15.75" customHeight="1">
      <c r="A283" s="89"/>
      <c r="B283" s="182"/>
      <c r="C283" s="107"/>
      <c r="D283" s="95"/>
      <c r="E283" s="149"/>
      <c r="F283" s="149"/>
      <c r="G283" s="95"/>
      <c r="H283" s="149"/>
      <c r="I283" s="95"/>
      <c r="J283" s="95"/>
      <c r="K283" s="156"/>
      <c r="L283" s="156"/>
      <c r="M283" s="100"/>
      <c r="N283" s="127"/>
      <c r="O283" s="128"/>
      <c r="P283" s="95"/>
      <c r="Q283" s="137"/>
      <c r="R283" s="129"/>
      <c r="S283" s="95"/>
      <c r="T283" s="95"/>
      <c r="V283" s="107"/>
    </row>
    <row r="284" ht="15.75" customHeight="1">
      <c r="A284" s="89"/>
      <c r="B284" s="182"/>
      <c r="C284" s="149"/>
      <c r="D284" s="95"/>
      <c r="E284" s="149"/>
      <c r="F284" s="149"/>
      <c r="G284" s="95"/>
      <c r="H284" s="149"/>
      <c r="I284" s="95"/>
      <c r="J284" s="95"/>
      <c r="K284" s="154"/>
      <c r="L284" s="154"/>
      <c r="M284" s="100"/>
      <c r="N284" s="127"/>
      <c r="O284" s="128"/>
      <c r="P284" s="95"/>
      <c r="Q284" s="137"/>
      <c r="R284" s="129"/>
      <c r="S284" s="95"/>
      <c r="T284" s="95"/>
      <c r="V284" s="107"/>
    </row>
    <row r="285" ht="15.75" customHeight="1">
      <c r="A285" s="89"/>
      <c r="B285" s="182"/>
      <c r="C285" s="149"/>
      <c r="D285" s="95"/>
      <c r="E285" s="149"/>
      <c r="F285" s="149"/>
      <c r="G285" s="95"/>
      <c r="H285" s="149"/>
      <c r="I285" s="95"/>
      <c r="J285" s="95"/>
      <c r="K285" s="156"/>
      <c r="L285" s="156"/>
      <c r="M285" s="100"/>
      <c r="N285" s="127"/>
      <c r="O285" s="128"/>
      <c r="P285" s="95"/>
      <c r="Q285" s="137"/>
      <c r="R285" s="129"/>
      <c r="S285" s="95"/>
      <c r="T285" s="95"/>
      <c r="V285" s="107"/>
    </row>
    <row r="286" ht="15.75" customHeight="1">
      <c r="A286" s="89"/>
      <c r="B286" s="182"/>
      <c r="C286" s="149"/>
      <c r="D286" s="95"/>
      <c r="E286" s="149"/>
      <c r="F286" s="149"/>
      <c r="G286" s="95"/>
      <c r="H286" s="149"/>
      <c r="I286" s="95"/>
      <c r="J286" s="95"/>
      <c r="K286" s="154"/>
      <c r="L286" s="154"/>
      <c r="M286" s="100"/>
      <c r="N286" s="127"/>
      <c r="O286" s="128"/>
      <c r="P286" s="95"/>
      <c r="Q286" s="137"/>
      <c r="R286" s="129"/>
      <c r="S286" s="95"/>
      <c r="T286" s="95"/>
      <c r="V286" s="107"/>
    </row>
    <row r="287" ht="15.75" customHeight="1">
      <c r="A287" s="89"/>
      <c r="B287" s="182"/>
      <c r="C287" s="149"/>
      <c r="D287" s="95"/>
      <c r="E287" s="149"/>
      <c r="F287" s="149"/>
      <c r="G287" s="95"/>
      <c r="H287" s="149"/>
      <c r="I287" s="95"/>
      <c r="J287" s="95"/>
      <c r="K287" s="156"/>
      <c r="L287" s="156"/>
      <c r="M287" s="100"/>
      <c r="N287" s="127"/>
      <c r="O287" s="128"/>
      <c r="P287" s="95"/>
      <c r="Q287" s="137"/>
      <c r="R287" s="129"/>
      <c r="S287" s="95"/>
      <c r="T287" s="95"/>
      <c r="V287" s="107"/>
    </row>
    <row r="288" ht="15.75" customHeight="1">
      <c r="A288" s="89"/>
      <c r="B288" s="182"/>
      <c r="C288" s="149"/>
      <c r="D288" s="95"/>
      <c r="E288" s="149"/>
      <c r="F288" s="149"/>
      <c r="G288" s="95"/>
      <c r="H288" s="149"/>
      <c r="I288" s="95"/>
      <c r="J288" s="95"/>
      <c r="K288" s="154"/>
      <c r="L288" s="154"/>
      <c r="M288" s="100"/>
      <c r="N288" s="127"/>
      <c r="O288" s="128"/>
      <c r="P288" s="95"/>
      <c r="Q288" s="137"/>
      <c r="R288" s="129"/>
      <c r="S288" s="95"/>
      <c r="T288" s="95"/>
      <c r="V288" s="107"/>
    </row>
    <row r="289" ht="15.75" customHeight="1">
      <c r="A289" s="89"/>
      <c r="B289" s="182"/>
      <c r="C289" s="107"/>
      <c r="D289" s="95"/>
      <c r="E289" s="149"/>
      <c r="F289" s="149"/>
      <c r="G289" s="95"/>
      <c r="H289" s="149"/>
      <c r="I289" s="95"/>
      <c r="J289" s="95"/>
      <c r="K289" s="156"/>
      <c r="L289" s="156"/>
      <c r="M289" s="100"/>
      <c r="N289" s="127"/>
      <c r="O289" s="128"/>
      <c r="P289" s="95"/>
      <c r="Q289" s="137"/>
      <c r="R289" s="129"/>
      <c r="S289" s="95"/>
      <c r="T289" s="95"/>
      <c r="V289" s="107"/>
    </row>
    <row r="290" ht="15.75" customHeight="1">
      <c r="A290" s="89"/>
      <c r="B290" s="182"/>
      <c r="C290" s="149"/>
      <c r="D290" s="95"/>
      <c r="E290" s="149"/>
      <c r="F290" s="149"/>
      <c r="G290" s="95"/>
      <c r="H290" s="149"/>
      <c r="I290" s="95"/>
      <c r="J290" s="95"/>
      <c r="K290" s="154"/>
      <c r="L290" s="154"/>
      <c r="M290" s="100"/>
      <c r="N290" s="127"/>
      <c r="O290" s="128"/>
      <c r="P290" s="95"/>
      <c r="Q290" s="137"/>
      <c r="R290" s="129"/>
      <c r="S290" s="95"/>
      <c r="T290" s="95"/>
      <c r="V290" s="107"/>
    </row>
    <row r="291" ht="15.75" customHeight="1">
      <c r="A291" s="89"/>
      <c r="B291" s="182"/>
      <c r="C291" s="149"/>
      <c r="D291" s="95"/>
      <c r="E291" s="149"/>
      <c r="F291" s="149"/>
      <c r="G291" s="95"/>
      <c r="H291" s="149"/>
      <c r="I291" s="95"/>
      <c r="J291" s="95"/>
      <c r="K291" s="156"/>
      <c r="L291" s="156"/>
      <c r="M291" s="100"/>
      <c r="N291" s="127"/>
      <c r="O291" s="128"/>
      <c r="P291" s="95"/>
      <c r="Q291" s="137"/>
      <c r="R291" s="129"/>
      <c r="S291" s="95"/>
      <c r="T291" s="95"/>
      <c r="V291" s="107"/>
    </row>
    <row r="292" ht="15.75" customHeight="1">
      <c r="A292" s="89"/>
      <c r="B292" s="182"/>
      <c r="C292" s="149"/>
      <c r="D292" s="95"/>
      <c r="E292" s="149"/>
      <c r="F292" s="149"/>
      <c r="G292" s="95"/>
      <c r="H292" s="149"/>
      <c r="I292" s="95"/>
      <c r="J292" s="95"/>
      <c r="K292" s="154"/>
      <c r="L292" s="154"/>
      <c r="M292" s="100"/>
      <c r="N292" s="127"/>
      <c r="O292" s="128"/>
      <c r="P292" s="95"/>
      <c r="Q292" s="137"/>
      <c r="R292" s="129"/>
      <c r="S292" s="95"/>
      <c r="T292" s="95"/>
      <c r="V292" s="107"/>
    </row>
    <row r="293" ht="15.75" customHeight="1">
      <c r="A293" s="89"/>
      <c r="B293" s="182"/>
      <c r="C293" s="149"/>
      <c r="D293" s="95"/>
      <c r="E293" s="149"/>
      <c r="F293" s="149"/>
      <c r="G293" s="95"/>
      <c r="H293" s="149"/>
      <c r="I293" s="95"/>
      <c r="J293" s="95"/>
      <c r="K293" s="156"/>
      <c r="L293" s="156"/>
      <c r="M293" s="100"/>
      <c r="N293" s="127"/>
      <c r="O293" s="128"/>
      <c r="P293" s="95"/>
      <c r="Q293" s="137"/>
      <c r="R293" s="129"/>
      <c r="S293" s="95"/>
      <c r="T293" s="95"/>
      <c r="V293" s="107"/>
    </row>
    <row r="294" ht="15.75" customHeight="1">
      <c r="A294" s="89"/>
      <c r="B294" s="182"/>
      <c r="C294" s="149"/>
      <c r="D294" s="95"/>
      <c r="E294" s="149"/>
      <c r="F294" s="149"/>
      <c r="G294" s="95"/>
      <c r="H294" s="149"/>
      <c r="I294" s="95"/>
      <c r="J294" s="95"/>
      <c r="K294" s="154"/>
      <c r="L294" s="154"/>
      <c r="M294" s="100"/>
      <c r="N294" s="127"/>
      <c r="O294" s="128"/>
      <c r="P294" s="95"/>
      <c r="Q294" s="137"/>
      <c r="R294" s="129"/>
      <c r="S294" s="95"/>
      <c r="T294" s="95"/>
      <c r="V294" s="107"/>
    </row>
    <row r="295" ht="15.75" customHeight="1">
      <c r="A295" s="89"/>
      <c r="B295" s="182"/>
      <c r="C295" s="107"/>
      <c r="D295" s="95"/>
      <c r="E295" s="149"/>
      <c r="F295" s="149"/>
      <c r="G295" s="95"/>
      <c r="H295" s="149"/>
      <c r="I295" s="95"/>
      <c r="J295" s="95"/>
      <c r="K295" s="156"/>
      <c r="L295" s="156"/>
      <c r="M295" s="100"/>
      <c r="N295" s="127"/>
      <c r="O295" s="128"/>
      <c r="P295" s="95"/>
      <c r="Q295" s="137"/>
      <c r="R295" s="129"/>
      <c r="S295" s="95"/>
      <c r="T295" s="95"/>
      <c r="V295" s="107"/>
    </row>
    <row r="296" ht="15.75" customHeight="1">
      <c r="A296" s="89"/>
      <c r="B296" s="182"/>
      <c r="C296" s="149"/>
      <c r="D296" s="95"/>
      <c r="E296" s="149"/>
      <c r="F296" s="149"/>
      <c r="G296" s="95"/>
      <c r="H296" s="149"/>
      <c r="I296" s="95"/>
      <c r="J296" s="95"/>
      <c r="K296" s="154"/>
      <c r="L296" s="154"/>
      <c r="M296" s="100"/>
      <c r="N296" s="127"/>
      <c r="O296" s="128"/>
      <c r="P296" s="95"/>
      <c r="Q296" s="137"/>
      <c r="R296" s="129"/>
      <c r="S296" s="95"/>
      <c r="T296" s="95"/>
      <c r="V296" s="107"/>
    </row>
    <row r="297" ht="15.75" customHeight="1">
      <c r="A297" s="89"/>
      <c r="B297" s="182"/>
      <c r="C297" s="149"/>
      <c r="D297" s="95"/>
      <c r="E297" s="149"/>
      <c r="F297" s="149"/>
      <c r="G297" s="95"/>
      <c r="H297" s="149"/>
      <c r="I297" s="95"/>
      <c r="J297" s="95"/>
      <c r="K297" s="156"/>
      <c r="L297" s="156"/>
      <c r="M297" s="100"/>
      <c r="N297" s="127"/>
      <c r="O297" s="128"/>
      <c r="P297" s="95"/>
      <c r="Q297" s="137"/>
      <c r="R297" s="129"/>
      <c r="S297" s="95"/>
      <c r="T297" s="95"/>
      <c r="V297" s="107"/>
    </row>
    <row r="298" ht="15.75" customHeight="1">
      <c r="A298" s="89"/>
      <c r="B298" s="182"/>
      <c r="C298" s="149"/>
      <c r="D298" s="95"/>
      <c r="E298" s="149"/>
      <c r="F298" s="149"/>
      <c r="G298" s="95"/>
      <c r="H298" s="149"/>
      <c r="I298" s="95"/>
      <c r="J298" s="95"/>
      <c r="K298" s="154"/>
      <c r="L298" s="154"/>
      <c r="M298" s="100"/>
      <c r="N298" s="127"/>
      <c r="O298" s="128"/>
      <c r="P298" s="95"/>
      <c r="Q298" s="137"/>
      <c r="R298" s="129"/>
      <c r="S298" s="95"/>
      <c r="T298" s="95"/>
      <c r="V298" s="107"/>
    </row>
    <row r="299" ht="15.75" customHeight="1">
      <c r="A299" s="89"/>
      <c r="B299" s="182"/>
      <c r="C299" s="149"/>
      <c r="D299" s="95"/>
      <c r="E299" s="149"/>
      <c r="F299" s="149"/>
      <c r="G299" s="95"/>
      <c r="H299" s="149"/>
      <c r="I299" s="95"/>
      <c r="J299" s="95"/>
      <c r="K299" s="156"/>
      <c r="L299" s="156"/>
      <c r="M299" s="100"/>
      <c r="N299" s="127"/>
      <c r="O299" s="128"/>
      <c r="P299" s="95"/>
      <c r="Q299" s="137"/>
      <c r="R299" s="129"/>
      <c r="S299" s="95"/>
      <c r="T299" s="95"/>
      <c r="V299" s="107"/>
    </row>
    <row r="300" ht="15.75" customHeight="1">
      <c r="A300" s="89"/>
      <c r="B300" s="182"/>
      <c r="C300" s="149"/>
      <c r="D300" s="95"/>
      <c r="E300" s="149"/>
      <c r="F300" s="149"/>
      <c r="G300" s="95"/>
      <c r="H300" s="149"/>
      <c r="I300" s="95"/>
      <c r="J300" s="95"/>
      <c r="K300" s="154"/>
      <c r="L300" s="154"/>
      <c r="M300" s="100"/>
      <c r="N300" s="127"/>
      <c r="O300" s="128"/>
      <c r="P300" s="95"/>
      <c r="Q300" s="137"/>
      <c r="R300" s="129"/>
      <c r="S300" s="95"/>
      <c r="T300" s="95"/>
      <c r="V300" s="107"/>
    </row>
    <row r="301" ht="15.75" customHeight="1">
      <c r="A301" s="89"/>
      <c r="B301" s="182"/>
      <c r="C301" s="107"/>
      <c r="D301" s="95"/>
      <c r="E301" s="149"/>
      <c r="F301" s="149"/>
      <c r="G301" s="95"/>
      <c r="H301" s="149"/>
      <c r="I301" s="95"/>
      <c r="J301" s="95"/>
      <c r="K301" s="156"/>
      <c r="L301" s="156"/>
      <c r="M301" s="100"/>
      <c r="N301" s="127"/>
      <c r="O301" s="128"/>
      <c r="P301" s="95"/>
      <c r="Q301" s="137"/>
      <c r="R301" s="129"/>
      <c r="S301" s="95"/>
      <c r="T301" s="95"/>
      <c r="V301" s="107"/>
    </row>
    <row r="302" ht="15.75" customHeight="1">
      <c r="A302" s="89"/>
      <c r="B302" s="182"/>
      <c r="C302" s="149"/>
      <c r="D302" s="95"/>
      <c r="E302" s="149"/>
      <c r="F302" s="149"/>
      <c r="G302" s="95"/>
      <c r="H302" s="149"/>
      <c r="I302" s="95"/>
      <c r="J302" s="95"/>
      <c r="K302" s="154"/>
      <c r="L302" s="154"/>
      <c r="M302" s="100"/>
      <c r="N302" s="127"/>
      <c r="O302" s="128"/>
      <c r="P302" s="95"/>
      <c r="Q302" s="137"/>
      <c r="R302" s="129"/>
      <c r="S302" s="95"/>
      <c r="T302" s="95"/>
      <c r="V302" s="107"/>
    </row>
    <row r="303" ht="15.75" customHeight="1">
      <c r="A303" s="89"/>
      <c r="B303" s="182"/>
      <c r="C303" s="149"/>
      <c r="D303" s="95"/>
      <c r="E303" s="149"/>
      <c r="F303" s="149"/>
      <c r="G303" s="95"/>
      <c r="H303" s="149"/>
      <c r="I303" s="95"/>
      <c r="J303" s="95"/>
      <c r="K303" s="156"/>
      <c r="L303" s="156"/>
      <c r="M303" s="100"/>
      <c r="N303" s="127"/>
      <c r="O303" s="128"/>
      <c r="P303" s="95"/>
      <c r="Q303" s="137"/>
      <c r="R303" s="129"/>
      <c r="S303" s="95"/>
      <c r="T303" s="95"/>
      <c r="V303" s="107"/>
    </row>
    <row r="304" ht="15.75" customHeight="1">
      <c r="A304" s="89"/>
      <c r="B304" s="182"/>
      <c r="C304" s="149"/>
      <c r="D304" s="95"/>
      <c r="E304" s="149"/>
      <c r="F304" s="149"/>
      <c r="G304" s="95"/>
      <c r="H304" s="149"/>
      <c r="I304" s="95"/>
      <c r="J304" s="95"/>
      <c r="K304" s="154"/>
      <c r="L304" s="154"/>
      <c r="M304" s="100"/>
      <c r="N304" s="127"/>
      <c r="O304" s="128"/>
      <c r="P304" s="95"/>
      <c r="Q304" s="137"/>
      <c r="R304" s="129"/>
      <c r="S304" s="95"/>
      <c r="T304" s="95"/>
      <c r="V304" s="107"/>
    </row>
    <row r="305" ht="15.75" customHeight="1">
      <c r="A305" s="89"/>
      <c r="B305" s="182"/>
      <c r="C305" s="149"/>
      <c r="D305" s="95"/>
      <c r="E305" s="149"/>
      <c r="F305" s="149"/>
      <c r="G305" s="95"/>
      <c r="H305" s="149"/>
      <c r="I305" s="95"/>
      <c r="J305" s="95"/>
      <c r="K305" s="156"/>
      <c r="L305" s="156"/>
      <c r="M305" s="100"/>
      <c r="N305" s="127"/>
      <c r="O305" s="128"/>
      <c r="P305" s="95"/>
      <c r="Q305" s="137"/>
      <c r="R305" s="129"/>
      <c r="S305" s="95"/>
      <c r="T305" s="95"/>
      <c r="V305" s="107"/>
    </row>
    <row r="306" ht="15.75" customHeight="1">
      <c r="A306" s="89"/>
      <c r="B306" s="182"/>
      <c r="C306" s="149"/>
      <c r="D306" s="95"/>
      <c r="E306" s="149"/>
      <c r="F306" s="149"/>
      <c r="G306" s="95"/>
      <c r="H306" s="149"/>
      <c r="I306" s="95"/>
      <c r="J306" s="95"/>
      <c r="K306" s="154"/>
      <c r="L306" s="154"/>
      <c r="M306" s="100"/>
      <c r="N306" s="127"/>
      <c r="O306" s="128"/>
      <c r="P306" s="95"/>
      <c r="Q306" s="137"/>
      <c r="R306" s="129"/>
      <c r="S306" s="95"/>
      <c r="T306" s="95"/>
      <c r="V306" s="107"/>
    </row>
    <row r="307" ht="15.75" customHeight="1">
      <c r="A307" s="89"/>
      <c r="B307" s="182"/>
      <c r="C307" s="107"/>
      <c r="D307" s="95"/>
      <c r="E307" s="149"/>
      <c r="F307" s="149"/>
      <c r="G307" s="95"/>
      <c r="H307" s="149"/>
      <c r="I307" s="95"/>
      <c r="J307" s="95"/>
      <c r="K307" s="156"/>
      <c r="L307" s="156"/>
      <c r="M307" s="100"/>
      <c r="N307" s="127"/>
      <c r="O307" s="128"/>
      <c r="P307" s="95"/>
      <c r="Q307" s="137"/>
      <c r="R307" s="129"/>
      <c r="S307" s="95"/>
      <c r="T307" s="95"/>
      <c r="V307" s="107"/>
    </row>
    <row r="308" ht="15.75" customHeight="1">
      <c r="A308" s="89"/>
      <c r="B308" s="182"/>
      <c r="C308" s="149"/>
      <c r="D308" s="95"/>
      <c r="E308" s="149"/>
      <c r="F308" s="149"/>
      <c r="G308" s="95"/>
      <c r="H308" s="149"/>
      <c r="I308" s="95"/>
      <c r="J308" s="95"/>
      <c r="K308" s="154"/>
      <c r="L308" s="154"/>
      <c r="M308" s="100"/>
      <c r="N308" s="127"/>
      <c r="O308" s="128"/>
      <c r="P308" s="95"/>
      <c r="Q308" s="137"/>
      <c r="R308" s="129"/>
      <c r="S308" s="95"/>
      <c r="T308" s="95"/>
      <c r="V308" s="107"/>
    </row>
    <row r="309" ht="15.75" customHeight="1">
      <c r="A309" s="89"/>
      <c r="B309" s="182"/>
      <c r="C309" s="149"/>
      <c r="D309" s="95"/>
      <c r="E309" s="149"/>
      <c r="F309" s="149"/>
      <c r="G309" s="95"/>
      <c r="H309" s="149"/>
      <c r="I309" s="95"/>
      <c r="J309" s="95"/>
      <c r="K309" s="156"/>
      <c r="L309" s="156"/>
      <c r="M309" s="100"/>
      <c r="N309" s="127"/>
      <c r="O309" s="128"/>
      <c r="P309" s="95"/>
      <c r="Q309" s="137"/>
      <c r="R309" s="129"/>
      <c r="S309" s="95"/>
      <c r="T309" s="95"/>
      <c r="V309" s="107"/>
    </row>
    <row r="310" ht="15.75" customHeight="1">
      <c r="A310" s="89"/>
      <c r="B310" s="182"/>
      <c r="C310" s="149"/>
      <c r="D310" s="95"/>
      <c r="E310" s="149"/>
      <c r="F310" s="149"/>
      <c r="G310" s="95"/>
      <c r="H310" s="149"/>
      <c r="I310" s="95"/>
      <c r="J310" s="95"/>
      <c r="K310" s="154"/>
      <c r="L310" s="154"/>
      <c r="M310" s="100"/>
      <c r="N310" s="127"/>
      <c r="O310" s="128"/>
      <c r="P310" s="95"/>
      <c r="Q310" s="137"/>
      <c r="R310" s="129"/>
      <c r="S310" s="95"/>
      <c r="T310" s="95"/>
      <c r="V310" s="107"/>
    </row>
    <row r="311" ht="15.75" customHeight="1">
      <c r="A311" s="89"/>
      <c r="B311" s="182"/>
      <c r="C311" s="149"/>
      <c r="D311" s="95"/>
      <c r="E311" s="149"/>
      <c r="F311" s="149"/>
      <c r="G311" s="95"/>
      <c r="H311" s="149"/>
      <c r="I311" s="95"/>
      <c r="J311" s="95"/>
      <c r="K311" s="156"/>
      <c r="L311" s="156"/>
      <c r="M311" s="100"/>
      <c r="N311" s="127"/>
      <c r="O311" s="128"/>
      <c r="P311" s="95"/>
      <c r="Q311" s="137"/>
      <c r="R311" s="129"/>
      <c r="S311" s="95"/>
      <c r="T311" s="95"/>
      <c r="V311" s="107"/>
    </row>
    <row r="312" ht="15.75" customHeight="1">
      <c r="A312" s="89"/>
      <c r="B312" s="182"/>
      <c r="C312" s="149"/>
      <c r="D312" s="95"/>
      <c r="E312" s="149"/>
      <c r="F312" s="149"/>
      <c r="G312" s="95"/>
      <c r="H312" s="149"/>
      <c r="I312" s="95"/>
      <c r="J312" s="95"/>
      <c r="K312" s="154"/>
      <c r="L312" s="154"/>
      <c r="M312" s="100"/>
      <c r="N312" s="127"/>
      <c r="O312" s="128"/>
      <c r="P312" s="95"/>
      <c r="Q312" s="137"/>
      <c r="R312" s="129"/>
      <c r="S312" s="95"/>
      <c r="T312" s="95"/>
      <c r="V312" s="107"/>
    </row>
    <row r="313" ht="15.75" customHeight="1">
      <c r="A313" s="89"/>
      <c r="B313" s="182"/>
      <c r="C313" s="107"/>
      <c r="D313" s="95"/>
      <c r="E313" s="149"/>
      <c r="F313" s="149"/>
      <c r="G313" s="95"/>
      <c r="H313" s="149"/>
      <c r="I313" s="95"/>
      <c r="J313" s="95"/>
      <c r="K313" s="156"/>
      <c r="L313" s="156"/>
      <c r="M313" s="100"/>
      <c r="N313" s="127"/>
      <c r="O313" s="128"/>
      <c r="P313" s="95"/>
      <c r="Q313" s="137"/>
      <c r="R313" s="129"/>
      <c r="S313" s="95"/>
      <c r="T313" s="95"/>
      <c r="V313" s="107"/>
    </row>
    <row r="314" ht="15.75" customHeight="1">
      <c r="A314" s="89"/>
      <c r="B314" s="182"/>
      <c r="C314" s="149"/>
      <c r="D314" s="95"/>
      <c r="E314" s="149"/>
      <c r="F314" s="149"/>
      <c r="G314" s="95"/>
      <c r="H314" s="149"/>
      <c r="I314" s="95"/>
      <c r="J314" s="95"/>
      <c r="K314" s="154"/>
      <c r="L314" s="154"/>
      <c r="M314" s="100"/>
      <c r="N314" s="127"/>
      <c r="O314" s="128"/>
      <c r="P314" s="95"/>
      <c r="Q314" s="137"/>
      <c r="R314" s="129"/>
      <c r="S314" s="95"/>
      <c r="T314" s="95"/>
      <c r="V314" s="107"/>
    </row>
    <row r="315" ht="15.75" customHeight="1">
      <c r="A315" s="89"/>
      <c r="B315" s="182"/>
      <c r="C315" s="149"/>
      <c r="D315" s="95"/>
      <c r="E315" s="149"/>
      <c r="F315" s="149"/>
      <c r="G315" s="95"/>
      <c r="H315" s="149"/>
      <c r="I315" s="95"/>
      <c r="J315" s="95"/>
      <c r="K315" s="156"/>
      <c r="L315" s="156"/>
      <c r="M315" s="100"/>
      <c r="N315" s="127"/>
      <c r="O315" s="128"/>
      <c r="P315" s="95"/>
      <c r="Q315" s="137"/>
      <c r="R315" s="129"/>
      <c r="S315" s="95"/>
      <c r="T315" s="95"/>
      <c r="V315" s="107"/>
    </row>
    <row r="316" ht="15.75" customHeight="1">
      <c r="A316" s="89"/>
      <c r="B316" s="182"/>
      <c r="C316" s="149"/>
      <c r="D316" s="95"/>
      <c r="E316" s="149"/>
      <c r="F316" s="149"/>
      <c r="G316" s="95"/>
      <c r="H316" s="149"/>
      <c r="I316" s="95"/>
      <c r="J316" s="95"/>
      <c r="K316" s="154"/>
      <c r="L316" s="154"/>
      <c r="M316" s="100"/>
      <c r="N316" s="127"/>
      <c r="O316" s="128"/>
      <c r="P316" s="95"/>
      <c r="Q316" s="137"/>
      <c r="R316" s="129"/>
      <c r="S316" s="95"/>
      <c r="T316" s="95"/>
      <c r="V316" s="107"/>
    </row>
    <row r="317" ht="15.75" customHeight="1">
      <c r="A317" s="89"/>
      <c r="B317" s="182"/>
      <c r="C317" s="149"/>
      <c r="D317" s="95"/>
      <c r="E317" s="149"/>
      <c r="F317" s="149"/>
      <c r="G317" s="95"/>
      <c r="H317" s="149"/>
      <c r="I317" s="95"/>
      <c r="J317" s="95"/>
      <c r="K317" s="156"/>
      <c r="L317" s="156"/>
      <c r="M317" s="100"/>
      <c r="N317" s="127"/>
      <c r="O317" s="128"/>
      <c r="P317" s="95"/>
      <c r="Q317" s="137"/>
      <c r="R317" s="129"/>
      <c r="S317" s="95"/>
      <c r="T317" s="95"/>
      <c r="V317" s="107"/>
    </row>
    <row r="318" ht="15.75" customHeight="1">
      <c r="A318" s="89"/>
      <c r="B318" s="182"/>
      <c r="C318" s="149"/>
      <c r="D318" s="95"/>
      <c r="E318" s="149"/>
      <c r="F318" s="149"/>
      <c r="G318" s="95"/>
      <c r="H318" s="149"/>
      <c r="I318" s="95"/>
      <c r="J318" s="95"/>
      <c r="K318" s="154"/>
      <c r="L318" s="154"/>
      <c r="M318" s="100"/>
      <c r="N318" s="127"/>
      <c r="O318" s="128"/>
      <c r="P318" s="95"/>
      <c r="Q318" s="137"/>
      <c r="R318" s="129"/>
      <c r="S318" s="95"/>
      <c r="T318" s="95"/>
      <c r="V318" s="107"/>
    </row>
    <row r="319" ht="15.75" customHeight="1">
      <c r="A319" s="89"/>
      <c r="B319" s="182"/>
      <c r="C319" s="107"/>
      <c r="D319" s="95"/>
      <c r="E319" s="149"/>
      <c r="F319" s="149"/>
      <c r="G319" s="95"/>
      <c r="H319" s="149"/>
      <c r="I319" s="95"/>
      <c r="J319" s="95"/>
      <c r="K319" s="156"/>
      <c r="L319" s="156"/>
      <c r="M319" s="100"/>
      <c r="N319" s="127"/>
      <c r="O319" s="128"/>
      <c r="P319" s="95"/>
      <c r="Q319" s="137"/>
      <c r="R319" s="129"/>
      <c r="S319" s="95"/>
      <c r="T319" s="95"/>
      <c r="V319" s="107"/>
    </row>
    <row r="320" ht="15.75" customHeight="1">
      <c r="A320" s="89"/>
      <c r="B320" s="182"/>
      <c r="C320" s="149"/>
      <c r="D320" s="95"/>
      <c r="E320" s="149"/>
      <c r="F320" s="149"/>
      <c r="G320" s="95"/>
      <c r="H320" s="149"/>
      <c r="I320" s="95"/>
      <c r="J320" s="95"/>
      <c r="K320" s="154"/>
      <c r="L320" s="154"/>
      <c r="M320" s="100"/>
      <c r="N320" s="127"/>
      <c r="O320" s="128"/>
      <c r="P320" s="95"/>
      <c r="Q320" s="137"/>
      <c r="R320" s="129"/>
      <c r="S320" s="95"/>
      <c r="T320" s="95"/>
      <c r="V320" s="107"/>
    </row>
    <row r="321" ht="15.75" customHeight="1">
      <c r="A321" s="89"/>
      <c r="B321" s="182"/>
      <c r="C321" s="149"/>
      <c r="D321" s="95"/>
      <c r="E321" s="149"/>
      <c r="F321" s="149"/>
      <c r="G321" s="95"/>
      <c r="H321" s="149"/>
      <c r="I321" s="95"/>
      <c r="J321" s="95"/>
      <c r="K321" s="156"/>
      <c r="L321" s="156"/>
      <c r="M321" s="100"/>
      <c r="N321" s="127"/>
      <c r="O321" s="128"/>
      <c r="P321" s="95"/>
      <c r="Q321" s="137"/>
      <c r="R321" s="129"/>
      <c r="S321" s="95"/>
      <c r="T321" s="95"/>
      <c r="V321" s="107"/>
    </row>
    <row r="322" ht="15.75" customHeight="1">
      <c r="A322" s="89"/>
      <c r="B322" s="182"/>
      <c r="C322" s="149"/>
      <c r="D322" s="95"/>
      <c r="E322" s="149"/>
      <c r="F322" s="149"/>
      <c r="G322" s="95"/>
      <c r="H322" s="149"/>
      <c r="I322" s="95"/>
      <c r="J322" s="95"/>
      <c r="K322" s="154"/>
      <c r="L322" s="154"/>
      <c r="M322" s="100"/>
      <c r="N322" s="127"/>
      <c r="O322" s="128"/>
      <c r="P322" s="95"/>
      <c r="Q322" s="137"/>
      <c r="R322" s="129"/>
      <c r="S322" s="95"/>
      <c r="T322" s="95"/>
      <c r="V322" s="107"/>
    </row>
    <row r="323" ht="15.75" customHeight="1">
      <c r="A323" s="89"/>
      <c r="B323" s="182"/>
      <c r="C323" s="149"/>
      <c r="D323" s="95"/>
      <c r="E323" s="149"/>
      <c r="F323" s="149"/>
      <c r="G323" s="95"/>
      <c r="H323" s="149"/>
      <c r="I323" s="95"/>
      <c r="J323" s="95"/>
      <c r="K323" s="156"/>
      <c r="L323" s="156"/>
      <c r="M323" s="100"/>
      <c r="N323" s="127"/>
      <c r="O323" s="128"/>
      <c r="P323" s="95"/>
      <c r="Q323" s="137"/>
      <c r="R323" s="129"/>
      <c r="S323" s="95"/>
      <c r="T323" s="95"/>
      <c r="V323" s="107"/>
    </row>
    <row r="324" ht="15.75" customHeight="1">
      <c r="A324" s="89"/>
      <c r="B324" s="182"/>
      <c r="C324" s="149"/>
      <c r="D324" s="95"/>
      <c r="E324" s="149"/>
      <c r="F324" s="149"/>
      <c r="G324" s="95"/>
      <c r="H324" s="149"/>
      <c r="I324" s="95"/>
      <c r="J324" s="95"/>
      <c r="K324" s="154"/>
      <c r="L324" s="154"/>
      <c r="M324" s="100"/>
      <c r="N324" s="127"/>
      <c r="O324" s="128"/>
      <c r="P324" s="95"/>
      <c r="Q324" s="137"/>
      <c r="R324" s="129"/>
      <c r="S324" s="95"/>
      <c r="T324" s="95"/>
      <c r="V324" s="107"/>
    </row>
    <row r="325" ht="15.75" customHeight="1">
      <c r="A325" s="89"/>
      <c r="B325" s="182"/>
      <c r="C325" s="107"/>
      <c r="D325" s="95"/>
      <c r="E325" s="149"/>
      <c r="F325" s="149"/>
      <c r="G325" s="95"/>
      <c r="H325" s="149"/>
      <c r="I325" s="95"/>
      <c r="J325" s="95"/>
      <c r="K325" s="156"/>
      <c r="L325" s="156"/>
      <c r="M325" s="100"/>
      <c r="N325" s="127"/>
      <c r="O325" s="128"/>
      <c r="P325" s="95"/>
      <c r="Q325" s="137"/>
      <c r="R325" s="129"/>
      <c r="S325" s="95"/>
      <c r="T325" s="95"/>
      <c r="V325" s="107"/>
    </row>
    <row r="326" ht="15.75" customHeight="1">
      <c r="A326" s="89"/>
      <c r="B326" s="182"/>
      <c r="C326" s="149"/>
      <c r="D326" s="95"/>
      <c r="E326" s="149"/>
      <c r="F326" s="149"/>
      <c r="G326" s="95"/>
      <c r="H326" s="149"/>
      <c r="I326" s="95"/>
      <c r="J326" s="95"/>
      <c r="K326" s="154"/>
      <c r="L326" s="154"/>
      <c r="M326" s="100"/>
      <c r="N326" s="127"/>
      <c r="O326" s="128"/>
      <c r="P326" s="95"/>
      <c r="Q326" s="137"/>
      <c r="R326" s="129"/>
      <c r="S326" s="95"/>
      <c r="T326" s="95"/>
      <c r="V326" s="107"/>
    </row>
    <row r="327" ht="15.75" customHeight="1">
      <c r="A327" s="89"/>
      <c r="B327" s="182"/>
      <c r="C327" s="149"/>
      <c r="D327" s="95"/>
      <c r="E327" s="149"/>
      <c r="F327" s="149"/>
      <c r="G327" s="95"/>
      <c r="H327" s="149"/>
      <c r="I327" s="95"/>
      <c r="J327" s="95"/>
      <c r="K327" s="156"/>
      <c r="L327" s="156"/>
      <c r="M327" s="100"/>
      <c r="N327" s="127"/>
      <c r="O327" s="128"/>
      <c r="P327" s="95"/>
      <c r="Q327" s="137"/>
      <c r="R327" s="129"/>
      <c r="S327" s="95"/>
      <c r="T327" s="95"/>
      <c r="V327" s="107"/>
    </row>
    <row r="328" ht="15.75" customHeight="1">
      <c r="A328" s="89"/>
      <c r="B328" s="182"/>
      <c r="C328" s="149"/>
      <c r="D328" s="95"/>
      <c r="E328" s="149"/>
      <c r="F328" s="149"/>
      <c r="G328" s="95"/>
      <c r="H328" s="149"/>
      <c r="I328" s="95"/>
      <c r="J328" s="95"/>
      <c r="K328" s="158"/>
      <c r="L328" s="158"/>
      <c r="M328" s="100"/>
      <c r="N328" s="127"/>
      <c r="O328" s="128"/>
      <c r="P328" s="95"/>
      <c r="Q328" s="137"/>
      <c r="R328" s="129"/>
      <c r="S328" s="95"/>
      <c r="T328" s="95"/>
      <c r="V328" s="107"/>
    </row>
    <row r="329" ht="15.75" customHeight="1">
      <c r="A329" s="89"/>
      <c r="B329" s="182"/>
      <c r="C329" s="149"/>
      <c r="D329" s="95"/>
      <c r="E329" s="149"/>
      <c r="F329" s="149"/>
      <c r="G329" s="95"/>
      <c r="H329" s="149"/>
      <c r="I329" s="95"/>
      <c r="J329" s="95"/>
      <c r="K329" s="158"/>
      <c r="L329" s="158"/>
      <c r="M329" s="100"/>
      <c r="N329" s="127"/>
      <c r="O329" s="128"/>
      <c r="P329" s="95"/>
      <c r="Q329" s="137"/>
      <c r="R329" s="129"/>
      <c r="S329" s="95"/>
      <c r="T329" s="95"/>
      <c r="V329" s="107"/>
    </row>
    <row r="330" ht="15.75" customHeight="1">
      <c r="A330" s="89"/>
      <c r="B330" s="182"/>
      <c r="C330" s="149"/>
      <c r="D330" s="95"/>
      <c r="E330" s="149"/>
      <c r="F330" s="149"/>
      <c r="G330" s="95"/>
      <c r="H330" s="149"/>
      <c r="I330" s="95"/>
      <c r="J330" s="95"/>
      <c r="K330" s="158"/>
      <c r="L330" s="158"/>
      <c r="M330" s="100"/>
      <c r="N330" s="127"/>
      <c r="O330" s="128"/>
      <c r="P330" s="95"/>
      <c r="Q330" s="137"/>
      <c r="R330" s="129"/>
      <c r="S330" s="95"/>
      <c r="T330" s="95"/>
      <c r="V330" s="107"/>
    </row>
    <row r="331" ht="15.75" customHeight="1">
      <c r="A331" s="89"/>
      <c r="B331" s="182"/>
      <c r="C331" s="107"/>
      <c r="D331" s="95"/>
      <c r="E331" s="149"/>
      <c r="F331" s="149"/>
      <c r="G331" s="95"/>
      <c r="H331" s="149"/>
      <c r="I331" s="95"/>
      <c r="J331" s="95"/>
      <c r="K331" s="158"/>
      <c r="L331" s="158"/>
      <c r="M331" s="100"/>
      <c r="N331" s="127"/>
      <c r="O331" s="128"/>
      <c r="P331" s="95"/>
      <c r="Q331" s="137"/>
      <c r="R331" s="129"/>
      <c r="S331" s="95"/>
      <c r="T331" s="95"/>
      <c r="V331" s="107"/>
    </row>
    <row r="332" ht="15.75" customHeight="1">
      <c r="A332" s="89"/>
      <c r="B332" s="182"/>
      <c r="C332" s="149"/>
      <c r="D332" s="95"/>
      <c r="E332" s="149"/>
      <c r="F332" s="149"/>
      <c r="G332" s="95"/>
      <c r="H332" s="149"/>
      <c r="I332" s="95"/>
      <c r="J332" s="95"/>
      <c r="K332" s="158"/>
      <c r="L332" s="158"/>
      <c r="M332" s="100"/>
      <c r="N332" s="127"/>
      <c r="O332" s="128"/>
      <c r="P332" s="95"/>
      <c r="Q332" s="137"/>
      <c r="R332" s="129"/>
      <c r="S332" s="95"/>
      <c r="T332" s="95"/>
      <c r="V332" s="107"/>
    </row>
    <row r="333" ht="15.75" customHeight="1">
      <c r="A333" s="89"/>
      <c r="B333" s="182"/>
      <c r="C333" s="149"/>
      <c r="D333" s="95"/>
      <c r="E333" s="149"/>
      <c r="F333" s="149"/>
      <c r="G333" s="95"/>
      <c r="H333" s="149"/>
      <c r="I333" s="95"/>
      <c r="J333" s="95"/>
      <c r="K333" s="158"/>
      <c r="L333" s="158"/>
      <c r="M333" s="100"/>
      <c r="N333" s="127"/>
      <c r="O333" s="128"/>
      <c r="P333" s="95"/>
      <c r="Q333" s="137"/>
      <c r="R333" s="129"/>
      <c r="S333" s="95"/>
      <c r="T333" s="95"/>
      <c r="V333" s="107"/>
    </row>
    <row r="334" ht="15.75" customHeight="1">
      <c r="A334" s="89"/>
      <c r="B334" s="182"/>
      <c r="C334" s="149"/>
      <c r="D334" s="95"/>
      <c r="E334" s="149"/>
      <c r="F334" s="149"/>
      <c r="G334" s="95"/>
      <c r="H334" s="149"/>
      <c r="I334" s="95"/>
      <c r="J334" s="95"/>
      <c r="K334" s="158"/>
      <c r="L334" s="158"/>
      <c r="M334" s="100"/>
      <c r="N334" s="127"/>
      <c r="O334" s="128"/>
      <c r="P334" s="95"/>
      <c r="Q334" s="137"/>
      <c r="R334" s="129"/>
      <c r="S334" s="95"/>
      <c r="T334" s="95"/>
      <c r="V334" s="107"/>
    </row>
    <row r="335" ht="15.75" customHeight="1">
      <c r="A335" s="89"/>
      <c r="B335" s="182"/>
      <c r="C335" s="149"/>
      <c r="D335" s="95"/>
      <c r="E335" s="149"/>
      <c r="F335" s="149"/>
      <c r="G335" s="95"/>
      <c r="H335" s="149"/>
      <c r="I335" s="95"/>
      <c r="J335" s="95"/>
      <c r="K335" s="158"/>
      <c r="L335" s="158"/>
      <c r="M335" s="100"/>
      <c r="N335" s="127"/>
      <c r="O335" s="128"/>
      <c r="P335" s="95"/>
      <c r="Q335" s="137"/>
      <c r="R335" s="129"/>
      <c r="S335" s="95"/>
      <c r="T335" s="95"/>
      <c r="V335" s="107"/>
    </row>
    <row r="336" ht="15.75" customHeight="1">
      <c r="A336" s="89"/>
      <c r="B336" s="182"/>
      <c r="C336" s="149"/>
      <c r="D336" s="95"/>
      <c r="E336" s="149"/>
      <c r="F336" s="149"/>
      <c r="G336" s="95"/>
      <c r="H336" s="149"/>
      <c r="I336" s="95"/>
      <c r="J336" s="95"/>
      <c r="K336" s="158"/>
      <c r="L336" s="158"/>
      <c r="M336" s="100"/>
      <c r="N336" s="127"/>
      <c r="O336" s="128"/>
      <c r="P336" s="95"/>
      <c r="Q336" s="137"/>
      <c r="R336" s="129"/>
      <c r="S336" s="95"/>
      <c r="T336" s="95"/>
      <c r="V336" s="107"/>
    </row>
    <row r="337" ht="15.75" customHeight="1">
      <c r="A337" s="89"/>
      <c r="B337" s="182"/>
      <c r="C337" s="107"/>
      <c r="D337" s="95"/>
      <c r="E337" s="149"/>
      <c r="F337" s="149"/>
      <c r="G337" s="95"/>
      <c r="H337" s="149"/>
      <c r="I337" s="95"/>
      <c r="J337" s="95"/>
      <c r="K337" s="158"/>
      <c r="L337" s="158"/>
      <c r="M337" s="100"/>
      <c r="N337" s="127"/>
      <c r="O337" s="128"/>
      <c r="P337" s="95"/>
      <c r="Q337" s="137"/>
      <c r="R337" s="129"/>
      <c r="S337" s="95"/>
      <c r="T337" s="95"/>
      <c r="V337" s="107"/>
    </row>
    <row r="338" ht="15.75" customHeight="1">
      <c r="A338" s="89"/>
      <c r="B338" s="182"/>
      <c r="C338" s="149"/>
      <c r="D338" s="95"/>
      <c r="E338" s="149"/>
      <c r="F338" s="149"/>
      <c r="G338" s="95"/>
      <c r="H338" s="149"/>
      <c r="I338" s="95"/>
      <c r="J338" s="95"/>
      <c r="K338" s="158"/>
      <c r="L338" s="158"/>
      <c r="M338" s="100"/>
      <c r="N338" s="127"/>
      <c r="O338" s="128"/>
      <c r="P338" s="95"/>
      <c r="Q338" s="137"/>
      <c r="R338" s="129"/>
      <c r="S338" s="95"/>
      <c r="T338" s="95"/>
      <c r="V338" s="107"/>
    </row>
    <row r="339" ht="15.75" customHeight="1">
      <c r="A339" s="89"/>
      <c r="B339" s="182"/>
      <c r="C339" s="149"/>
      <c r="D339" s="95"/>
      <c r="E339" s="149"/>
      <c r="F339" s="149"/>
      <c r="G339" s="95"/>
      <c r="H339" s="149"/>
      <c r="I339" s="95"/>
      <c r="J339" s="95"/>
      <c r="K339" s="158"/>
      <c r="L339" s="158"/>
      <c r="M339" s="100"/>
      <c r="N339" s="127"/>
      <c r="O339" s="128"/>
      <c r="P339" s="95"/>
      <c r="Q339" s="137"/>
      <c r="R339" s="129"/>
      <c r="S339" s="95"/>
      <c r="T339" s="95"/>
      <c r="V339" s="107"/>
    </row>
    <row r="340" ht="15.75" customHeight="1">
      <c r="A340" s="89"/>
      <c r="B340" s="182"/>
      <c r="C340" s="149"/>
      <c r="D340" s="95"/>
      <c r="E340" s="149"/>
      <c r="F340" s="149"/>
      <c r="G340" s="95"/>
      <c r="H340" s="149"/>
      <c r="I340" s="95"/>
      <c r="J340" s="95"/>
      <c r="K340" s="158"/>
      <c r="L340" s="158"/>
      <c r="M340" s="100"/>
      <c r="N340" s="127"/>
      <c r="O340" s="128"/>
      <c r="P340" s="95"/>
      <c r="Q340" s="137"/>
      <c r="R340" s="129"/>
      <c r="S340" s="95"/>
      <c r="T340" s="95"/>
      <c r="V340" s="107"/>
    </row>
    <row r="341" ht="15.75" customHeight="1">
      <c r="A341" s="89"/>
      <c r="B341" s="182"/>
      <c r="C341" s="149"/>
      <c r="D341" s="95"/>
      <c r="E341" s="149"/>
      <c r="F341" s="149"/>
      <c r="G341" s="95"/>
      <c r="H341" s="149"/>
      <c r="I341" s="95"/>
      <c r="J341" s="95"/>
      <c r="K341" s="158"/>
      <c r="L341" s="158"/>
      <c r="M341" s="100"/>
      <c r="N341" s="127"/>
      <c r="O341" s="128"/>
      <c r="P341" s="95"/>
      <c r="Q341" s="137"/>
      <c r="R341" s="129"/>
      <c r="S341" s="95"/>
      <c r="T341" s="95"/>
      <c r="V341" s="107"/>
    </row>
    <row r="342" ht="15.75" customHeight="1">
      <c r="A342" s="89"/>
      <c r="B342" s="182"/>
      <c r="C342" s="149"/>
      <c r="D342" s="95"/>
      <c r="E342" s="149"/>
      <c r="F342" s="149"/>
      <c r="G342" s="95"/>
      <c r="H342" s="149"/>
      <c r="I342" s="95"/>
      <c r="J342" s="95"/>
      <c r="K342" s="158"/>
      <c r="L342" s="158"/>
      <c r="M342" s="100"/>
      <c r="N342" s="127"/>
      <c r="O342" s="128"/>
      <c r="P342" s="95"/>
      <c r="Q342" s="137"/>
      <c r="R342" s="129"/>
      <c r="S342" s="95"/>
      <c r="T342" s="95"/>
      <c r="V342" s="107"/>
    </row>
    <row r="343" ht="15.75" customHeight="1">
      <c r="A343" s="89"/>
      <c r="B343" s="182"/>
      <c r="C343" s="107"/>
      <c r="D343" s="95"/>
      <c r="E343" s="149"/>
      <c r="F343" s="149"/>
      <c r="G343" s="95"/>
      <c r="H343" s="149"/>
      <c r="I343" s="95"/>
      <c r="J343" s="95"/>
      <c r="K343" s="158"/>
      <c r="L343" s="158"/>
      <c r="M343" s="100"/>
      <c r="N343" s="127"/>
      <c r="O343" s="128"/>
      <c r="P343" s="95"/>
      <c r="Q343" s="137"/>
      <c r="R343" s="129"/>
      <c r="S343" s="95"/>
      <c r="T343" s="95"/>
      <c r="V343" s="107"/>
    </row>
    <row r="344" ht="15.75" customHeight="1">
      <c r="A344" s="89"/>
      <c r="B344" s="182"/>
      <c r="C344" s="149"/>
      <c r="D344" s="95"/>
      <c r="E344" s="149"/>
      <c r="F344" s="149"/>
      <c r="G344" s="95"/>
      <c r="H344" s="149"/>
      <c r="I344" s="95"/>
      <c r="J344" s="95"/>
      <c r="K344" s="158"/>
      <c r="L344" s="158"/>
      <c r="M344" s="100"/>
      <c r="N344" s="127"/>
      <c r="O344" s="128"/>
      <c r="P344" s="95"/>
      <c r="Q344" s="137"/>
      <c r="R344" s="129"/>
      <c r="S344" s="95"/>
      <c r="T344" s="95"/>
      <c r="V344" s="107"/>
    </row>
    <row r="345" ht="15.75" customHeight="1">
      <c r="A345" s="89"/>
      <c r="B345" s="182"/>
      <c r="C345" s="149"/>
      <c r="D345" s="95"/>
      <c r="E345" s="149"/>
      <c r="F345" s="149"/>
      <c r="G345" s="95"/>
      <c r="H345" s="149"/>
      <c r="I345" s="95"/>
      <c r="J345" s="95"/>
      <c r="K345" s="158"/>
      <c r="L345" s="158"/>
      <c r="M345" s="100"/>
      <c r="N345" s="127"/>
      <c r="O345" s="128"/>
      <c r="P345" s="95"/>
      <c r="Q345" s="137"/>
      <c r="R345" s="129"/>
      <c r="S345" s="95"/>
      <c r="T345" s="95"/>
      <c r="V345" s="107"/>
    </row>
    <row r="346" ht="15.75" customHeight="1">
      <c r="A346" s="89"/>
      <c r="B346" s="182"/>
      <c r="C346" s="149"/>
      <c r="D346" s="95"/>
      <c r="E346" s="149"/>
      <c r="F346" s="149"/>
      <c r="G346" s="95"/>
      <c r="H346" s="149"/>
      <c r="I346" s="95"/>
      <c r="J346" s="95"/>
      <c r="K346" s="158"/>
      <c r="L346" s="158"/>
      <c r="M346" s="100"/>
      <c r="N346" s="127"/>
      <c r="O346" s="128"/>
      <c r="P346" s="95"/>
      <c r="Q346" s="137"/>
      <c r="R346" s="129"/>
      <c r="S346" s="95"/>
      <c r="T346" s="95"/>
      <c r="V346" s="107"/>
    </row>
    <row r="347" ht="15.75" customHeight="1">
      <c r="A347" s="89"/>
      <c r="B347" s="182"/>
      <c r="C347" s="149"/>
      <c r="D347" s="95"/>
      <c r="E347" s="149"/>
      <c r="F347" s="149"/>
      <c r="G347" s="95"/>
      <c r="H347" s="149"/>
      <c r="I347" s="95"/>
      <c r="J347" s="95"/>
      <c r="K347" s="158"/>
      <c r="L347" s="158"/>
      <c r="M347" s="100"/>
      <c r="N347" s="127"/>
      <c r="O347" s="128"/>
      <c r="P347" s="95"/>
      <c r="Q347" s="137"/>
      <c r="R347" s="129"/>
      <c r="S347" s="95"/>
      <c r="T347" s="95"/>
      <c r="V347" s="107"/>
    </row>
    <row r="348" ht="15.75" customHeight="1">
      <c r="A348" s="89"/>
      <c r="B348" s="182"/>
      <c r="C348" s="149"/>
      <c r="D348" s="95"/>
      <c r="E348" s="149"/>
      <c r="F348" s="149"/>
      <c r="G348" s="95"/>
      <c r="H348" s="149"/>
      <c r="I348" s="95"/>
      <c r="J348" s="95"/>
      <c r="K348" s="158"/>
      <c r="L348" s="158"/>
      <c r="M348" s="100"/>
      <c r="N348" s="127"/>
      <c r="O348" s="128"/>
      <c r="P348" s="95"/>
      <c r="Q348" s="137"/>
      <c r="R348" s="129"/>
      <c r="S348" s="95"/>
      <c r="T348" s="95"/>
      <c r="V348" s="107"/>
    </row>
    <row r="349" ht="15.75" customHeight="1">
      <c r="A349" s="89"/>
      <c r="B349" s="182"/>
      <c r="C349" s="107"/>
      <c r="D349" s="95"/>
      <c r="E349" s="149"/>
      <c r="F349" s="149"/>
      <c r="G349" s="95"/>
      <c r="H349" s="149"/>
      <c r="I349" s="95"/>
      <c r="J349" s="95"/>
      <c r="K349" s="158"/>
      <c r="L349" s="158"/>
      <c r="M349" s="100"/>
      <c r="N349" s="127"/>
      <c r="O349" s="128"/>
      <c r="P349" s="95"/>
      <c r="Q349" s="137"/>
      <c r="R349" s="129"/>
      <c r="S349" s="95"/>
      <c r="T349" s="95"/>
      <c r="V349" s="107"/>
    </row>
    <row r="350" ht="15.75" customHeight="1">
      <c r="A350" s="89"/>
      <c r="B350" s="182"/>
      <c r="C350" s="149"/>
      <c r="D350" s="95"/>
      <c r="E350" s="149"/>
      <c r="F350" s="149"/>
      <c r="G350" s="95"/>
      <c r="H350" s="149"/>
      <c r="I350" s="95"/>
      <c r="J350" s="95"/>
      <c r="K350" s="158"/>
      <c r="L350" s="158"/>
      <c r="M350" s="100"/>
      <c r="N350" s="127"/>
      <c r="O350" s="128"/>
      <c r="P350" s="95"/>
      <c r="Q350" s="137"/>
      <c r="R350" s="129"/>
      <c r="S350" s="95"/>
      <c r="T350" s="95"/>
      <c r="V350" s="107"/>
    </row>
    <row r="351" ht="15.75" customHeight="1">
      <c r="A351" s="89"/>
      <c r="B351" s="182"/>
      <c r="C351" s="149"/>
      <c r="D351" s="95"/>
      <c r="E351" s="149"/>
      <c r="F351" s="149"/>
      <c r="G351" s="95"/>
      <c r="H351" s="149"/>
      <c r="I351" s="95"/>
      <c r="J351" s="95"/>
      <c r="K351" s="158"/>
      <c r="L351" s="158"/>
      <c r="M351" s="100"/>
      <c r="N351" s="127"/>
      <c r="O351" s="128"/>
      <c r="P351" s="95"/>
      <c r="Q351" s="137"/>
      <c r="R351" s="129"/>
      <c r="S351" s="95"/>
      <c r="T351" s="95"/>
      <c r="V351" s="107"/>
    </row>
    <row r="352" ht="15.75" customHeight="1">
      <c r="A352" s="89"/>
      <c r="B352" s="182"/>
      <c r="C352" s="149"/>
      <c r="D352" s="95"/>
      <c r="E352" s="149"/>
      <c r="F352" s="149"/>
      <c r="G352" s="95"/>
      <c r="H352" s="149"/>
      <c r="I352" s="95"/>
      <c r="J352" s="95"/>
      <c r="K352" s="158"/>
      <c r="L352" s="158"/>
      <c r="M352" s="100"/>
      <c r="N352" s="127"/>
      <c r="O352" s="128"/>
      <c r="P352" s="95"/>
      <c r="Q352" s="137"/>
      <c r="R352" s="129"/>
      <c r="S352" s="95"/>
      <c r="T352" s="95"/>
      <c r="V352" s="107"/>
    </row>
    <row r="353" ht="15.75" customHeight="1">
      <c r="A353" s="89"/>
      <c r="B353" s="182"/>
      <c r="C353" s="149"/>
      <c r="D353" s="95"/>
      <c r="E353" s="149"/>
      <c r="F353" s="149"/>
      <c r="G353" s="95"/>
      <c r="H353" s="149"/>
      <c r="I353" s="95"/>
      <c r="J353" s="95"/>
      <c r="K353" s="158"/>
      <c r="L353" s="158"/>
      <c r="M353" s="100"/>
      <c r="N353" s="127"/>
      <c r="O353" s="128"/>
      <c r="P353" s="95"/>
      <c r="Q353" s="137"/>
      <c r="R353" s="129"/>
      <c r="S353" s="95"/>
      <c r="T353" s="95"/>
      <c r="V353" s="107"/>
    </row>
    <row r="354" ht="15.75" customHeight="1">
      <c r="A354" s="89"/>
      <c r="B354" s="182"/>
      <c r="C354" s="149"/>
      <c r="D354" s="95"/>
      <c r="E354" s="149"/>
      <c r="F354" s="149"/>
      <c r="G354" s="95"/>
      <c r="H354" s="149"/>
      <c r="I354" s="95"/>
      <c r="J354" s="95"/>
      <c r="K354" s="158"/>
      <c r="L354" s="158"/>
      <c r="M354" s="100"/>
      <c r="N354" s="127"/>
      <c r="O354" s="128"/>
      <c r="P354" s="95"/>
      <c r="Q354" s="137"/>
      <c r="R354" s="129"/>
      <c r="S354" s="95"/>
      <c r="T354" s="95"/>
      <c r="V354" s="107"/>
    </row>
    <row r="355" ht="15.75" customHeight="1">
      <c r="A355" s="89"/>
      <c r="B355" s="182"/>
      <c r="C355" s="107"/>
      <c r="D355" s="95"/>
      <c r="E355" s="149"/>
      <c r="F355" s="149"/>
      <c r="G355" s="95"/>
      <c r="H355" s="149"/>
      <c r="I355" s="95"/>
      <c r="J355" s="95"/>
      <c r="K355" s="158"/>
      <c r="L355" s="158"/>
      <c r="M355" s="100"/>
      <c r="N355" s="127"/>
      <c r="O355" s="128"/>
      <c r="P355" s="95"/>
      <c r="Q355" s="137"/>
      <c r="R355" s="129"/>
      <c r="S355" s="95"/>
      <c r="T355" s="95"/>
      <c r="V355" s="107"/>
    </row>
    <row r="356" ht="15.75" customHeight="1">
      <c r="A356" s="89"/>
      <c r="B356" s="182"/>
      <c r="C356" s="149"/>
      <c r="D356" s="95"/>
      <c r="E356" s="149"/>
      <c r="F356" s="149"/>
      <c r="G356" s="95"/>
      <c r="H356" s="149"/>
      <c r="I356" s="95"/>
      <c r="J356" s="95"/>
      <c r="K356" s="158"/>
      <c r="L356" s="158"/>
      <c r="M356" s="100"/>
      <c r="N356" s="127"/>
      <c r="O356" s="128"/>
      <c r="P356" s="95"/>
      <c r="Q356" s="137"/>
      <c r="R356" s="129"/>
      <c r="S356" s="95"/>
      <c r="T356" s="95"/>
      <c r="V356" s="107"/>
    </row>
    <row r="357" ht="15.75" customHeight="1">
      <c r="A357" s="89"/>
      <c r="B357" s="182"/>
      <c r="C357" s="149"/>
      <c r="D357" s="95"/>
      <c r="E357" s="149"/>
      <c r="F357" s="149"/>
      <c r="G357" s="95"/>
      <c r="H357" s="149"/>
      <c r="I357" s="95"/>
      <c r="J357" s="95"/>
      <c r="K357" s="158"/>
      <c r="L357" s="158"/>
      <c r="M357" s="100"/>
      <c r="N357" s="127"/>
      <c r="O357" s="128"/>
      <c r="P357" s="95"/>
      <c r="Q357" s="137"/>
      <c r="R357" s="129"/>
      <c r="S357" s="95"/>
      <c r="T357" s="95"/>
      <c r="V357" s="107"/>
    </row>
    <row r="358" ht="15.75" customHeight="1">
      <c r="A358" s="89"/>
      <c r="B358" s="182"/>
      <c r="C358" s="149"/>
      <c r="D358" s="95"/>
      <c r="E358" s="149"/>
      <c r="F358" s="149"/>
      <c r="G358" s="95"/>
      <c r="H358" s="149"/>
      <c r="I358" s="95"/>
      <c r="J358" s="95"/>
      <c r="K358" s="158"/>
      <c r="L358" s="158"/>
      <c r="M358" s="100"/>
      <c r="N358" s="127"/>
      <c r="O358" s="128"/>
      <c r="P358" s="95"/>
      <c r="Q358" s="137"/>
      <c r="R358" s="129"/>
      <c r="S358" s="95"/>
      <c r="T358" s="95"/>
      <c r="V358" s="107"/>
    </row>
    <row r="359" ht="15.75" customHeight="1">
      <c r="A359" s="89"/>
      <c r="B359" s="182"/>
      <c r="C359" s="149"/>
      <c r="D359" s="95"/>
      <c r="E359" s="149"/>
      <c r="F359" s="149"/>
      <c r="G359" s="95"/>
      <c r="H359" s="149"/>
      <c r="I359" s="95"/>
      <c r="J359" s="95"/>
      <c r="K359" s="158"/>
      <c r="L359" s="158"/>
      <c r="M359" s="100"/>
      <c r="N359" s="127"/>
      <c r="O359" s="128"/>
      <c r="P359" s="95"/>
      <c r="Q359" s="137"/>
      <c r="R359" s="129"/>
      <c r="S359" s="95"/>
      <c r="T359" s="95"/>
      <c r="V359" s="107"/>
    </row>
    <row r="360" ht="15.75" customHeight="1">
      <c r="A360" s="89"/>
      <c r="B360" s="182"/>
      <c r="C360" s="149"/>
      <c r="D360" s="95"/>
      <c r="E360" s="149"/>
      <c r="F360" s="149"/>
      <c r="G360" s="95"/>
      <c r="H360" s="149"/>
      <c r="I360" s="95"/>
      <c r="J360" s="95"/>
      <c r="K360" s="158"/>
      <c r="L360" s="158"/>
      <c r="M360" s="100"/>
      <c r="N360" s="127"/>
      <c r="O360" s="128"/>
      <c r="P360" s="95"/>
      <c r="Q360" s="137"/>
      <c r="R360" s="129"/>
      <c r="S360" s="95"/>
      <c r="T360" s="95"/>
      <c r="V360" s="107"/>
    </row>
  </sheetData>
  <autoFilter ref="$A$12:$V$109"/>
  <customSheetViews>
    <customSheetView guid="{3D5205AB-724F-426F-9D73-83BFCBF63977}" filter="1" showAutoFilter="1">
      <autoFilter ref="$R$18:$R$21"/>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29 N33:N360">
      <formula1>"Think About It,Money,Partner,Time,Fear,Value"</formula1>
    </dataValidation>
    <dataValidation type="list" allowBlank="1" showErrorMessage="1" sqref="J16">
      <formula1>"Option 1,Option 2"</formula1>
    </dataValidation>
    <dataValidation type="list" allowBlank="1" showErrorMessage="1" sqref="S13:S29 S3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29 H33:H360">
      <formula1>"IG,Setter,Facebook Ads,Landing page"</formula1>
    </dataValidation>
    <dataValidation type="list" allowBlank="1" showErrorMessage="1" sqref="I13:J15 I16 I17:J21 I22 I23:J29 I33:J35 I36 I37:J102 I103:I109 I110:J360">
      <formula1>"Full-Pay,split-pay,Deposit,Offer &amp; Didn't Buy,Bad Fit &amp; No Offer,Rescheduled,Cancelled,No-Show"</formula1>
    </dataValidation>
  </dataValidations>
  <drawing r:id="rId2"/>
  <legacyDrawing r:id="rId3"/>
</worksheet>
</file>