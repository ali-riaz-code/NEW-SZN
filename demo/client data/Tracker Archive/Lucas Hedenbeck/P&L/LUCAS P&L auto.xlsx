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 2025" sheetId="1" r:id="rId5"/>
    <sheet state="visible" name="PnL 2026" sheetId="2" r:id="rId6"/>
    <sheet state="visible" name="Datalist" sheetId="3" r:id="rId7"/>
  </sheets>
  <definedNames/>
  <calcPr/>
</workbook>
</file>

<file path=xl/sharedStrings.xml><?xml version="1.0" encoding="utf-8"?>
<sst xmlns="http://schemas.openxmlformats.org/spreadsheetml/2006/main" count="719" uniqueCount="268">
  <si>
    <t>Category</t>
  </si>
  <si>
    <t>Total</t>
  </si>
  <si>
    <t>Income</t>
  </si>
  <si>
    <t>Total revenue</t>
  </si>
  <si>
    <t>Cash collected (New costumers</t>
  </si>
  <si>
    <t>Total cash collected</t>
  </si>
  <si>
    <t>Expenses</t>
  </si>
  <si>
    <t>Ads Total</t>
  </si>
  <si>
    <t>Meta</t>
  </si>
  <si>
    <t>TikTok</t>
  </si>
  <si>
    <t>Youtube</t>
  </si>
  <si>
    <t>Google</t>
  </si>
  <si>
    <t>Closers/Setters Total</t>
  </si>
  <si>
    <t xml:space="preserve">Anton </t>
  </si>
  <si>
    <t>Håvard</t>
  </si>
  <si>
    <t>Stripe</t>
  </si>
  <si>
    <t>Softwares</t>
  </si>
  <si>
    <t>Content expenses</t>
  </si>
  <si>
    <t>Total costs</t>
  </si>
  <si>
    <t xml:space="preserve"> </t>
  </si>
  <si>
    <t>Total profit (After VAT)</t>
  </si>
  <si>
    <t>Total profit (After Expenses)</t>
  </si>
  <si>
    <t>NYSAESON cut</t>
  </si>
  <si>
    <t>Lucas cut</t>
  </si>
  <si>
    <t>Name</t>
  </si>
  <si>
    <t>E-mail</t>
  </si>
  <si>
    <t>Date</t>
  </si>
  <si>
    <t>CASH COLLECTED</t>
  </si>
  <si>
    <t>Oskar</t>
  </si>
  <si>
    <t>Halvard</t>
  </si>
  <si>
    <t>Nicolas</t>
  </si>
  <si>
    <t>Matteo</t>
  </si>
  <si>
    <t>Alexander Hoffmann</t>
  </si>
  <si>
    <t>hello@retro23.de</t>
  </si>
  <si>
    <t>Joana Coelho</t>
  </si>
  <si>
    <t>joanafilipa_coelho@hotmail.com</t>
  </si>
  <si>
    <t>Rúben Deus</t>
  </si>
  <si>
    <t>rubenmjd@gmail.com</t>
  </si>
  <si>
    <t>Donovan Stuhlmuller</t>
  </si>
  <si>
    <t>dstuhlmuller@gmail.com</t>
  </si>
  <si>
    <t>Simon Skiöld</t>
  </si>
  <si>
    <t>simons@lsn.se</t>
  </si>
  <si>
    <t>Ali Amer</t>
  </si>
  <si>
    <t>ali.amer0324@gmail.com</t>
  </si>
  <si>
    <t>Radovan Sliz</t>
  </si>
  <si>
    <t>sliz.radovan@gmail.com</t>
  </si>
  <si>
    <t>Donata Leonova</t>
  </si>
  <si>
    <t>Donata.Leonova@citadel.com</t>
  </si>
  <si>
    <t>Nikolaj Gyldenvang</t>
  </si>
  <si>
    <t>nikolaj_gyldenvang@hotmail.com</t>
  </si>
  <si>
    <t>Tom Roder</t>
  </si>
  <si>
    <t>tomroder25@gmail.com</t>
  </si>
  <si>
    <t>Daniel Erik Destefani</t>
  </si>
  <si>
    <t>danne88@gmail.com</t>
  </si>
  <si>
    <t>Oren Zecharia</t>
  </si>
  <si>
    <t>orenzecharya@gmail.com</t>
  </si>
  <si>
    <t>Per Torstein Haugen</t>
  </si>
  <si>
    <t>per.torstein94@gmail.com</t>
  </si>
  <si>
    <t>Raul alejandro jesus Silva Contreras</t>
  </si>
  <si>
    <t>raulmorozo@gmail.com</t>
  </si>
  <si>
    <t>Andrea Napolitano</t>
  </si>
  <si>
    <t>andrynapo95@gmail.com</t>
  </si>
  <si>
    <t>Aron Ingi Ingvason</t>
  </si>
  <si>
    <t>aroningva@gmail.com</t>
  </si>
  <si>
    <t>Ludvig Bergkvist</t>
  </si>
  <si>
    <t>ludvig.bergkvist63@gmail.com</t>
  </si>
  <si>
    <t>Alexander Berggren</t>
  </si>
  <si>
    <t>96alexberggren@gmail.com</t>
  </si>
  <si>
    <t>Joschua Stolz</t>
  </si>
  <si>
    <t>joschua110@icloud.com</t>
  </si>
  <si>
    <t>Hugo Hardwick</t>
  </si>
  <si>
    <t>hugofoxhardwick@gmail.com</t>
  </si>
  <si>
    <t>Sebaztian Blomqvist Gustafsson</t>
  </si>
  <si>
    <t>sebben44@gmail.com</t>
  </si>
  <si>
    <t>Edvard Hellquist</t>
  </si>
  <si>
    <t>Hellquist.Edvard@gmail.com</t>
  </si>
  <si>
    <t>Robin Rokkones Waage</t>
  </si>
  <si>
    <t>rokkonesrobin@gmail.com</t>
  </si>
  <si>
    <t>Mark Overeem</t>
  </si>
  <si>
    <t>contact@elevantum.nl</t>
  </si>
  <si>
    <t>Ignacio Canales</t>
  </si>
  <si>
    <t>icanalesrocca@gmail.com</t>
  </si>
  <si>
    <t>Oreste (Sondrio company name) Arbouw</t>
  </si>
  <si>
    <t>orestearbouw@gmail.com</t>
  </si>
  <si>
    <t>Sam Ceulemans</t>
  </si>
  <si>
    <t>sam.ceulemans@multimedi.be</t>
  </si>
  <si>
    <t>Joseph O Blasetti</t>
  </si>
  <si>
    <t>joe.blasetti97@gmail.com</t>
  </si>
  <si>
    <t>Adam Vesterberg</t>
  </si>
  <si>
    <t>vesterbergadam@gmail.com</t>
  </si>
  <si>
    <t>Francisco josé ebel könig</t>
  </si>
  <si>
    <t>franciscoebel@gmail.com</t>
  </si>
  <si>
    <t>Jaren Groves</t>
  </si>
  <si>
    <t>jarengroves23@icloud.com</t>
  </si>
  <si>
    <t>Filip Hansen</t>
  </si>
  <si>
    <t>filip@allocate.se</t>
  </si>
  <si>
    <t>David Haselkorn</t>
  </si>
  <si>
    <t>dhaselkorn1@gmail.com</t>
  </si>
  <si>
    <t>Jackson C Brandt</t>
  </si>
  <si>
    <t>jacksonbrandt235@gmail.com</t>
  </si>
  <si>
    <t>Alp Eren Duvan</t>
  </si>
  <si>
    <t>alpduvan40@gmail.com</t>
  </si>
  <si>
    <t>Tonda Řihák</t>
  </si>
  <si>
    <t>tondarihak@seznam.cz</t>
  </si>
  <si>
    <t>Maxwell Helfert</t>
  </si>
  <si>
    <t>helfert@usc.edu</t>
  </si>
  <si>
    <t>Joel Navarro Romero</t>
  </si>
  <si>
    <t>jnavromm@gmail.com</t>
  </si>
  <si>
    <t>Bentohey Francisco Ramos</t>
  </si>
  <si>
    <t>bentorey77@gmail.com</t>
  </si>
  <si>
    <t>Leo Samuelsson</t>
  </si>
  <si>
    <t>leosamuelsson2005@gmail.com</t>
  </si>
  <si>
    <t>Arie Kok</t>
  </si>
  <si>
    <t>arco-kok@hotmail.com</t>
  </si>
  <si>
    <t>Victor Fallesen</t>
  </si>
  <si>
    <t>victor@asbohvb.se</t>
  </si>
  <si>
    <t>Sandip</t>
  </si>
  <si>
    <t>usd</t>
  </si>
  <si>
    <t>Nikolaj</t>
  </si>
  <si>
    <t>Andrea</t>
  </si>
  <si>
    <t>Matthew Haughey</t>
  </si>
  <si>
    <t>Matthew.Haughey@gmail.com</t>
  </si>
  <si>
    <t>Ross McKee</t>
  </si>
  <si>
    <t>contactrossmckee@gmail.com</t>
  </si>
  <si>
    <t>radko.sliz@gmail.com</t>
  </si>
  <si>
    <t>eur</t>
  </si>
  <si>
    <t>Antonio Magzal</t>
  </si>
  <si>
    <t>antonio.magzal@gmail.com</t>
  </si>
  <si>
    <t>Jackson Vogel</t>
  </si>
  <si>
    <t>jacksonvogel371@gmail.com</t>
  </si>
  <si>
    <t>Hannes Erestål</t>
  </si>
  <si>
    <t>hanneserestal@icloud.com</t>
  </si>
  <si>
    <t>simon95skiold@gmail.com</t>
  </si>
  <si>
    <t>Declan Connors</t>
  </si>
  <si>
    <t>declanc_013@hotmail.com</t>
  </si>
  <si>
    <t>Jacques Scully</t>
  </si>
  <si>
    <t>jacquesmscully@icloud.com</t>
  </si>
  <si>
    <t>Michael Jeunen</t>
  </si>
  <si>
    <t>michael-jeunen@hotmail.com</t>
  </si>
  <si>
    <t>Dylan Tjon</t>
  </si>
  <si>
    <t>dylantjon@gmail.com</t>
  </si>
  <si>
    <t>Ignacio Canales Rocca</t>
  </si>
  <si>
    <t>Ata</t>
  </si>
  <si>
    <t>ata.turkoglu@outlook.com</t>
  </si>
  <si>
    <t>Andre Teixeira</t>
  </si>
  <si>
    <t>andre.txr14@gmail.com</t>
  </si>
  <si>
    <t>Andre Martins Teixeira</t>
  </si>
  <si>
    <t>Melvin Cicek</t>
  </si>
  <si>
    <t>melle.c@hotmail.com</t>
  </si>
  <si>
    <t>DKVFILM AB</t>
  </si>
  <si>
    <t>dannek90@icloud.com</t>
  </si>
  <si>
    <t>Richard Holmgren</t>
  </si>
  <si>
    <t>richolmgren@outlook.com</t>
  </si>
  <si>
    <t>Alvar Södling</t>
  </si>
  <si>
    <t>sek</t>
  </si>
  <si>
    <t>Bayron Fernando  Zuniga An</t>
  </si>
  <si>
    <t>fz85430@gmail.com</t>
  </si>
  <si>
    <t>Maleek Byrd</t>
  </si>
  <si>
    <t xml:space="preserve">Oskar </t>
  </si>
  <si>
    <t>oskar-spiesberger@t-online.de</t>
  </si>
  <si>
    <t>Joe Lira-Alarcon</t>
  </si>
  <si>
    <t>lirajoe002@gmail.com</t>
  </si>
  <si>
    <t>Dylan</t>
  </si>
  <si>
    <t>Ulas</t>
  </si>
  <si>
    <t>Ian Slipp</t>
  </si>
  <si>
    <t>ianhypeboi@gmail.com</t>
  </si>
  <si>
    <t xml:space="preserve">Lukas Proos
</t>
  </si>
  <si>
    <t>Robert  Myers</t>
  </si>
  <si>
    <t>robert@shipredline.com</t>
  </si>
  <si>
    <t>N.O. Stulp</t>
  </si>
  <si>
    <t>stulpstaalwerk@gmail.com</t>
  </si>
  <si>
    <t>THOMAS JONASSON</t>
  </si>
  <si>
    <t>thojo84@gmail.com</t>
  </si>
  <si>
    <t>J van Aubel</t>
  </si>
  <si>
    <t>julesvanaubel@gmail.com</t>
  </si>
  <si>
    <t>Heine  Sveinsgjerd</t>
  </si>
  <si>
    <t>jonasalkassam@icloud.com</t>
  </si>
  <si>
    <t>Jonas Al Kassam</t>
  </si>
  <si>
    <t>Andreas</t>
  </si>
  <si>
    <t>Amrit C Lakhiani</t>
  </si>
  <si>
    <t>amrit.lakhiani@gmail.com</t>
  </si>
  <si>
    <t>Bertelijn Snijders</t>
  </si>
  <si>
    <t>bertelijn@hotmail.com</t>
  </si>
  <si>
    <t>Daniel Karlsson</t>
  </si>
  <si>
    <t>dkarlsson.dk@gmail.com</t>
  </si>
  <si>
    <t>alvarsodling@gmail.com</t>
  </si>
  <si>
    <t>Sebastian Jubner</t>
  </si>
  <si>
    <t>sebastian.jubner@gmail.com</t>
  </si>
  <si>
    <t>Oscar Alexander Robles Braun</t>
  </si>
  <si>
    <t>Octavious Brown</t>
  </si>
  <si>
    <t>octbrown98@icloud.com</t>
  </si>
  <si>
    <t>Casper Schimmer</t>
  </si>
  <si>
    <t>cajschimmer@gmail.com</t>
  </si>
  <si>
    <t>abdulla Saleh</t>
  </si>
  <si>
    <t>Olivier Vervoort</t>
  </si>
  <si>
    <t>André  Teixeira</t>
  </si>
  <si>
    <t>andremt14ps3@gmail.com</t>
  </si>
  <si>
    <t>Destany Zavala</t>
  </si>
  <si>
    <t>Myles Stowe</t>
  </si>
  <si>
    <t>mylesandstowe@gmail.com</t>
  </si>
  <si>
    <t>Jonathan Swindle</t>
  </si>
  <si>
    <t>jswindle27@gmail.com</t>
  </si>
  <si>
    <t>Pablo Jiménez-Blanco Bravo</t>
  </si>
  <si>
    <t>diego concha</t>
  </si>
  <si>
    <t>Lluis Aleixandre</t>
  </si>
  <si>
    <t>aleixandre.luis@gmail.com</t>
  </si>
  <si>
    <t>Alexander Janovszky</t>
  </si>
  <si>
    <t>Rashad Ali</t>
  </si>
  <si>
    <t>87rashadali@gmail.com</t>
  </si>
  <si>
    <t>Reece Smithers</t>
  </si>
  <si>
    <t>arco@nnote.nl</t>
  </si>
  <si>
    <t>Elias Ayyoub</t>
  </si>
  <si>
    <t>elias.ayyoub@gmail.com</t>
  </si>
  <si>
    <t>Eoin O' Halloran</t>
  </si>
  <si>
    <t>eoinoh99@gmail.com</t>
  </si>
  <si>
    <t>Giacomo Formolli</t>
  </si>
  <si>
    <t>whoisnagato@protonmail.com</t>
  </si>
  <si>
    <t>Yam Katz</t>
  </si>
  <si>
    <t>Edvinas Jucys</t>
  </si>
  <si>
    <t>Noel Kjellemar</t>
  </si>
  <si>
    <t>Nick Stulp</t>
  </si>
  <si>
    <t>nickstulpp@gmail.com</t>
  </si>
  <si>
    <t>Jorge Cruz</t>
  </si>
  <si>
    <t>reece.smithers@hotmail.com</t>
  </si>
  <si>
    <t>joel lim</t>
  </si>
  <si>
    <t>joelimkopi@gmail.com</t>
  </si>
  <si>
    <t>Casper Sivander</t>
  </si>
  <si>
    <t xml:space="preserve">Timo Cestrone </t>
  </si>
  <si>
    <t>Jonas Renlund</t>
  </si>
  <si>
    <t>John-Aron Windolf</t>
  </si>
  <si>
    <t>johnaron.windolf@gmail.com</t>
  </si>
  <si>
    <t>David Andreasson</t>
  </si>
  <si>
    <t>Udai Aldaraji</t>
  </si>
  <si>
    <t>Enggit Tarsus</t>
  </si>
  <si>
    <t>Callum Field</t>
  </si>
  <si>
    <t>John Koski</t>
  </si>
  <si>
    <t>Jordi Peereboom</t>
  </si>
  <si>
    <t>jordi@digitopa.nl</t>
  </si>
  <si>
    <t>hampus.karlsson.hk@hotmail.com</t>
  </si>
  <si>
    <t>Jarren Tsukamoto</t>
  </si>
  <si>
    <t>Mike van Haren</t>
  </si>
  <si>
    <t>Pablo Gómez</t>
  </si>
  <si>
    <t>Norbert Alba</t>
  </si>
  <si>
    <t>norbert.alba@gmx.at</t>
  </si>
  <si>
    <t>Filip Lagerqvist</t>
  </si>
  <si>
    <t>filip.lagerqvist@hotmail.se</t>
  </si>
  <si>
    <t>Christian Boria</t>
  </si>
  <si>
    <t>ABD van der Zwan</t>
  </si>
  <si>
    <t>benvanderzwan95@gmail.com</t>
  </si>
  <si>
    <t>johnaron.windolf@wallzap.com</t>
  </si>
  <si>
    <t>Tommaso Bucciero</t>
  </si>
  <si>
    <t>Batuhan Ulusoy</t>
  </si>
  <si>
    <t>gbp</t>
  </si>
  <si>
    <t>Michael pan</t>
  </si>
  <si>
    <t>hydrolix117@gmail.com</t>
  </si>
  <si>
    <t>bengtsson.matt@gmail.com</t>
  </si>
  <si>
    <t>Filip Elfving</t>
  </si>
  <si>
    <t>filipelfving1@gmail.com</t>
  </si>
  <si>
    <t>Maxwell Kellermueller</t>
  </si>
  <si>
    <t>Jakob Johnsson</t>
  </si>
  <si>
    <t>johnssonjakob@gmail.com</t>
  </si>
  <si>
    <t>James Haseldine</t>
  </si>
  <si>
    <t>Miguel García Baena</t>
  </si>
  <si>
    <t>lepetoi@icloud.com</t>
  </si>
  <si>
    <t>Philip Formenti-Ujlaki</t>
  </si>
  <si>
    <t>philipujlaki@gmail.com</t>
  </si>
  <si>
    <t>Miguel angel garcia baena</t>
  </si>
  <si>
    <t>lepetoi@gmail.com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</si>
</sst>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d"/>
    <numFmt numFmtId="165" formatCode="[$€]#,##0.00"/>
    <numFmt numFmtId="166" formatCode="_(&quot;$&quot;* #,##0.00_);_(&quot;$&quot;* \(#,##0.00\);_(&quot;$&quot;* &quot;-&quot;??_);_(@_)"/>
    <numFmt numFmtId="167" formatCode="&quot;$&quot;#,##0.00"/>
    <numFmt numFmtId="168" formatCode="#,##0.00[$ kr.]"/>
    <numFmt numFmtId="169" formatCode="mm/dd/yyyy"/>
    <numFmt numFmtId="170" formatCode="dd/mm/yyyy"/>
    <numFmt numFmtId="171" formatCode="yyyy-mm-dd h:mm:ss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6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0" fillId="3" fontId="0" numFmtId="166" xfId="0" applyFill="1" applyFont="1" applyNumberFormat="1"/>
    <xf borderId="1" fillId="0" fontId="5" numFmtId="0" xfId="0" applyAlignment="1" applyBorder="1" applyFont="1">
      <alignment readingOrder="0"/>
    </xf>
    <xf borderId="1" fillId="0" fontId="5" numFmtId="166" xfId="0" applyBorder="1" applyFont="1" applyNumberFormat="1"/>
    <xf borderId="1" fillId="0" fontId="4" numFmtId="166" xfId="0" applyBorder="1" applyFont="1" applyNumberFormat="1"/>
    <xf borderId="0" fillId="0" fontId="6" numFmtId="167" xfId="0" applyAlignment="1" applyFont="1" applyNumberFormat="1">
      <alignment horizontal="right" vertical="bottom"/>
    </xf>
    <xf borderId="0" fillId="0" fontId="6" numFmtId="166" xfId="0" applyAlignment="1" applyFont="1" applyNumberFormat="1">
      <alignment horizontal="right" vertical="bottom"/>
    </xf>
    <xf borderId="0" fillId="0" fontId="6" numFmtId="168" xfId="0" applyAlignment="1" applyFont="1" applyNumberFormat="1">
      <alignment horizontal="right" vertical="bottom"/>
    </xf>
    <xf borderId="2" fillId="0" fontId="5" numFmtId="0" xfId="0" applyAlignment="1" applyBorder="1" applyFont="1">
      <alignment readingOrder="0"/>
    </xf>
    <xf borderId="2" fillId="0" fontId="5" numFmtId="166" xfId="0" applyBorder="1" applyFont="1" applyNumberFormat="1"/>
    <xf borderId="2" fillId="0" fontId="4" numFmtId="166" xfId="0" applyAlignment="1" applyBorder="1" applyFont="1" applyNumberFormat="1">
      <alignment readingOrder="0"/>
    </xf>
    <xf borderId="0" fillId="0" fontId="5" numFmtId="166" xfId="0" applyFont="1" applyNumberFormat="1"/>
    <xf borderId="0" fillId="0" fontId="5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6" xfId="0" applyBorder="1" applyFont="1" applyNumberFormat="1"/>
    <xf borderId="0" fillId="3" fontId="6" numFmtId="166" xfId="0" applyAlignment="1" applyFont="1" applyNumberFormat="1">
      <alignment horizontal="right" vertical="bottom"/>
    </xf>
    <xf borderId="0" fillId="0" fontId="6" numFmtId="166" xfId="0" applyAlignment="1" applyFont="1" applyNumberFormat="1">
      <alignment vertical="bottom"/>
    </xf>
    <xf borderId="1" fillId="0" fontId="6" numFmtId="166" xfId="0" applyAlignment="1" applyBorder="1" applyFont="1" applyNumberFormat="1">
      <alignment horizontal="right" vertical="bottom"/>
    </xf>
    <xf borderId="2" fillId="0" fontId="7" numFmtId="166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0" fillId="3" fontId="5" numFmtId="0" xfId="0" applyAlignment="1" applyFont="1">
      <alignment readingOrder="0"/>
    </xf>
    <xf borderId="0" fillId="3" fontId="4" numFmtId="0" xfId="0" applyFont="1"/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169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70" xfId="0" applyAlignment="1" applyFont="1" applyNumberForma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171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18.0"/>
  </cols>
  <sheetData>
    <row r="1">
      <c r="A1" s="1" t="s">
        <v>0</v>
      </c>
      <c r="B1" s="1" t="s">
        <v>1</v>
      </c>
      <c r="C1" s="2">
        <v>45682.0</v>
      </c>
      <c r="D1" s="3">
        <v>45713.0</v>
      </c>
      <c r="E1" s="3">
        <v>45741.0</v>
      </c>
      <c r="F1" s="3">
        <v>45772.0</v>
      </c>
      <c r="G1" s="3">
        <v>45802.0</v>
      </c>
      <c r="H1" s="3">
        <v>45833.0</v>
      </c>
      <c r="I1" s="3">
        <v>45863.0</v>
      </c>
      <c r="J1" s="3">
        <v>45894.0</v>
      </c>
      <c r="K1" s="2">
        <v>45925.0</v>
      </c>
      <c r="L1" s="3">
        <v>45955.0</v>
      </c>
      <c r="M1" s="3">
        <v>45986.0</v>
      </c>
      <c r="N1" s="3">
        <v>46016.0</v>
      </c>
      <c r="O1" s="3"/>
      <c r="P1" s="3"/>
      <c r="Q1" s="3"/>
      <c r="R1" s="3"/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>
      <c r="A3" s="6" t="s">
        <v>3</v>
      </c>
      <c r="B3" s="7">
        <f t="shared" ref="B3:B4" si="1">sum(C3:N3)</f>
        <v>241993</v>
      </c>
      <c r="C3" s="8">
        <f>SUM(C4)</f>
        <v>0</v>
      </c>
      <c r="D3" s="8">
        <f>sum(D4)</f>
        <v>8300</v>
      </c>
      <c r="E3" s="8">
        <f>SUM(E4)</f>
        <v>14533</v>
      </c>
      <c r="F3" s="8">
        <f>sum(F4)</f>
        <v>19753</v>
      </c>
      <c r="G3" s="8">
        <f>SUM(G4)</f>
        <v>19213</v>
      </c>
      <c r="H3" s="8">
        <f>sum(H4)</f>
        <v>15950</v>
      </c>
      <c r="I3" s="8">
        <f>SUM(I4)</f>
        <v>24516</v>
      </c>
      <c r="J3" s="8">
        <f>sum(J4)</f>
        <v>15376</v>
      </c>
      <c r="K3" s="8">
        <f>SUM(K4)</f>
        <v>16833</v>
      </c>
      <c r="L3" s="8">
        <f>sum(L4)</f>
        <v>35975</v>
      </c>
      <c r="M3" s="8">
        <f>SUM(M4)</f>
        <v>36222</v>
      </c>
      <c r="N3" s="8">
        <f>sum(N4)</f>
        <v>35322</v>
      </c>
      <c r="O3" s="5"/>
      <c r="P3" s="7"/>
      <c r="Q3" s="8"/>
      <c r="R3" s="8"/>
    </row>
    <row r="4" outlineLevel="1">
      <c r="A4" s="6" t="s">
        <v>4</v>
      </c>
      <c r="B4" s="7">
        <f t="shared" si="1"/>
        <v>241993</v>
      </c>
      <c r="C4" s="9">
        <f>SUMIFS(Datalist!$D:$D, Datalist!$C:$C, "&gt;="&amp;DATE(2025,1,1), Datalist!$C:$C, "&lt;"&amp;DATE(2025,2,1))</f>
        <v>0</v>
      </c>
      <c r="D4" s="9">
        <f>SUMIFS(Datalist!$D:$D, Datalist!$C:$C, "&gt;="&amp;DATE(2025,2,1), Datalist!$C:$C, "&lt;"&amp;DATE(2025,3,1))</f>
        <v>8300</v>
      </c>
      <c r="E4" s="9">
        <f>SUMIFS(Datalist!$D:$D, Datalist!$C:$C, "&gt;="&amp;DATE(2025,3,1), Datalist!$C:$C, "&lt;"&amp;DATE(2025,4,1))</f>
        <v>14533</v>
      </c>
      <c r="F4" s="9">
        <f>SUMIFS(Datalist!$D:$D, Datalist!$C:$C, "&gt;="&amp;DATE(2025,4,1), Datalist!$C:$C, "&lt;"&amp;DATE(2025,5,1))</f>
        <v>19753</v>
      </c>
      <c r="G4" s="9">
        <f>SUMIFS(Datalist!$D:$D, Datalist!$C:$C, "&gt;="&amp;DATE(2025,5,1), Datalist!$C:$C, "&lt;"&amp;DATE(2025,6,1))</f>
        <v>19213</v>
      </c>
      <c r="H4" s="9">
        <f>SUMIFS(Datalist!$D:$D, Datalist!$C:$C, "&gt;="&amp;DATE(2025,6,1), Datalist!$C:$C, "&lt;"&amp;DATE(2025,7,1))</f>
        <v>15950</v>
      </c>
      <c r="I4" s="9">
        <f>SUMIFS(Datalist!$D:$D, Datalist!$C:$C, "&gt;="&amp;DATE(2025,7,1), Datalist!$C:$C, "&lt;"&amp;DATE(2025,8,1))</f>
        <v>24516</v>
      </c>
      <c r="J4" s="9">
        <f>SUMIFS(Datalist!$D:$D, Datalist!$C:$C, "&gt;="&amp;DATE(2025,8,1), Datalist!$C:$C, "&lt;"&amp;DATE(2025,9,1))</f>
        <v>15376</v>
      </c>
      <c r="K4" s="9">
        <f>SUMIFS(Datalist!$D:$D, Datalist!$C:$C, "&gt;="&amp;DATE(2025,9,1), Datalist!$C:$C, "&lt;"&amp;DATE(2025,10,1))</f>
        <v>16833</v>
      </c>
      <c r="L4" s="9">
        <f>SUMIFS(Datalist!$D:$D, Datalist!$C:$C, "&gt;="&amp;DATE(2025,10,1), Datalist!$C:$C, "&lt;"&amp;DATE(2025,11,1))</f>
        <v>35975</v>
      </c>
      <c r="M4" s="9">
        <f>SUMIFS(Datalist!$D:$D, Datalist!$C:$C, "&gt;="&amp;DATE(2025,11,1), Datalist!$C:$C, "&lt;"&amp;DATE(2025,12,1))</f>
        <v>36222</v>
      </c>
      <c r="N4" s="9">
        <f>SUMIFS(Datalist!$D:$D, Datalist!$C:$C, "&gt;="&amp;DATE(2025,12,1), Datalist!$C:$C, "&lt;"&amp;DATE(2026,1,1))</f>
        <v>35322</v>
      </c>
      <c r="O4" s="5"/>
      <c r="P4" s="7"/>
      <c r="Q4" s="9"/>
      <c r="R4" s="9"/>
    </row>
    <row r="5" outlineLevel="1">
      <c r="B5" s="7"/>
      <c r="C5" s="7"/>
      <c r="D5" s="7"/>
      <c r="E5" s="7"/>
      <c r="F5" s="7"/>
      <c r="G5" s="7"/>
      <c r="H5" s="7"/>
      <c r="I5" s="7"/>
      <c r="J5" s="7"/>
      <c r="K5" s="7"/>
      <c r="L5" s="5"/>
      <c r="M5" s="7"/>
      <c r="N5" s="7"/>
      <c r="O5" s="5"/>
      <c r="P5" s="7"/>
      <c r="Q5" s="7"/>
      <c r="R5" s="7"/>
    </row>
    <row r="6" outlineLevel="1">
      <c r="B6" s="7"/>
      <c r="C6" s="8"/>
      <c r="D6" s="7"/>
      <c r="E6" s="7"/>
      <c r="F6" s="8"/>
      <c r="G6" s="8"/>
      <c r="H6" s="7"/>
      <c r="I6" s="7"/>
      <c r="J6" s="7"/>
      <c r="K6" s="7"/>
      <c r="L6" s="7"/>
      <c r="M6" s="7"/>
      <c r="N6" s="7"/>
      <c r="P6" s="7"/>
      <c r="Q6" s="7"/>
      <c r="R6" s="7"/>
    </row>
    <row r="7">
      <c r="A7" s="10" t="s">
        <v>5</v>
      </c>
      <c r="B7" s="11">
        <f>sum(C7:N7)</f>
        <v>241993</v>
      </c>
      <c r="C7" s="12">
        <f t="shared" ref="C7:N7" si="2">SUM(C4:C6)</f>
        <v>0</v>
      </c>
      <c r="D7" s="12">
        <f t="shared" si="2"/>
        <v>8300</v>
      </c>
      <c r="E7" s="12">
        <f t="shared" si="2"/>
        <v>14533</v>
      </c>
      <c r="F7" s="12">
        <f t="shared" si="2"/>
        <v>19753</v>
      </c>
      <c r="G7" s="12">
        <f t="shared" si="2"/>
        <v>19213</v>
      </c>
      <c r="H7" s="12">
        <f t="shared" si="2"/>
        <v>15950</v>
      </c>
      <c r="I7" s="12">
        <f t="shared" si="2"/>
        <v>24516</v>
      </c>
      <c r="J7" s="12">
        <f t="shared" si="2"/>
        <v>15376</v>
      </c>
      <c r="K7" s="12">
        <f t="shared" si="2"/>
        <v>16833</v>
      </c>
      <c r="L7" s="12">
        <f t="shared" si="2"/>
        <v>35975</v>
      </c>
      <c r="M7" s="12">
        <f t="shared" si="2"/>
        <v>36222</v>
      </c>
      <c r="N7" s="12">
        <f t="shared" si="2"/>
        <v>35322</v>
      </c>
      <c r="O7" s="5"/>
      <c r="P7" s="7"/>
      <c r="Q7" s="7"/>
      <c r="R7" s="7"/>
    </row>
    <row r="8">
      <c r="A8" s="4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collapsed="1">
      <c r="A9" s="6" t="s">
        <v>7</v>
      </c>
      <c r="B9" s="7">
        <f>sum(C9:N9)</f>
        <v>3054</v>
      </c>
      <c r="C9" s="8">
        <v>0.0</v>
      </c>
      <c r="D9" s="8">
        <v>0.0</v>
      </c>
      <c r="E9" s="8">
        <v>190.0</v>
      </c>
      <c r="F9" s="8">
        <v>900.0</v>
      </c>
      <c r="G9" s="8">
        <v>1024.0</v>
      </c>
      <c r="H9" s="8">
        <v>600.0</v>
      </c>
      <c r="I9" s="8">
        <v>340.0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/>
      <c r="P9" s="8"/>
      <c r="Q9" s="8"/>
      <c r="R9" s="8"/>
    </row>
    <row r="10" hidden="1" outlineLevel="1">
      <c r="A10" s="6" t="s">
        <v>8</v>
      </c>
      <c r="B10" s="7"/>
      <c r="C10" s="8">
        <v>0.0</v>
      </c>
      <c r="D10" s="8">
        <v>0.0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/>
      <c r="P10" s="8"/>
      <c r="Q10" s="8"/>
      <c r="R10" s="8"/>
    </row>
    <row r="11" hidden="1" outlineLevel="1">
      <c r="A11" s="6" t="s">
        <v>9</v>
      </c>
      <c r="B11" s="7"/>
      <c r="C11" s="8">
        <v>0.0</v>
      </c>
      <c r="D11" s="8">
        <v>0.0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/>
      <c r="P11" s="8"/>
      <c r="Q11" s="8"/>
      <c r="R11" s="8"/>
    </row>
    <row r="12" hidden="1" outlineLevel="1">
      <c r="A12" s="6" t="s">
        <v>10</v>
      </c>
      <c r="B12" s="7"/>
      <c r="C12" s="8">
        <v>0.0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/>
      <c r="P12" s="8"/>
      <c r="Q12" s="8"/>
      <c r="R12" s="8"/>
    </row>
    <row r="13" hidden="1" outlineLevel="1">
      <c r="A13" s="6" t="s">
        <v>11</v>
      </c>
      <c r="B13" s="7"/>
      <c r="C13" s="8">
        <v>0.0</v>
      </c>
      <c r="D13" s="8">
        <v>0.0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/>
      <c r="P13" s="8"/>
      <c r="Q13" s="8"/>
      <c r="R13" s="8"/>
    </row>
    <row r="14" collapsed="1">
      <c r="A14" s="6" t="s">
        <v>12</v>
      </c>
      <c r="B14" s="7">
        <f>sum(C14:N14)</f>
        <v>12552.5</v>
      </c>
      <c r="C14" s="8">
        <v>0.0</v>
      </c>
      <c r="D14" s="8">
        <v>0.0</v>
      </c>
      <c r="E14" s="8">
        <v>4530.0</v>
      </c>
      <c r="F14" s="8">
        <v>2915.0</v>
      </c>
      <c r="G14" s="8">
        <v>1790.0</v>
      </c>
      <c r="H14" s="8">
        <f> 660 + 280</f>
        <v>940</v>
      </c>
      <c r="I14" s="8">
        <v>2377.5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/>
      <c r="P14" s="8"/>
      <c r="Q14" s="8"/>
      <c r="R14" s="8"/>
    </row>
    <row r="15" hidden="1" outlineLevel="1">
      <c r="A15" s="6" t="s">
        <v>13</v>
      </c>
      <c r="B15" s="7"/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/>
      <c r="P15" s="8"/>
      <c r="Q15" s="8"/>
      <c r="R15" s="8"/>
    </row>
    <row r="16" hidden="1" outlineLevel="1">
      <c r="A16" s="6" t="s">
        <v>14</v>
      </c>
      <c r="B16" s="7">
        <f t="shared" ref="B16:B23" si="3">sum(C16:N16)</f>
        <v>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/>
      <c r="P16" s="8"/>
      <c r="Q16" s="8"/>
      <c r="R16" s="8"/>
    </row>
    <row r="17" collapsed="1">
      <c r="A17" s="6" t="s">
        <v>15</v>
      </c>
      <c r="B17" s="7">
        <f t="shared" si="3"/>
        <v>10420.7512</v>
      </c>
      <c r="C17" s="8">
        <v>0.0</v>
      </c>
      <c r="D17" s="13">
        <f t="shared" ref="D17:N17" si="4">D7-(D7/1.045)</f>
        <v>357.4162679</v>
      </c>
      <c r="E17" s="13">
        <f t="shared" si="4"/>
        <v>625.8229665</v>
      </c>
      <c r="F17" s="13">
        <f t="shared" si="4"/>
        <v>850.6076555</v>
      </c>
      <c r="G17" s="13">
        <f t="shared" si="4"/>
        <v>827.354067</v>
      </c>
      <c r="H17" s="13">
        <f t="shared" si="4"/>
        <v>686.8421053</v>
      </c>
      <c r="I17" s="13">
        <f t="shared" si="4"/>
        <v>1055.712919</v>
      </c>
      <c r="J17" s="14">
        <f t="shared" si="4"/>
        <v>662.1244019</v>
      </c>
      <c r="K17" s="14">
        <f t="shared" si="4"/>
        <v>724.8660287</v>
      </c>
      <c r="L17" s="14">
        <f t="shared" si="4"/>
        <v>1549.162679</v>
      </c>
      <c r="M17" s="14">
        <f t="shared" si="4"/>
        <v>1559.799043</v>
      </c>
      <c r="N17" s="14">
        <f t="shared" si="4"/>
        <v>1521.043062</v>
      </c>
      <c r="O17" s="15"/>
      <c r="P17" s="15"/>
      <c r="Q17" s="15"/>
      <c r="R17" s="15"/>
    </row>
    <row r="18" hidden="1" outlineLevel="1">
      <c r="B18" s="7">
        <f t="shared" si="3"/>
        <v>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  <c r="O18" s="8"/>
      <c r="P18" s="8"/>
      <c r="Q18" s="8"/>
      <c r="R18" s="8"/>
    </row>
    <row r="19" hidden="1" outlineLevel="1">
      <c r="B19" s="7">
        <f t="shared" si="3"/>
        <v>0</v>
      </c>
      <c r="C19" s="8">
        <v>0.0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/>
      <c r="P19" s="8"/>
      <c r="Q19" s="8"/>
      <c r="R19" s="8"/>
    </row>
    <row r="20" hidden="1" outlineLevel="1">
      <c r="B20" s="7">
        <f t="shared" si="3"/>
        <v>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/>
      <c r="P20" s="8"/>
      <c r="Q20" s="8"/>
      <c r="R20" s="8"/>
    </row>
    <row r="21">
      <c r="A21" s="6" t="s">
        <v>16</v>
      </c>
      <c r="B21" s="7">
        <f t="shared" si="3"/>
        <v>3865</v>
      </c>
      <c r="C21" s="8">
        <v>0.0</v>
      </c>
      <c r="D21" s="8">
        <v>0.0</v>
      </c>
      <c r="E21" s="8">
        <v>615.0</v>
      </c>
      <c r="F21" s="8">
        <v>661.0</v>
      </c>
      <c r="G21" s="8">
        <v>785.0</v>
      </c>
      <c r="H21" s="8">
        <v>902.0</v>
      </c>
      <c r="I21" s="8">
        <v>902.0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/>
      <c r="P21" s="8"/>
      <c r="Q21" s="8"/>
      <c r="R21" s="8"/>
    </row>
    <row r="22">
      <c r="A22" s="6" t="s">
        <v>17</v>
      </c>
      <c r="B22" s="7">
        <f t="shared" si="3"/>
        <v>1850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1850.0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/>
      <c r="P22" s="8"/>
      <c r="Q22" s="8"/>
      <c r="R22" s="8"/>
    </row>
    <row r="23">
      <c r="A23" s="16" t="s">
        <v>18</v>
      </c>
      <c r="B23" s="17">
        <f t="shared" si="3"/>
        <v>52857.29904</v>
      </c>
      <c r="C23" s="17">
        <f t="shared" ref="C23:D23" si="5">C9+C14+C17</f>
        <v>0</v>
      </c>
      <c r="D23" s="17">
        <f t="shared" si="5"/>
        <v>357.4162679</v>
      </c>
      <c r="E23" s="17">
        <f t="shared" ref="E23:F23" si="6">E9+E14+E17+E21+E22</f>
        <v>5960.822967</v>
      </c>
      <c r="F23" s="17">
        <f t="shared" si="6"/>
        <v>5326.607656</v>
      </c>
      <c r="G23" s="17">
        <f>G9+G14+G17</f>
        <v>3641.354067</v>
      </c>
      <c r="H23" s="17">
        <f t="shared" ref="H23:I23" si="7">H9+H14+H17+H21+H22</f>
        <v>3128.842105</v>
      </c>
      <c r="I23" s="17">
        <f t="shared" si="7"/>
        <v>6525.212919</v>
      </c>
      <c r="J23" s="18">
        <v>6599.0</v>
      </c>
      <c r="K23" s="18">
        <v>6599.0</v>
      </c>
      <c r="L23" s="18">
        <v>6599.0</v>
      </c>
      <c r="M23" s="18">
        <v>6599.0</v>
      </c>
      <c r="N23" s="17">
        <f>SUM(N9:N22)</f>
        <v>1521.043062</v>
      </c>
      <c r="O23" s="19"/>
      <c r="P23" s="19"/>
      <c r="Q23" s="19"/>
      <c r="R23" s="19"/>
    </row>
    <row r="24">
      <c r="A24" s="20"/>
      <c r="B24" s="7"/>
      <c r="C24" s="7"/>
      <c r="D24" s="7"/>
      <c r="E24" s="7"/>
      <c r="F24" s="7"/>
      <c r="G24" s="8" t="s">
        <v>19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>
      <c r="A25" s="20" t="s">
        <v>20</v>
      </c>
      <c r="B25" s="7">
        <f t="shared" ref="B25:B26" si="9">sum(C25:N25)</f>
        <v>201660.8333</v>
      </c>
      <c r="C25" s="7">
        <f>C3-C23</f>
        <v>0</v>
      </c>
      <c r="D25" s="7">
        <f t="shared" ref="D25:N25" si="8">D3/1.2</f>
        <v>6916.666667</v>
      </c>
      <c r="E25" s="7">
        <f t="shared" si="8"/>
        <v>12110.83333</v>
      </c>
      <c r="F25" s="7">
        <f t="shared" si="8"/>
        <v>16460.83333</v>
      </c>
      <c r="G25" s="7">
        <f t="shared" si="8"/>
        <v>16010.83333</v>
      </c>
      <c r="H25" s="7">
        <f t="shared" si="8"/>
        <v>13291.66667</v>
      </c>
      <c r="I25" s="7">
        <f t="shared" si="8"/>
        <v>20430</v>
      </c>
      <c r="J25" s="7">
        <f t="shared" si="8"/>
        <v>12813.33333</v>
      </c>
      <c r="K25" s="7">
        <f t="shared" si="8"/>
        <v>14027.5</v>
      </c>
      <c r="L25" s="7">
        <f t="shared" si="8"/>
        <v>29979.16667</v>
      </c>
      <c r="M25" s="7">
        <f t="shared" si="8"/>
        <v>30185</v>
      </c>
      <c r="N25" s="7">
        <f t="shared" si="8"/>
        <v>29435</v>
      </c>
      <c r="O25" s="7"/>
      <c r="P25" s="7"/>
      <c r="Q25" s="7"/>
      <c r="R25" s="7"/>
    </row>
    <row r="26">
      <c r="A26" s="20" t="s">
        <v>21</v>
      </c>
      <c r="B26" s="7">
        <f t="shared" si="9"/>
        <v>148803.5343</v>
      </c>
      <c r="C26" s="7">
        <f>C6+C4</f>
        <v>0</v>
      </c>
      <c r="D26" s="7">
        <f t="shared" ref="D26:N26" si="10">D25-D23</f>
        <v>6559.250399</v>
      </c>
      <c r="E26" s="7">
        <f t="shared" si="10"/>
        <v>6150.010367</v>
      </c>
      <c r="F26" s="7">
        <f t="shared" si="10"/>
        <v>11134.22568</v>
      </c>
      <c r="G26" s="7">
        <f t="shared" si="10"/>
        <v>12369.47927</v>
      </c>
      <c r="H26" s="7">
        <f t="shared" si="10"/>
        <v>10162.82456</v>
      </c>
      <c r="I26" s="7">
        <f t="shared" si="10"/>
        <v>13904.78708</v>
      </c>
      <c r="J26" s="7">
        <f t="shared" si="10"/>
        <v>6214.333333</v>
      </c>
      <c r="K26" s="7">
        <f t="shared" si="10"/>
        <v>7428.5</v>
      </c>
      <c r="L26" s="7">
        <f t="shared" si="10"/>
        <v>23380.16667</v>
      </c>
      <c r="M26" s="7">
        <f t="shared" si="10"/>
        <v>23586</v>
      </c>
      <c r="N26" s="7">
        <f t="shared" si="10"/>
        <v>27913.95694</v>
      </c>
      <c r="O26" s="7"/>
      <c r="P26" s="7"/>
      <c r="Q26" s="7"/>
      <c r="R26" s="7"/>
    </row>
    <row r="27">
      <c r="A27" s="20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>
      <c r="A28" s="20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>
      <c r="A29" s="21" t="s">
        <v>22</v>
      </c>
      <c r="B29" s="22">
        <f>(B25)*0.2</f>
        <v>40332.16667</v>
      </c>
      <c r="C29" s="22">
        <f>(C25)*0.3</f>
        <v>0</v>
      </c>
      <c r="D29" s="22">
        <f t="shared" ref="D29:I29" si="11">(D25)*0.2</f>
        <v>1383.333333</v>
      </c>
      <c r="E29" s="22">
        <f t="shared" si="11"/>
        <v>2422.166667</v>
      </c>
      <c r="F29" s="22">
        <f t="shared" si="11"/>
        <v>3292.166667</v>
      </c>
      <c r="G29" s="22">
        <f t="shared" si="11"/>
        <v>3202.166667</v>
      </c>
      <c r="H29" s="22">
        <f t="shared" si="11"/>
        <v>2658.333333</v>
      </c>
      <c r="I29" s="22">
        <f t="shared" si="11"/>
        <v>4086</v>
      </c>
      <c r="J29" s="22">
        <f t="shared" ref="J29:M29" si="12">(J26)*0.2</f>
        <v>1242.866667</v>
      </c>
      <c r="K29" s="22">
        <f t="shared" si="12"/>
        <v>1485.7</v>
      </c>
      <c r="L29" s="22">
        <f t="shared" si="12"/>
        <v>4676.033333</v>
      </c>
      <c r="M29" s="22">
        <f t="shared" si="12"/>
        <v>4717.2</v>
      </c>
      <c r="N29" s="22">
        <f>(N25)*0.2</f>
        <v>5887</v>
      </c>
      <c r="O29" s="19"/>
      <c r="P29" s="19"/>
      <c r="Q29" s="19"/>
      <c r="R29" s="19"/>
    </row>
    <row r="30">
      <c r="A30" s="16" t="s">
        <v>23</v>
      </c>
      <c r="B30" s="22">
        <f>(B26)*0.8</f>
        <v>119042.8274</v>
      </c>
      <c r="C30" s="22">
        <f>(C26)*0.7</f>
        <v>0</v>
      </c>
      <c r="D30" s="22">
        <f t="shared" ref="D30:N30" si="13">(D26)*0.8</f>
        <v>5247.400319</v>
      </c>
      <c r="E30" s="22">
        <f t="shared" si="13"/>
        <v>4920.008293</v>
      </c>
      <c r="F30" s="22">
        <f t="shared" si="13"/>
        <v>8907.380542</v>
      </c>
      <c r="G30" s="22">
        <f t="shared" si="13"/>
        <v>9895.583413</v>
      </c>
      <c r="H30" s="22">
        <f t="shared" si="13"/>
        <v>8130.259649</v>
      </c>
      <c r="I30" s="22">
        <f t="shared" si="13"/>
        <v>11123.82967</v>
      </c>
      <c r="J30" s="22">
        <f t="shared" si="13"/>
        <v>4971.466667</v>
      </c>
      <c r="K30" s="22">
        <f t="shared" si="13"/>
        <v>5942.8</v>
      </c>
      <c r="L30" s="22">
        <f t="shared" si="13"/>
        <v>18704.13333</v>
      </c>
      <c r="M30" s="22">
        <f t="shared" si="13"/>
        <v>18868.8</v>
      </c>
      <c r="N30" s="22">
        <f t="shared" si="13"/>
        <v>22331.16555</v>
      </c>
      <c r="O30" s="19"/>
      <c r="P30" s="19"/>
      <c r="Q30" s="19"/>
      <c r="R30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18.0"/>
  </cols>
  <sheetData>
    <row r="1">
      <c r="A1" s="1" t="s">
        <v>0</v>
      </c>
      <c r="B1" s="1" t="s">
        <v>1</v>
      </c>
      <c r="C1" s="2">
        <v>46047.0</v>
      </c>
      <c r="D1" s="3">
        <v>45713.0</v>
      </c>
      <c r="E1" s="3">
        <v>45741.0</v>
      </c>
      <c r="F1" s="3">
        <v>45772.0</v>
      </c>
      <c r="G1" s="3">
        <v>45802.0</v>
      </c>
      <c r="H1" s="3">
        <v>45833.0</v>
      </c>
      <c r="I1" s="3">
        <v>45863.0</v>
      </c>
      <c r="J1" s="3">
        <v>45894.0</v>
      </c>
      <c r="K1" s="2">
        <v>45925.0</v>
      </c>
      <c r="L1" s="3">
        <v>45955.0</v>
      </c>
      <c r="M1" s="3">
        <v>45986.0</v>
      </c>
      <c r="N1" s="3">
        <v>46016.0</v>
      </c>
      <c r="O1" s="3"/>
      <c r="P1" s="3"/>
      <c r="Q1" s="3"/>
      <c r="R1" s="3"/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>
      <c r="A3" s="6" t="s">
        <v>3</v>
      </c>
      <c r="B3" s="7">
        <f t="shared" ref="B3:B4" si="2">sum(C3:N3)</f>
        <v>545803</v>
      </c>
      <c r="C3" s="8">
        <f>SUM(C4)</f>
        <v>48723</v>
      </c>
      <c r="D3" s="8">
        <f>sum(D4)</f>
        <v>49708</v>
      </c>
      <c r="E3" s="8">
        <f>SUM(E4)</f>
        <v>0</v>
      </c>
      <c r="F3" s="8">
        <f t="shared" ref="F3:N3" si="1">sum(F4)</f>
        <v>49708</v>
      </c>
      <c r="G3" s="14">
        <f t="shared" si="1"/>
        <v>49708</v>
      </c>
      <c r="H3" s="14">
        <f t="shared" si="1"/>
        <v>49708</v>
      </c>
      <c r="I3" s="14">
        <f t="shared" si="1"/>
        <v>49708</v>
      </c>
      <c r="J3" s="14">
        <f t="shared" si="1"/>
        <v>49708</v>
      </c>
      <c r="K3" s="14">
        <f t="shared" si="1"/>
        <v>49708</v>
      </c>
      <c r="L3" s="14">
        <f t="shared" si="1"/>
        <v>49708</v>
      </c>
      <c r="M3" s="14">
        <f t="shared" si="1"/>
        <v>49708</v>
      </c>
      <c r="N3" s="14">
        <f t="shared" si="1"/>
        <v>49708</v>
      </c>
      <c r="O3" s="5"/>
      <c r="P3" s="7"/>
      <c r="Q3" s="8"/>
      <c r="R3" s="8"/>
    </row>
    <row r="4" outlineLevel="1">
      <c r="A4" s="6" t="s">
        <v>4</v>
      </c>
      <c r="B4" s="7">
        <f t="shared" si="2"/>
        <v>545803</v>
      </c>
      <c r="C4" s="9">
        <f>SUMIFS(Datalist!$D:$D, Datalist!$C:$C, "&gt;="&amp;DATE(2026,1,1), Datalist!$C:$C, "&lt;"&amp;DATE(2026,2,1))</f>
        <v>48723</v>
      </c>
      <c r="D4" s="9">
        <f>SUMIFS(Datalist!$D:$D, Datalist!$C:$C, "&gt;="&amp;DATE(2026,2,1), Datalist!$C:$C, "&lt;"&amp;DATE(2026,3,1))</f>
        <v>49708</v>
      </c>
      <c r="E4" s="9">
        <f>SUMIFS(Datalist!$D:$D, Datalist!$C:$C, "&gt;="&amp;DATE(2026,3,1), Datalist!$C:$C, "&lt;"&amp;DATE(2026,4,1))</f>
        <v>0</v>
      </c>
      <c r="F4" s="9">
        <f>SUMIFS(Datalist!$D:$D, Datalist!$C:$C, "&gt;="&amp;DATE(2026,2,1), Datalist!$C:$C, "&lt;"&amp;DATE(2026,3,1))</f>
        <v>49708</v>
      </c>
      <c r="G4" s="23">
        <f>SUMIFS(Datalist!$D:$D, Datalist!$C:$C, "&gt;="&amp;DATE(2026,2,1), Datalist!$C:$C, "&lt;"&amp;DATE(2026,3,1))</f>
        <v>49708</v>
      </c>
      <c r="H4" s="23">
        <f>SUMIFS(Datalist!$D:$D, Datalist!$C:$C, "&gt;="&amp;DATE(2026,2,1), Datalist!$C:$C, "&lt;"&amp;DATE(2026,3,1))</f>
        <v>49708</v>
      </c>
      <c r="I4" s="23">
        <f>SUMIFS(Datalist!$D:$D, Datalist!$C:$C, "&gt;="&amp;DATE(2026,2,1), Datalist!$C:$C, "&lt;"&amp;DATE(2026,3,1))</f>
        <v>49708</v>
      </c>
      <c r="J4" s="23">
        <f>SUMIFS(Datalist!$D:$D, Datalist!$C:$C, "&gt;="&amp;DATE(2026,2,1), Datalist!$C:$C, "&lt;"&amp;DATE(2026,3,1))</f>
        <v>49708</v>
      </c>
      <c r="K4" s="23">
        <f>SUMIFS(Datalist!$D:$D, Datalist!$C:$C, "&gt;="&amp;DATE(2026,2,1), Datalist!$C:$C, "&lt;"&amp;DATE(2026,3,1))</f>
        <v>49708</v>
      </c>
      <c r="L4" s="23">
        <f>SUMIFS(Datalist!$D:$D, Datalist!$C:$C, "&gt;="&amp;DATE(2026,2,1), Datalist!$C:$C, "&lt;"&amp;DATE(2026,3,1))</f>
        <v>49708</v>
      </c>
      <c r="M4" s="23">
        <f>SUMIFS(Datalist!$D:$D, Datalist!$C:$C, "&gt;="&amp;DATE(2026,2,1), Datalist!$C:$C, "&lt;"&amp;DATE(2026,3,1))</f>
        <v>49708</v>
      </c>
      <c r="N4" s="23">
        <f>SUMIFS(Datalist!$D:$D, Datalist!$C:$C, "&gt;="&amp;DATE(2026,2,1), Datalist!$C:$C, "&lt;"&amp;DATE(2026,3,1))</f>
        <v>49708</v>
      </c>
      <c r="O4" s="5"/>
      <c r="P4" s="7"/>
      <c r="Q4" s="9"/>
      <c r="R4" s="9"/>
    </row>
    <row r="5" outlineLevel="1">
      <c r="B5" s="7"/>
      <c r="C5" s="8"/>
      <c r="D5" s="7"/>
      <c r="E5" s="7"/>
      <c r="F5" s="7"/>
      <c r="G5" s="24"/>
      <c r="H5" s="24"/>
      <c r="I5" s="24"/>
      <c r="J5" s="24"/>
      <c r="K5" s="24"/>
      <c r="L5" s="24"/>
      <c r="M5" s="24"/>
      <c r="N5" s="24"/>
      <c r="O5" s="5"/>
      <c r="P5" s="7"/>
      <c r="Q5" s="7"/>
      <c r="R5" s="7"/>
    </row>
    <row r="6" outlineLevel="1">
      <c r="B6" s="7"/>
      <c r="D6" s="7"/>
      <c r="E6" s="7"/>
      <c r="F6" s="7"/>
      <c r="G6" s="24"/>
      <c r="H6" s="24"/>
      <c r="I6" s="24"/>
      <c r="J6" s="24"/>
      <c r="K6" s="24"/>
      <c r="L6" s="24"/>
      <c r="M6" s="24"/>
      <c r="N6" s="24"/>
      <c r="P6" s="7"/>
      <c r="Q6" s="7"/>
      <c r="R6" s="7"/>
    </row>
    <row r="7">
      <c r="A7" s="10" t="s">
        <v>5</v>
      </c>
      <c r="B7" s="11">
        <f>sum(C7:N7)</f>
        <v>545803</v>
      </c>
      <c r="C7" s="12">
        <f>SUM(C4:C5)</f>
        <v>48723</v>
      </c>
      <c r="D7" s="12">
        <f t="shared" ref="D7:N7" si="3">SUM(D4:D6)</f>
        <v>49708</v>
      </c>
      <c r="E7" s="12">
        <f t="shared" si="3"/>
        <v>0</v>
      </c>
      <c r="F7" s="12">
        <f t="shared" si="3"/>
        <v>49708</v>
      </c>
      <c r="G7" s="25">
        <f t="shared" si="3"/>
        <v>49708</v>
      </c>
      <c r="H7" s="25">
        <f t="shared" si="3"/>
        <v>49708</v>
      </c>
      <c r="I7" s="25">
        <f t="shared" si="3"/>
        <v>49708</v>
      </c>
      <c r="J7" s="25">
        <f t="shared" si="3"/>
        <v>49708</v>
      </c>
      <c r="K7" s="25">
        <f t="shared" si="3"/>
        <v>49708</v>
      </c>
      <c r="L7" s="25">
        <f t="shared" si="3"/>
        <v>49708</v>
      </c>
      <c r="M7" s="25">
        <f t="shared" si="3"/>
        <v>49708</v>
      </c>
      <c r="N7" s="25">
        <f t="shared" si="3"/>
        <v>49708</v>
      </c>
      <c r="O7" s="5"/>
      <c r="P7" s="7"/>
      <c r="Q7" s="7"/>
      <c r="R7" s="7"/>
    </row>
    <row r="8">
      <c r="A8" s="4" t="s">
        <v>6</v>
      </c>
      <c r="B8" s="7"/>
      <c r="C8" s="7"/>
      <c r="D8" s="7"/>
      <c r="E8" s="7"/>
      <c r="F8" s="7"/>
      <c r="G8" s="24"/>
      <c r="H8" s="24"/>
      <c r="I8" s="24"/>
      <c r="J8" s="24"/>
      <c r="K8" s="24"/>
      <c r="L8" s="24"/>
      <c r="M8" s="24"/>
      <c r="N8" s="24"/>
      <c r="O8" s="7"/>
      <c r="P8" s="7"/>
      <c r="Q8" s="7"/>
      <c r="R8" s="7"/>
    </row>
    <row r="9" collapsed="1">
      <c r="A9" s="6" t="s">
        <v>7</v>
      </c>
      <c r="B9" s="7">
        <f>sum(C9:N9)</f>
        <v>3369</v>
      </c>
      <c r="C9" s="8">
        <v>3369.0</v>
      </c>
      <c r="D9" s="8">
        <v>0.0</v>
      </c>
      <c r="E9" s="8">
        <v>0.0</v>
      </c>
      <c r="F9" s="8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8"/>
      <c r="P9" s="8"/>
      <c r="Q9" s="8"/>
      <c r="R9" s="8"/>
    </row>
    <row r="10" hidden="1" outlineLevel="1">
      <c r="A10" s="6" t="s">
        <v>8</v>
      </c>
      <c r="B10" s="7"/>
      <c r="C10" s="8">
        <v>0.0</v>
      </c>
      <c r="D10" s="8">
        <v>0.0</v>
      </c>
      <c r="E10" s="8">
        <v>0.0</v>
      </c>
      <c r="F10" s="8">
        <v>0.0</v>
      </c>
      <c r="G10" s="14">
        <v>0.0</v>
      </c>
      <c r="H10" s="14">
        <v>0.0</v>
      </c>
      <c r="I10" s="14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0.0</v>
      </c>
      <c r="O10" s="8"/>
      <c r="P10" s="8"/>
      <c r="Q10" s="8"/>
      <c r="R10" s="8"/>
    </row>
    <row r="11" hidden="1" outlineLevel="1">
      <c r="A11" s="6" t="s">
        <v>9</v>
      </c>
      <c r="B11" s="7"/>
      <c r="C11" s="8">
        <v>0.0</v>
      </c>
      <c r="D11" s="8">
        <v>0.0</v>
      </c>
      <c r="E11" s="8">
        <v>0.0</v>
      </c>
      <c r="F11" s="8">
        <v>0.0</v>
      </c>
      <c r="G11" s="14">
        <v>0.0</v>
      </c>
      <c r="H11" s="14">
        <v>0.0</v>
      </c>
      <c r="I11" s="14">
        <v>0.0</v>
      </c>
      <c r="J11" s="14">
        <v>0.0</v>
      </c>
      <c r="K11" s="14">
        <v>0.0</v>
      </c>
      <c r="L11" s="14">
        <v>0.0</v>
      </c>
      <c r="M11" s="14">
        <v>0.0</v>
      </c>
      <c r="N11" s="14">
        <v>0.0</v>
      </c>
      <c r="O11" s="8"/>
      <c r="P11" s="8"/>
      <c r="Q11" s="8"/>
      <c r="R11" s="8"/>
    </row>
    <row r="12" hidden="1" outlineLevel="1">
      <c r="A12" s="6" t="s">
        <v>10</v>
      </c>
      <c r="B12" s="7"/>
      <c r="C12" s="8">
        <v>0.0</v>
      </c>
      <c r="D12" s="8">
        <v>0.0</v>
      </c>
      <c r="E12" s="8">
        <v>0.0</v>
      </c>
      <c r="F12" s="8">
        <v>0.0</v>
      </c>
      <c r="G12" s="14">
        <v>0.0</v>
      </c>
      <c r="H12" s="14">
        <v>0.0</v>
      </c>
      <c r="I12" s="14">
        <v>0.0</v>
      </c>
      <c r="J12" s="14">
        <v>0.0</v>
      </c>
      <c r="K12" s="14">
        <v>0.0</v>
      </c>
      <c r="L12" s="14">
        <v>0.0</v>
      </c>
      <c r="M12" s="14">
        <v>0.0</v>
      </c>
      <c r="N12" s="14">
        <v>0.0</v>
      </c>
      <c r="O12" s="8"/>
      <c r="P12" s="8"/>
      <c r="Q12" s="8"/>
      <c r="R12" s="8"/>
    </row>
    <row r="13" hidden="1" outlineLevel="1">
      <c r="A13" s="6" t="s">
        <v>11</v>
      </c>
      <c r="B13" s="7"/>
      <c r="C13" s="8">
        <v>0.0</v>
      </c>
      <c r="D13" s="8">
        <v>0.0</v>
      </c>
      <c r="E13" s="8">
        <v>0.0</v>
      </c>
      <c r="F13" s="8">
        <v>0.0</v>
      </c>
      <c r="G13" s="14">
        <v>0.0</v>
      </c>
      <c r="H13" s="14">
        <v>0.0</v>
      </c>
      <c r="I13" s="14">
        <v>0.0</v>
      </c>
      <c r="J13" s="14">
        <v>0.0</v>
      </c>
      <c r="K13" s="14">
        <v>0.0</v>
      </c>
      <c r="L13" s="14">
        <v>0.0</v>
      </c>
      <c r="M13" s="14">
        <v>0.0</v>
      </c>
      <c r="N13" s="14">
        <v>0.0</v>
      </c>
      <c r="O13" s="8"/>
      <c r="P13" s="8"/>
      <c r="Q13" s="8"/>
      <c r="R13" s="8"/>
    </row>
    <row r="14" collapsed="1">
      <c r="A14" s="6" t="s">
        <v>12</v>
      </c>
      <c r="B14" s="7">
        <f>sum(C14:N14)</f>
        <v>3000</v>
      </c>
      <c r="C14" s="8">
        <f>3000</f>
        <v>3000</v>
      </c>
      <c r="D14" s="8">
        <v>0.0</v>
      </c>
      <c r="E14" s="8">
        <v>0.0</v>
      </c>
      <c r="F14" s="8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4">
        <v>0.0</v>
      </c>
      <c r="N14" s="14">
        <v>0.0</v>
      </c>
      <c r="O14" s="8"/>
      <c r="P14" s="8"/>
      <c r="Q14" s="8"/>
      <c r="R14" s="8"/>
    </row>
    <row r="15" hidden="1" outlineLevel="1">
      <c r="A15" s="6" t="s">
        <v>13</v>
      </c>
      <c r="B15" s="7"/>
      <c r="C15" s="8">
        <v>0.0</v>
      </c>
      <c r="D15" s="8">
        <v>0.0</v>
      </c>
      <c r="E15" s="8">
        <v>0.0</v>
      </c>
      <c r="F15" s="8">
        <v>0.0</v>
      </c>
      <c r="G15" s="14">
        <v>0.0</v>
      </c>
      <c r="H15" s="14">
        <v>0.0</v>
      </c>
      <c r="I15" s="14">
        <v>0.0</v>
      </c>
      <c r="J15" s="14">
        <v>0.0</v>
      </c>
      <c r="K15" s="14">
        <v>0.0</v>
      </c>
      <c r="L15" s="14">
        <v>0.0</v>
      </c>
      <c r="M15" s="14">
        <v>0.0</v>
      </c>
      <c r="N15" s="14">
        <v>0.0</v>
      </c>
      <c r="O15" s="8"/>
      <c r="P15" s="8"/>
      <c r="Q15" s="8"/>
      <c r="R15" s="8"/>
    </row>
    <row r="16" hidden="1" outlineLevel="1">
      <c r="A16" s="6" t="s">
        <v>14</v>
      </c>
      <c r="B16" s="7">
        <f t="shared" ref="B16:B23" si="4">sum(C16:N16)</f>
        <v>0</v>
      </c>
      <c r="C16" s="8">
        <v>0.0</v>
      </c>
      <c r="D16" s="8">
        <v>0.0</v>
      </c>
      <c r="E16" s="8">
        <v>0.0</v>
      </c>
      <c r="F16" s="8">
        <v>0.0</v>
      </c>
      <c r="G16" s="14">
        <v>0.0</v>
      </c>
      <c r="H16" s="14">
        <v>0.0</v>
      </c>
      <c r="I16" s="14">
        <v>0.0</v>
      </c>
      <c r="J16" s="14">
        <v>0.0</v>
      </c>
      <c r="K16" s="14">
        <v>0.0</v>
      </c>
      <c r="L16" s="14">
        <v>0.0</v>
      </c>
      <c r="M16" s="14">
        <v>0.0</v>
      </c>
      <c r="N16" s="14">
        <v>0.0</v>
      </c>
      <c r="O16" s="8"/>
      <c r="P16" s="8"/>
      <c r="Q16" s="8"/>
      <c r="R16" s="8"/>
    </row>
    <row r="17" collapsed="1">
      <c r="A17" s="6" t="s">
        <v>15</v>
      </c>
      <c r="B17" s="7">
        <f t="shared" si="4"/>
        <v>23503.47847</v>
      </c>
      <c r="C17" s="13">
        <f t="shared" ref="C17:N17" si="5">C7-(C7/1.045)</f>
        <v>2098.119617</v>
      </c>
      <c r="D17" s="13">
        <f t="shared" si="5"/>
        <v>2140.535885</v>
      </c>
      <c r="E17" s="13">
        <f t="shared" si="5"/>
        <v>0</v>
      </c>
      <c r="F17" s="13">
        <f t="shared" si="5"/>
        <v>2140.535885</v>
      </c>
      <c r="G17" s="13">
        <f t="shared" si="5"/>
        <v>2140.535885</v>
      </c>
      <c r="H17" s="13">
        <f t="shared" si="5"/>
        <v>2140.535885</v>
      </c>
      <c r="I17" s="13">
        <f t="shared" si="5"/>
        <v>2140.535885</v>
      </c>
      <c r="J17" s="13">
        <f t="shared" si="5"/>
        <v>2140.535885</v>
      </c>
      <c r="K17" s="13">
        <f t="shared" si="5"/>
        <v>2140.535885</v>
      </c>
      <c r="L17" s="13">
        <f t="shared" si="5"/>
        <v>2140.535885</v>
      </c>
      <c r="M17" s="13">
        <f t="shared" si="5"/>
        <v>2140.535885</v>
      </c>
      <c r="N17" s="13">
        <f t="shared" si="5"/>
        <v>2140.535885</v>
      </c>
      <c r="O17" s="15"/>
      <c r="P17" s="15"/>
      <c r="Q17" s="15"/>
      <c r="R17" s="15"/>
    </row>
    <row r="18" hidden="1" outlineLevel="1">
      <c r="B18" s="7">
        <f t="shared" si="4"/>
        <v>0</v>
      </c>
      <c r="C18" s="8">
        <v>0.0</v>
      </c>
      <c r="D18" s="8">
        <v>0.0</v>
      </c>
      <c r="E18" s="8">
        <v>0.0</v>
      </c>
      <c r="F18" s="8">
        <v>0.0</v>
      </c>
      <c r="G18" s="14">
        <v>0.0</v>
      </c>
      <c r="H18" s="14">
        <v>0.0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4">
        <v>0.0</v>
      </c>
      <c r="O18" s="8"/>
      <c r="P18" s="8"/>
      <c r="Q18" s="8"/>
      <c r="R18" s="8"/>
    </row>
    <row r="19" hidden="1" outlineLevel="1">
      <c r="B19" s="7">
        <f t="shared" si="4"/>
        <v>0</v>
      </c>
      <c r="C19" s="8">
        <v>0.0</v>
      </c>
      <c r="D19" s="8">
        <v>0.0</v>
      </c>
      <c r="E19" s="8">
        <v>0.0</v>
      </c>
      <c r="F19" s="8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8"/>
      <c r="P19" s="8"/>
      <c r="Q19" s="8"/>
      <c r="R19" s="8"/>
    </row>
    <row r="20" hidden="1" outlineLevel="1">
      <c r="B20" s="7">
        <f t="shared" si="4"/>
        <v>0</v>
      </c>
      <c r="C20" s="8">
        <v>0.0</v>
      </c>
      <c r="D20" s="8">
        <v>0.0</v>
      </c>
      <c r="E20" s="8">
        <v>0.0</v>
      </c>
      <c r="F20" s="8">
        <v>0.0</v>
      </c>
      <c r="G20" s="14">
        <v>0.0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8"/>
      <c r="P20" s="8"/>
      <c r="Q20" s="8"/>
      <c r="R20" s="8"/>
    </row>
    <row r="21">
      <c r="A21" s="6" t="s">
        <v>16</v>
      </c>
      <c r="B21" s="7">
        <f t="shared" si="4"/>
        <v>0</v>
      </c>
      <c r="C21" s="8">
        <v>0.0</v>
      </c>
      <c r="D21" s="8">
        <v>0.0</v>
      </c>
      <c r="E21" s="8">
        <v>0.0</v>
      </c>
      <c r="F21" s="8">
        <v>0.0</v>
      </c>
      <c r="G21" s="14">
        <v>0.0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8"/>
      <c r="P21" s="8"/>
      <c r="Q21" s="8"/>
      <c r="R21" s="8"/>
    </row>
    <row r="22">
      <c r="A22" s="6" t="s">
        <v>17</v>
      </c>
      <c r="B22" s="7">
        <f t="shared" si="4"/>
        <v>1000</v>
      </c>
      <c r="C22" s="8">
        <v>1000.0</v>
      </c>
      <c r="D22" s="8">
        <v>0.0</v>
      </c>
      <c r="E22" s="8">
        <v>0.0</v>
      </c>
      <c r="F22" s="8">
        <v>0.0</v>
      </c>
      <c r="G22" s="14">
        <v>0.0</v>
      </c>
      <c r="H22" s="14">
        <v>0.0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0.0</v>
      </c>
      <c r="O22" s="8"/>
      <c r="P22" s="8"/>
      <c r="Q22" s="8"/>
      <c r="R22" s="8"/>
    </row>
    <row r="23">
      <c r="A23" s="16" t="s">
        <v>18</v>
      </c>
      <c r="B23" s="17">
        <f t="shared" si="4"/>
        <v>30872.47847</v>
      </c>
      <c r="C23" s="17">
        <f>C9+C14+C17+C21+C22</f>
        <v>9467.119617</v>
      </c>
      <c r="D23" s="17">
        <f>D9+D14+D17</f>
        <v>2140.535885</v>
      </c>
      <c r="E23" s="17">
        <f>E9+E14+E17+E21+E22</f>
        <v>0</v>
      </c>
      <c r="F23" s="17">
        <f t="shared" ref="F23:N23" si="6">F9+F14+F17</f>
        <v>2140.535885</v>
      </c>
      <c r="G23" s="26">
        <f t="shared" si="6"/>
        <v>2140.535885</v>
      </c>
      <c r="H23" s="26">
        <f t="shared" si="6"/>
        <v>2140.535885</v>
      </c>
      <c r="I23" s="26">
        <f t="shared" si="6"/>
        <v>2140.535885</v>
      </c>
      <c r="J23" s="26">
        <f t="shared" si="6"/>
        <v>2140.535885</v>
      </c>
      <c r="K23" s="26">
        <f t="shared" si="6"/>
        <v>2140.535885</v>
      </c>
      <c r="L23" s="26">
        <f t="shared" si="6"/>
        <v>2140.535885</v>
      </c>
      <c r="M23" s="26">
        <f t="shared" si="6"/>
        <v>2140.535885</v>
      </c>
      <c r="N23" s="26">
        <f t="shared" si="6"/>
        <v>2140.535885</v>
      </c>
      <c r="O23" s="19"/>
      <c r="P23" s="19"/>
      <c r="Q23" s="19"/>
      <c r="R23" s="19"/>
    </row>
    <row r="24">
      <c r="A24" s="20"/>
      <c r="B24" s="7"/>
      <c r="C24" s="7"/>
      <c r="D24" s="7"/>
      <c r="E24" s="7"/>
      <c r="F24" s="7"/>
      <c r="G24" s="24"/>
      <c r="H24" s="24"/>
      <c r="I24" s="24"/>
      <c r="J24" s="24"/>
      <c r="K24" s="24"/>
      <c r="L24" s="24"/>
      <c r="M24" s="24"/>
      <c r="N24" s="24"/>
      <c r="O24" s="7"/>
      <c r="P24" s="7"/>
      <c r="Q24" s="7"/>
      <c r="R24" s="7"/>
    </row>
    <row r="25">
      <c r="A25" s="20" t="s">
        <v>20</v>
      </c>
      <c r="B25" s="7">
        <f t="shared" ref="B25:B26" si="8">sum(C25:N25)</f>
        <v>454835.8333</v>
      </c>
      <c r="C25" s="7">
        <f t="shared" ref="C25:N25" si="7">C3/1.2</f>
        <v>40602.5</v>
      </c>
      <c r="D25" s="7">
        <f t="shared" si="7"/>
        <v>41423.33333</v>
      </c>
      <c r="E25" s="7">
        <f t="shared" si="7"/>
        <v>0</v>
      </c>
      <c r="F25" s="7">
        <f t="shared" si="7"/>
        <v>41423.33333</v>
      </c>
      <c r="G25" s="14">
        <f t="shared" si="7"/>
        <v>41423.33333</v>
      </c>
      <c r="H25" s="14">
        <f t="shared" si="7"/>
        <v>41423.33333</v>
      </c>
      <c r="I25" s="14">
        <f t="shared" si="7"/>
        <v>41423.33333</v>
      </c>
      <c r="J25" s="14">
        <f t="shared" si="7"/>
        <v>41423.33333</v>
      </c>
      <c r="K25" s="14">
        <f t="shared" si="7"/>
        <v>41423.33333</v>
      </c>
      <c r="L25" s="14">
        <f t="shared" si="7"/>
        <v>41423.33333</v>
      </c>
      <c r="M25" s="14">
        <f t="shared" si="7"/>
        <v>41423.33333</v>
      </c>
      <c r="N25" s="14">
        <f t="shared" si="7"/>
        <v>41423.33333</v>
      </c>
      <c r="O25" s="7"/>
      <c r="P25" s="7"/>
      <c r="Q25" s="7"/>
      <c r="R25" s="7"/>
    </row>
    <row r="26">
      <c r="A26" s="20" t="s">
        <v>21</v>
      </c>
      <c r="B26" s="7">
        <f t="shared" si="8"/>
        <v>423963.3549</v>
      </c>
      <c r="C26" s="7">
        <f t="shared" ref="C26:N26" si="9">C25-C23</f>
        <v>31135.38038</v>
      </c>
      <c r="D26" s="7">
        <f t="shared" si="9"/>
        <v>39282.79745</v>
      </c>
      <c r="E26" s="7">
        <f t="shared" si="9"/>
        <v>0</v>
      </c>
      <c r="F26" s="7">
        <f t="shared" si="9"/>
        <v>39282.79745</v>
      </c>
      <c r="G26" s="14">
        <f t="shared" si="9"/>
        <v>39282.79745</v>
      </c>
      <c r="H26" s="14">
        <f t="shared" si="9"/>
        <v>39282.79745</v>
      </c>
      <c r="I26" s="14">
        <f t="shared" si="9"/>
        <v>39282.79745</v>
      </c>
      <c r="J26" s="14">
        <f t="shared" si="9"/>
        <v>39282.79745</v>
      </c>
      <c r="K26" s="14">
        <f t="shared" si="9"/>
        <v>39282.79745</v>
      </c>
      <c r="L26" s="14">
        <f t="shared" si="9"/>
        <v>39282.79745</v>
      </c>
      <c r="M26" s="14">
        <f t="shared" si="9"/>
        <v>39282.79745</v>
      </c>
      <c r="N26" s="14">
        <f t="shared" si="9"/>
        <v>39282.79745</v>
      </c>
      <c r="O26" s="7"/>
      <c r="P26" s="7"/>
      <c r="Q26" s="7"/>
      <c r="R26" s="7"/>
    </row>
    <row r="27">
      <c r="A27" s="20"/>
      <c r="B27" s="7"/>
      <c r="C27" s="7"/>
      <c r="D27" s="7"/>
      <c r="E27" s="7"/>
      <c r="F27" s="7"/>
      <c r="G27" s="24"/>
      <c r="H27" s="24"/>
      <c r="I27" s="24"/>
      <c r="J27" s="24"/>
      <c r="K27" s="24"/>
      <c r="L27" s="24"/>
      <c r="M27" s="24"/>
      <c r="N27" s="24"/>
      <c r="O27" s="7"/>
      <c r="P27" s="7"/>
      <c r="Q27" s="7"/>
      <c r="R27" s="7"/>
    </row>
    <row r="28">
      <c r="A28" s="20"/>
      <c r="B28" s="7"/>
      <c r="C28" s="7"/>
      <c r="D28" s="7"/>
      <c r="E28" s="7"/>
      <c r="F28" s="7"/>
      <c r="G28" s="24"/>
      <c r="H28" s="24"/>
      <c r="I28" s="24"/>
      <c r="J28" s="24"/>
      <c r="K28" s="24"/>
      <c r="L28" s="24"/>
      <c r="M28" s="24"/>
      <c r="N28" s="24"/>
      <c r="O28" s="7"/>
      <c r="P28" s="7"/>
      <c r="Q28" s="7"/>
      <c r="R28" s="7"/>
    </row>
    <row r="29">
      <c r="A29" s="21" t="s">
        <v>22</v>
      </c>
      <c r="B29" s="22">
        <f t="shared" ref="B29:I29" si="10">(B25)*0.2</f>
        <v>90967.16667</v>
      </c>
      <c r="C29" s="22">
        <f t="shared" si="10"/>
        <v>8120.5</v>
      </c>
      <c r="D29" s="22">
        <f t="shared" si="10"/>
        <v>8284.666667</v>
      </c>
      <c r="E29" s="22">
        <f t="shared" si="10"/>
        <v>0</v>
      </c>
      <c r="F29" s="22">
        <f t="shared" si="10"/>
        <v>8284.666667</v>
      </c>
      <c r="G29" s="22">
        <f t="shared" si="10"/>
        <v>8284.666667</v>
      </c>
      <c r="H29" s="22">
        <f t="shared" si="10"/>
        <v>8284.666667</v>
      </c>
      <c r="I29" s="22">
        <f t="shared" si="10"/>
        <v>8284.666667</v>
      </c>
      <c r="J29" s="22">
        <f t="shared" ref="J29:M29" si="11">(J26)*0.2</f>
        <v>7856.55949</v>
      </c>
      <c r="K29" s="22">
        <f t="shared" si="11"/>
        <v>7856.55949</v>
      </c>
      <c r="L29" s="22">
        <f t="shared" si="11"/>
        <v>7856.55949</v>
      </c>
      <c r="M29" s="22">
        <f t="shared" si="11"/>
        <v>7856.55949</v>
      </c>
      <c r="N29" s="22">
        <f>(N25)*0.2</f>
        <v>8284.666667</v>
      </c>
      <c r="O29" s="19"/>
      <c r="P29" s="19"/>
      <c r="Q29" s="19"/>
      <c r="R29" s="19"/>
    </row>
    <row r="30">
      <c r="A30" s="16" t="s">
        <v>23</v>
      </c>
      <c r="B30" s="22">
        <f t="shared" ref="B30:N30" si="12">(B26)*0.8</f>
        <v>339170.6839</v>
      </c>
      <c r="C30" s="22">
        <f t="shared" si="12"/>
        <v>24908.30431</v>
      </c>
      <c r="D30" s="22">
        <f t="shared" si="12"/>
        <v>31426.23796</v>
      </c>
      <c r="E30" s="22">
        <f t="shared" si="12"/>
        <v>0</v>
      </c>
      <c r="F30" s="22">
        <f t="shared" si="12"/>
        <v>31426.23796</v>
      </c>
      <c r="G30" s="22">
        <f t="shared" si="12"/>
        <v>31426.23796</v>
      </c>
      <c r="H30" s="22">
        <f t="shared" si="12"/>
        <v>31426.23796</v>
      </c>
      <c r="I30" s="22">
        <f t="shared" si="12"/>
        <v>31426.23796</v>
      </c>
      <c r="J30" s="22">
        <f t="shared" si="12"/>
        <v>31426.23796</v>
      </c>
      <c r="K30" s="22">
        <f t="shared" si="12"/>
        <v>31426.23796</v>
      </c>
      <c r="L30" s="22">
        <f t="shared" si="12"/>
        <v>31426.23796</v>
      </c>
      <c r="M30" s="22">
        <f t="shared" si="12"/>
        <v>31426.23796</v>
      </c>
      <c r="N30" s="22">
        <f t="shared" si="12"/>
        <v>31426.23796</v>
      </c>
      <c r="O30" s="19"/>
      <c r="P30" s="19"/>
      <c r="Q30" s="19"/>
      <c r="R3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3.0"/>
    <col customWidth="1" min="4" max="4" width="25.75"/>
    <col customWidth="1" min="5" max="5" width="31.13"/>
    <col customWidth="1" min="6" max="6" width="20.75"/>
    <col customWidth="1" min="7" max="7" width="23.0"/>
    <col customWidth="1" min="8" max="8" width="20.88"/>
  </cols>
  <sheetData>
    <row r="1">
      <c r="A1" s="27" t="s">
        <v>24</v>
      </c>
      <c r="B1" s="10" t="s">
        <v>25</v>
      </c>
      <c r="C1" s="10" t="s">
        <v>26</v>
      </c>
      <c r="D1" s="28" t="s">
        <v>27</v>
      </c>
      <c r="H1" s="29"/>
      <c r="I1" s="30"/>
    </row>
    <row r="2">
      <c r="A2" s="31" t="s">
        <v>28</v>
      </c>
      <c r="B2" s="32"/>
      <c r="C2" s="33">
        <v>45705.41898148148</v>
      </c>
      <c r="D2" s="34">
        <v>800.0</v>
      </c>
    </row>
    <row r="3">
      <c r="A3" s="35" t="s">
        <v>29</v>
      </c>
      <c r="B3" s="35"/>
      <c r="C3" s="33">
        <v>45706.0</v>
      </c>
      <c r="D3" s="36">
        <v>100.0</v>
      </c>
    </row>
    <row r="4">
      <c r="A4" s="35" t="s">
        <v>30</v>
      </c>
      <c r="B4" s="35"/>
      <c r="C4" s="33">
        <v>45707.0</v>
      </c>
      <c r="D4" s="36">
        <v>800.0</v>
      </c>
    </row>
    <row r="5">
      <c r="A5" s="32" t="s">
        <v>31</v>
      </c>
      <c r="B5" s="35"/>
      <c r="C5" s="33">
        <v>45708.0</v>
      </c>
      <c r="D5" s="36">
        <v>3200.0</v>
      </c>
    </row>
    <row r="6">
      <c r="A6" s="32" t="s">
        <v>32</v>
      </c>
      <c r="B6" s="35" t="s">
        <v>33</v>
      </c>
      <c r="C6" s="33">
        <v>45709.0</v>
      </c>
      <c r="D6" s="36">
        <v>1600.0</v>
      </c>
    </row>
    <row r="7">
      <c r="A7" s="32" t="s">
        <v>34</v>
      </c>
      <c r="B7" s="35" t="s">
        <v>35</v>
      </c>
      <c r="C7" s="33">
        <v>45710.0</v>
      </c>
      <c r="D7" s="36">
        <v>100.0</v>
      </c>
    </row>
    <row r="8">
      <c r="A8" s="32" t="s">
        <v>36</v>
      </c>
      <c r="B8" s="35" t="s">
        <v>37</v>
      </c>
      <c r="C8" s="33">
        <v>45711.0</v>
      </c>
      <c r="D8" s="36">
        <v>800.0</v>
      </c>
    </row>
    <row r="9">
      <c r="A9" s="35" t="s">
        <v>38</v>
      </c>
      <c r="B9" s="35" t="s">
        <v>39</v>
      </c>
      <c r="C9" s="33">
        <v>45712.0</v>
      </c>
      <c r="D9" s="36">
        <v>100.0</v>
      </c>
    </row>
    <row r="10">
      <c r="A10" s="35" t="s">
        <v>38</v>
      </c>
      <c r="B10" s="35" t="s">
        <v>39</v>
      </c>
      <c r="C10" s="33">
        <v>45713.0</v>
      </c>
      <c r="D10" s="36">
        <v>100.0</v>
      </c>
    </row>
    <row r="11">
      <c r="A11" s="35" t="s">
        <v>40</v>
      </c>
      <c r="B11" s="35" t="s">
        <v>41</v>
      </c>
      <c r="C11" s="33">
        <v>45714.0</v>
      </c>
      <c r="D11" s="36">
        <v>400.0</v>
      </c>
    </row>
    <row r="12">
      <c r="A12" s="35" t="s">
        <v>42</v>
      </c>
      <c r="B12" s="35" t="s">
        <v>43</v>
      </c>
      <c r="C12" s="33">
        <v>45715.0</v>
      </c>
      <c r="D12" s="36">
        <v>100.0</v>
      </c>
    </row>
    <row r="13">
      <c r="A13" s="35" t="s">
        <v>44</v>
      </c>
      <c r="B13" s="35" t="s">
        <v>45</v>
      </c>
      <c r="C13" s="33">
        <v>45716.0</v>
      </c>
      <c r="D13" s="36">
        <v>200.0</v>
      </c>
    </row>
    <row r="14">
      <c r="A14" s="35" t="s">
        <v>46</v>
      </c>
      <c r="B14" s="35" t="s">
        <v>47</v>
      </c>
      <c r="C14" s="33">
        <v>45717.0</v>
      </c>
      <c r="D14" s="36">
        <v>1800.0</v>
      </c>
    </row>
    <row r="15">
      <c r="A15" s="35" t="s">
        <v>48</v>
      </c>
      <c r="B15" s="35" t="s">
        <v>49</v>
      </c>
      <c r="C15" s="37">
        <v>45717.0</v>
      </c>
      <c r="D15" s="36">
        <v>100.0</v>
      </c>
    </row>
    <row r="16">
      <c r="A16" s="35" t="s">
        <v>50</v>
      </c>
      <c r="B16" s="35" t="s">
        <v>51</v>
      </c>
      <c r="C16" s="37">
        <v>45718.0</v>
      </c>
      <c r="D16" s="36">
        <v>400.0</v>
      </c>
    </row>
    <row r="17">
      <c r="A17" s="35" t="s">
        <v>52</v>
      </c>
      <c r="B17" s="35" t="s">
        <v>53</v>
      </c>
      <c r="C17" s="37">
        <v>45719.0</v>
      </c>
      <c r="D17" s="36">
        <v>600.0</v>
      </c>
    </row>
    <row r="18">
      <c r="A18" s="35" t="s">
        <v>54</v>
      </c>
      <c r="B18" s="35" t="s">
        <v>55</v>
      </c>
      <c r="C18" s="37">
        <v>45720.0</v>
      </c>
      <c r="D18" s="36">
        <v>100.0</v>
      </c>
    </row>
    <row r="19">
      <c r="A19" s="35" t="s">
        <v>56</v>
      </c>
      <c r="B19" s="35" t="s">
        <v>57</v>
      </c>
      <c r="C19" s="37">
        <v>45721.0</v>
      </c>
      <c r="D19" s="36">
        <v>400.0</v>
      </c>
    </row>
    <row r="20">
      <c r="A20" s="35" t="s">
        <v>34</v>
      </c>
      <c r="B20" s="35" t="s">
        <v>35</v>
      </c>
      <c r="C20" s="37">
        <v>45722.0</v>
      </c>
      <c r="D20" s="36">
        <v>433.0</v>
      </c>
    </row>
    <row r="21">
      <c r="A21" s="35" t="s">
        <v>48</v>
      </c>
      <c r="B21" s="35" t="s">
        <v>49</v>
      </c>
      <c r="C21" s="37">
        <v>45723.0</v>
      </c>
      <c r="D21" s="36">
        <v>500.0</v>
      </c>
    </row>
    <row r="22">
      <c r="A22" s="35" t="s">
        <v>58</v>
      </c>
      <c r="B22" s="35" t="s">
        <v>59</v>
      </c>
      <c r="C22" s="37">
        <v>45724.0</v>
      </c>
      <c r="D22" s="36">
        <v>100.0</v>
      </c>
    </row>
    <row r="23">
      <c r="A23" s="35" t="s">
        <v>60</v>
      </c>
      <c r="B23" s="35" t="s">
        <v>61</v>
      </c>
      <c r="C23" s="37">
        <v>45725.0</v>
      </c>
      <c r="D23" s="36">
        <v>400.0</v>
      </c>
    </row>
    <row r="24">
      <c r="A24" s="35" t="s">
        <v>62</v>
      </c>
      <c r="B24" s="35" t="s">
        <v>63</v>
      </c>
      <c r="C24" s="37">
        <v>45726.0</v>
      </c>
      <c r="D24" s="36">
        <v>100.0</v>
      </c>
    </row>
    <row r="25">
      <c r="A25" s="35" t="s">
        <v>64</v>
      </c>
      <c r="B25" s="35" t="s">
        <v>65</v>
      </c>
      <c r="C25" s="37">
        <v>45727.0</v>
      </c>
      <c r="D25" s="36">
        <v>600.0</v>
      </c>
    </row>
    <row r="26">
      <c r="A26" s="35" t="s">
        <v>66</v>
      </c>
      <c r="B26" s="35" t="s">
        <v>67</v>
      </c>
      <c r="C26" s="37">
        <v>45728.0</v>
      </c>
      <c r="D26" s="36">
        <v>100.0</v>
      </c>
    </row>
    <row r="27">
      <c r="A27" s="35" t="s">
        <v>38</v>
      </c>
      <c r="B27" s="35" t="s">
        <v>39</v>
      </c>
      <c r="C27" s="37">
        <v>45729.0</v>
      </c>
      <c r="D27" s="36">
        <v>600.0</v>
      </c>
    </row>
    <row r="28">
      <c r="A28" s="35" t="s">
        <v>62</v>
      </c>
      <c r="B28" s="35" t="s">
        <v>63</v>
      </c>
      <c r="C28" s="37">
        <v>45730.0</v>
      </c>
      <c r="D28" s="36">
        <v>400.0</v>
      </c>
    </row>
    <row r="29">
      <c r="A29" s="35" t="s">
        <v>62</v>
      </c>
      <c r="B29" s="35" t="s">
        <v>63</v>
      </c>
      <c r="C29" s="37">
        <v>45731.0</v>
      </c>
      <c r="D29" s="36">
        <v>100.0</v>
      </c>
    </row>
    <row r="30">
      <c r="A30" s="35" t="s">
        <v>68</v>
      </c>
      <c r="B30" s="35" t="s">
        <v>69</v>
      </c>
      <c r="C30" s="37">
        <v>45732.0</v>
      </c>
      <c r="D30" s="36">
        <v>100.0</v>
      </c>
    </row>
    <row r="31">
      <c r="A31" s="35" t="s">
        <v>70</v>
      </c>
      <c r="B31" s="35" t="s">
        <v>71</v>
      </c>
      <c r="C31" s="37">
        <v>45733.0</v>
      </c>
      <c r="D31" s="36">
        <v>100.0</v>
      </c>
    </row>
    <row r="32">
      <c r="A32" s="32" t="s">
        <v>72</v>
      </c>
      <c r="B32" s="32" t="s">
        <v>73</v>
      </c>
      <c r="C32" s="37">
        <v>45734.0</v>
      </c>
      <c r="D32" s="38">
        <v>400.0</v>
      </c>
    </row>
    <row r="33">
      <c r="A33" s="32" t="s">
        <v>74</v>
      </c>
      <c r="B33" s="32" t="s">
        <v>75</v>
      </c>
      <c r="C33" s="37">
        <v>45735.0</v>
      </c>
      <c r="D33" s="38">
        <v>100.0</v>
      </c>
    </row>
    <row r="34">
      <c r="A34" s="32" t="s">
        <v>76</v>
      </c>
      <c r="B34" s="32" t="s">
        <v>77</v>
      </c>
      <c r="C34" s="37">
        <v>45736.0</v>
      </c>
      <c r="D34" s="38">
        <v>600.0</v>
      </c>
    </row>
    <row r="35">
      <c r="A35" s="32" t="s">
        <v>78</v>
      </c>
      <c r="B35" s="32" t="s">
        <v>79</v>
      </c>
      <c r="C35" s="37">
        <v>45737.0</v>
      </c>
      <c r="D35" s="38">
        <v>800.0</v>
      </c>
    </row>
    <row r="36">
      <c r="A36" s="32" t="s">
        <v>80</v>
      </c>
      <c r="B36" s="32" t="s">
        <v>81</v>
      </c>
      <c r="C36" s="37">
        <v>45738.0</v>
      </c>
      <c r="D36" s="38">
        <v>600.0</v>
      </c>
    </row>
    <row r="37">
      <c r="A37" s="32" t="s">
        <v>82</v>
      </c>
      <c r="B37" s="32" t="s">
        <v>83</v>
      </c>
      <c r="C37" s="37">
        <v>45739.0</v>
      </c>
      <c r="D37" s="38">
        <v>600.0</v>
      </c>
    </row>
    <row r="38">
      <c r="A38" s="32" t="s">
        <v>84</v>
      </c>
      <c r="B38" s="32" t="s">
        <v>85</v>
      </c>
      <c r="C38" s="37">
        <v>45740.0</v>
      </c>
      <c r="D38" s="38">
        <v>1100.0</v>
      </c>
    </row>
    <row r="39">
      <c r="A39" s="32" t="s">
        <v>86</v>
      </c>
      <c r="B39" s="32" t="s">
        <v>87</v>
      </c>
      <c r="C39" s="37">
        <v>45741.0</v>
      </c>
      <c r="D39" s="38">
        <v>400.0</v>
      </c>
    </row>
    <row r="40">
      <c r="A40" s="32" t="s">
        <v>88</v>
      </c>
      <c r="B40" s="32" t="s">
        <v>89</v>
      </c>
      <c r="C40" s="37">
        <v>45742.0</v>
      </c>
      <c r="D40" s="38">
        <v>600.0</v>
      </c>
    </row>
    <row r="41">
      <c r="A41" s="32" t="s">
        <v>90</v>
      </c>
      <c r="B41" s="32" t="s">
        <v>91</v>
      </c>
      <c r="C41" s="37">
        <v>45743.0</v>
      </c>
      <c r="D41" s="38">
        <v>600.0</v>
      </c>
    </row>
    <row r="42">
      <c r="A42" s="32" t="s">
        <v>92</v>
      </c>
      <c r="B42" s="32" t="s">
        <v>93</v>
      </c>
      <c r="C42" s="37">
        <v>45744.0</v>
      </c>
      <c r="D42" s="38">
        <v>400.0</v>
      </c>
    </row>
    <row r="43">
      <c r="A43" s="32" t="s">
        <v>94</v>
      </c>
      <c r="B43" s="32" t="s">
        <v>95</v>
      </c>
      <c r="C43" s="37">
        <v>45745.0</v>
      </c>
      <c r="D43" s="38">
        <v>600.0</v>
      </c>
    </row>
    <row r="44">
      <c r="A44" s="32" t="s">
        <v>96</v>
      </c>
      <c r="B44" s="32" t="s">
        <v>97</v>
      </c>
      <c r="C44" s="37">
        <v>45746.0</v>
      </c>
      <c r="D44" s="38">
        <v>500.0</v>
      </c>
    </row>
    <row r="45">
      <c r="A45" s="35" t="s">
        <v>74</v>
      </c>
      <c r="B45" s="35" t="s">
        <v>75</v>
      </c>
      <c r="C45" s="37">
        <v>45747.0</v>
      </c>
      <c r="D45" s="36">
        <v>300.0</v>
      </c>
    </row>
    <row r="46">
      <c r="A46" s="32" t="s">
        <v>98</v>
      </c>
      <c r="B46" s="32" t="s">
        <v>99</v>
      </c>
      <c r="C46" s="37">
        <v>45748.0</v>
      </c>
      <c r="D46" s="38">
        <v>300.0</v>
      </c>
    </row>
    <row r="47">
      <c r="A47" s="32" t="s">
        <v>100</v>
      </c>
      <c r="B47" s="32" t="s">
        <v>101</v>
      </c>
      <c r="C47" s="37">
        <v>45749.0</v>
      </c>
      <c r="D47" s="38">
        <v>400.0</v>
      </c>
    </row>
    <row r="48">
      <c r="A48" s="32" t="s">
        <v>102</v>
      </c>
      <c r="B48" s="32" t="s">
        <v>103</v>
      </c>
      <c r="C48" s="37">
        <v>45750.0</v>
      </c>
      <c r="D48" s="38">
        <v>600.0</v>
      </c>
    </row>
    <row r="49">
      <c r="A49" s="32" t="s">
        <v>104</v>
      </c>
      <c r="B49" s="32" t="s">
        <v>105</v>
      </c>
      <c r="C49" s="37">
        <v>45748.0</v>
      </c>
      <c r="D49" s="38">
        <v>100.0</v>
      </c>
    </row>
    <row r="50">
      <c r="A50" s="32" t="s">
        <v>106</v>
      </c>
      <c r="B50" s="32" t="s">
        <v>107</v>
      </c>
      <c r="C50" s="37">
        <v>45749.0</v>
      </c>
      <c r="D50" s="38">
        <v>1800.0</v>
      </c>
    </row>
    <row r="51">
      <c r="A51" s="32" t="s">
        <v>108</v>
      </c>
      <c r="B51" s="32" t="s">
        <v>109</v>
      </c>
      <c r="C51" s="37">
        <v>45750.0</v>
      </c>
      <c r="D51" s="38">
        <v>400.0</v>
      </c>
    </row>
    <row r="52">
      <c r="A52" s="32"/>
      <c r="B52" s="32"/>
      <c r="C52" s="37">
        <v>45751.0</v>
      </c>
      <c r="D52" s="38">
        <v>800.0</v>
      </c>
    </row>
    <row r="53">
      <c r="A53" s="32" t="s">
        <v>110</v>
      </c>
      <c r="B53" s="32" t="s">
        <v>111</v>
      </c>
      <c r="C53" s="37">
        <v>45752.0</v>
      </c>
      <c r="D53" s="38">
        <v>100.0</v>
      </c>
    </row>
    <row r="54">
      <c r="A54" s="32" t="s">
        <v>112</v>
      </c>
      <c r="B54" s="32" t="s">
        <v>113</v>
      </c>
      <c r="C54" s="37">
        <v>45753.0</v>
      </c>
      <c r="D54" s="38">
        <v>600.0</v>
      </c>
    </row>
    <row r="55">
      <c r="A55" s="32" t="s">
        <v>114</v>
      </c>
      <c r="B55" s="32" t="s">
        <v>115</v>
      </c>
      <c r="C55" s="37">
        <v>45754.0</v>
      </c>
      <c r="D55" s="39">
        <v>420.0</v>
      </c>
    </row>
    <row r="56">
      <c r="A56" s="40" t="s">
        <v>116</v>
      </c>
      <c r="B56" s="40"/>
      <c r="C56" s="37">
        <v>45754.0</v>
      </c>
      <c r="D56" s="39">
        <v>400.0</v>
      </c>
      <c r="G56" s="6" t="s">
        <v>117</v>
      </c>
    </row>
    <row r="57">
      <c r="A57" s="6" t="s">
        <v>118</v>
      </c>
      <c r="C57" s="37">
        <v>45754.0</v>
      </c>
      <c r="D57" s="6">
        <v>400.0</v>
      </c>
    </row>
    <row r="58">
      <c r="A58" s="6" t="s">
        <v>119</v>
      </c>
      <c r="C58" s="37">
        <v>45754.0</v>
      </c>
      <c r="D58" s="6">
        <v>200.0</v>
      </c>
    </row>
    <row r="59">
      <c r="A59" s="6" t="s">
        <v>120</v>
      </c>
      <c r="B59" s="6" t="s">
        <v>121</v>
      </c>
      <c r="C59" s="37">
        <v>45754.0</v>
      </c>
      <c r="D59" s="6">
        <v>600.0</v>
      </c>
      <c r="G59" s="6" t="s">
        <v>117</v>
      </c>
    </row>
    <row r="60">
      <c r="A60" s="6"/>
      <c r="B60" s="6"/>
      <c r="C60" s="37">
        <v>45754.0</v>
      </c>
      <c r="D60" s="6">
        <v>533.0</v>
      </c>
      <c r="G60" s="6" t="s">
        <v>117</v>
      </c>
    </row>
    <row r="61">
      <c r="A61" s="6"/>
      <c r="B61" s="6"/>
      <c r="C61" s="37">
        <v>45754.0</v>
      </c>
      <c r="D61" s="6">
        <v>400.0</v>
      </c>
      <c r="G61" s="6" t="s">
        <v>117</v>
      </c>
    </row>
    <row r="62">
      <c r="A62" s="6" t="s">
        <v>122</v>
      </c>
      <c r="B62" s="6" t="s">
        <v>123</v>
      </c>
      <c r="C62" s="37">
        <v>45754.0</v>
      </c>
      <c r="D62" s="6">
        <v>100.0</v>
      </c>
      <c r="G62" s="6" t="s">
        <v>117</v>
      </c>
    </row>
    <row r="63">
      <c r="A63" s="6" t="s">
        <v>44</v>
      </c>
      <c r="B63" s="6" t="s">
        <v>124</v>
      </c>
      <c r="C63" s="37">
        <v>45754.0</v>
      </c>
      <c r="D63" s="6">
        <v>200.0</v>
      </c>
      <c r="G63" s="6" t="s">
        <v>125</v>
      </c>
    </row>
    <row r="64">
      <c r="A64" s="6"/>
      <c r="B64" s="6"/>
      <c r="C64" s="41">
        <v>45760.831608796296</v>
      </c>
      <c r="D64" s="6">
        <v>400.0</v>
      </c>
      <c r="G64" s="6" t="s">
        <v>117</v>
      </c>
    </row>
    <row r="65">
      <c r="A65" s="6" t="s">
        <v>126</v>
      </c>
      <c r="B65" s="6" t="s">
        <v>127</v>
      </c>
      <c r="C65" s="41">
        <v>45761.362488425926</v>
      </c>
      <c r="D65" s="6">
        <v>600.0</v>
      </c>
      <c r="G65" s="6" t="s">
        <v>117</v>
      </c>
    </row>
    <row r="66">
      <c r="A66" s="6" t="s">
        <v>128</v>
      </c>
      <c r="B66" s="6" t="s">
        <v>129</v>
      </c>
      <c r="C66" s="41">
        <v>45761.53326388889</v>
      </c>
      <c r="D66" s="6">
        <v>600.0</v>
      </c>
      <c r="G66" s="6" t="s">
        <v>117</v>
      </c>
    </row>
    <row r="67">
      <c r="A67" s="6"/>
      <c r="B67" s="6"/>
      <c r="C67" s="41">
        <v>45762.74524305556</v>
      </c>
      <c r="D67" s="6">
        <v>200.0</v>
      </c>
      <c r="G67" s="6" t="s">
        <v>117</v>
      </c>
    </row>
    <row r="68">
      <c r="A68" s="6" t="s">
        <v>98</v>
      </c>
      <c r="B68" s="6" t="s">
        <v>99</v>
      </c>
      <c r="C68" s="41">
        <v>45763.53795138889</v>
      </c>
      <c r="D68" s="6">
        <v>900.0</v>
      </c>
      <c r="G68" s="6" t="s">
        <v>117</v>
      </c>
    </row>
    <row r="69">
      <c r="A69" s="6" t="s">
        <v>108</v>
      </c>
      <c r="B69" s="6" t="s">
        <v>109</v>
      </c>
      <c r="C69" s="41">
        <v>45763.592777777776</v>
      </c>
      <c r="D69" s="6">
        <v>1400.0</v>
      </c>
      <c r="G69" s="6" t="s">
        <v>117</v>
      </c>
    </row>
    <row r="70">
      <c r="A70" s="6" t="s">
        <v>72</v>
      </c>
      <c r="B70" s="6"/>
      <c r="C70" s="41">
        <v>45764.132731481484</v>
      </c>
      <c r="D70" s="6">
        <v>200.0</v>
      </c>
      <c r="G70" s="6" t="s">
        <v>117</v>
      </c>
    </row>
    <row r="71">
      <c r="A71" s="6" t="s">
        <v>82</v>
      </c>
      <c r="B71" s="6"/>
      <c r="C71" s="41">
        <v>45765.52584490741</v>
      </c>
      <c r="D71" s="6">
        <v>400.0</v>
      </c>
      <c r="G71" s="6" t="s">
        <v>117</v>
      </c>
    </row>
    <row r="72">
      <c r="A72" s="6" t="s">
        <v>130</v>
      </c>
      <c r="B72" s="6" t="s">
        <v>131</v>
      </c>
      <c r="C72" s="41">
        <v>45766.4037962963</v>
      </c>
      <c r="D72" s="6">
        <v>200.0</v>
      </c>
      <c r="G72" s="6" t="s">
        <v>117</v>
      </c>
    </row>
    <row r="73">
      <c r="A73" s="6" t="s">
        <v>40</v>
      </c>
      <c r="B73" s="6" t="s">
        <v>132</v>
      </c>
      <c r="C73" s="41">
        <v>45767.184525462966</v>
      </c>
      <c r="D73" s="6">
        <v>400.0</v>
      </c>
      <c r="G73" s="6" t="s">
        <v>117</v>
      </c>
    </row>
    <row r="74">
      <c r="A74" s="6" t="s">
        <v>130</v>
      </c>
      <c r="B74" s="6" t="s">
        <v>131</v>
      </c>
      <c r="C74" s="41">
        <v>45770.40162037037</v>
      </c>
      <c r="D74" s="6">
        <v>400.0</v>
      </c>
      <c r="G74" s="6" t="s">
        <v>117</v>
      </c>
    </row>
    <row r="75">
      <c r="A75" s="6" t="s">
        <v>133</v>
      </c>
      <c r="B75" s="6" t="s">
        <v>134</v>
      </c>
      <c r="C75" s="41">
        <v>45770.774097222224</v>
      </c>
      <c r="D75" s="6">
        <v>400.0</v>
      </c>
      <c r="G75" s="6" t="s">
        <v>117</v>
      </c>
    </row>
    <row r="76">
      <c r="A76" s="6" t="s">
        <v>135</v>
      </c>
      <c r="B76" s="6" t="s">
        <v>136</v>
      </c>
      <c r="C76" s="41">
        <v>45770.860810185186</v>
      </c>
      <c r="D76" s="6">
        <v>400.0</v>
      </c>
      <c r="G76" s="6" t="s">
        <v>117</v>
      </c>
    </row>
    <row r="77">
      <c r="A77" s="6" t="s">
        <v>110</v>
      </c>
      <c r="B77" s="6" t="s">
        <v>111</v>
      </c>
      <c r="C77" s="41">
        <v>45772.38</v>
      </c>
      <c r="D77" s="6">
        <v>300.0</v>
      </c>
      <c r="G77" s="6" t="s">
        <v>117</v>
      </c>
    </row>
    <row r="78">
      <c r="A78" s="6" t="s">
        <v>137</v>
      </c>
      <c r="B78" s="6" t="s">
        <v>138</v>
      </c>
      <c r="C78" s="41">
        <v>45773.42457175926</v>
      </c>
      <c r="D78" s="6">
        <v>600.0</v>
      </c>
      <c r="G78" s="6" t="s">
        <v>117</v>
      </c>
    </row>
    <row r="79">
      <c r="A79" s="6" t="s">
        <v>88</v>
      </c>
      <c r="B79" s="6"/>
      <c r="C79" s="41">
        <v>45773.812939814816</v>
      </c>
      <c r="D79" s="6">
        <v>400.0</v>
      </c>
      <c r="G79" s="6" t="s">
        <v>117</v>
      </c>
    </row>
    <row r="80">
      <c r="A80" s="6" t="s">
        <v>139</v>
      </c>
      <c r="B80" s="6" t="s">
        <v>140</v>
      </c>
      <c r="C80" s="41">
        <v>45775.11318287037</v>
      </c>
      <c r="D80" s="6">
        <v>600.0</v>
      </c>
      <c r="G80" s="6" t="s">
        <v>117</v>
      </c>
    </row>
    <row r="81">
      <c r="A81" s="6" t="s">
        <v>141</v>
      </c>
      <c r="B81" s="6"/>
      <c r="C81" s="41">
        <v>45776.74613425926</v>
      </c>
      <c r="D81" s="6">
        <v>400.0</v>
      </c>
      <c r="G81" s="6" t="s">
        <v>117</v>
      </c>
    </row>
    <row r="82">
      <c r="A82" s="6" t="s">
        <v>142</v>
      </c>
      <c r="B82" s="6" t="s">
        <v>143</v>
      </c>
      <c r="C82" s="41">
        <v>45777.45753472222</v>
      </c>
      <c r="D82" s="6">
        <v>2200.0</v>
      </c>
      <c r="G82" s="6" t="s">
        <v>117</v>
      </c>
    </row>
    <row r="83">
      <c r="A83" s="6" t="s">
        <v>102</v>
      </c>
      <c r="B83" s="6"/>
      <c r="C83" s="41">
        <v>45777.587534722225</v>
      </c>
      <c r="D83" s="6">
        <v>400.0</v>
      </c>
      <c r="G83" s="6" t="s">
        <v>117</v>
      </c>
    </row>
    <row r="84">
      <c r="A84" s="6" t="s">
        <v>38</v>
      </c>
      <c r="B84" s="6"/>
      <c r="C84" s="41">
        <v>45779.786099537036</v>
      </c>
      <c r="D84" s="6">
        <v>400.0</v>
      </c>
      <c r="G84" s="6" t="s">
        <v>117</v>
      </c>
    </row>
    <row r="85">
      <c r="A85" s="6" t="s">
        <v>144</v>
      </c>
      <c r="B85" s="6" t="s">
        <v>145</v>
      </c>
      <c r="C85" s="41">
        <v>45782.481782407405</v>
      </c>
      <c r="D85" s="6">
        <v>300.0</v>
      </c>
      <c r="G85" s="6" t="s">
        <v>117</v>
      </c>
    </row>
    <row r="86">
      <c r="A86" s="6" t="s">
        <v>146</v>
      </c>
      <c r="B86" s="6" t="s">
        <v>145</v>
      </c>
      <c r="C86" s="41">
        <v>45782.53733796296</v>
      </c>
      <c r="D86" s="6">
        <v>300.0</v>
      </c>
      <c r="G86" s="6" t="s">
        <v>117</v>
      </c>
    </row>
    <row r="87">
      <c r="A87" s="6" t="s">
        <v>147</v>
      </c>
      <c r="B87" s="6" t="s">
        <v>148</v>
      </c>
      <c r="C87" s="41">
        <v>45783.40398148148</v>
      </c>
      <c r="D87" s="6">
        <v>400.0</v>
      </c>
      <c r="G87" s="6" t="s">
        <v>117</v>
      </c>
    </row>
    <row r="88">
      <c r="A88" s="6" t="s">
        <v>48</v>
      </c>
      <c r="B88" s="6"/>
      <c r="C88" s="41">
        <v>45784.29603009259</v>
      </c>
      <c r="D88" s="6">
        <v>400.0</v>
      </c>
      <c r="G88" s="6" t="s">
        <v>117</v>
      </c>
    </row>
    <row r="89">
      <c r="A89" s="6"/>
      <c r="B89" s="6"/>
      <c r="C89" s="41">
        <v>45784.29605324074</v>
      </c>
      <c r="D89" s="6">
        <v>533.0</v>
      </c>
      <c r="G89" s="6" t="s">
        <v>117</v>
      </c>
    </row>
    <row r="90">
      <c r="A90" s="6" t="s">
        <v>149</v>
      </c>
      <c r="B90" s="6" t="s">
        <v>150</v>
      </c>
      <c r="C90" s="41">
        <v>45784.52962962963</v>
      </c>
      <c r="D90" s="6">
        <v>600.0</v>
      </c>
      <c r="G90" s="6" t="s">
        <v>117</v>
      </c>
    </row>
    <row r="91">
      <c r="A91" s="6" t="s">
        <v>151</v>
      </c>
      <c r="B91" s="6" t="s">
        <v>152</v>
      </c>
      <c r="C91" s="41">
        <v>45784.58765046296</v>
      </c>
      <c r="D91" s="6">
        <v>1200.0</v>
      </c>
      <c r="G91" s="6" t="s">
        <v>117</v>
      </c>
    </row>
    <row r="92">
      <c r="A92" s="6" t="s">
        <v>60</v>
      </c>
      <c r="B92" s="6"/>
      <c r="C92" s="41">
        <v>45785.29555555555</v>
      </c>
      <c r="D92" s="6">
        <v>200.0</v>
      </c>
      <c r="G92" s="6" t="s">
        <v>117</v>
      </c>
    </row>
    <row r="93">
      <c r="A93" s="6"/>
      <c r="B93" s="6"/>
      <c r="C93" s="41">
        <v>45785.295636574076</v>
      </c>
      <c r="D93" s="6">
        <v>400.0</v>
      </c>
      <c r="G93" s="6" t="s">
        <v>117</v>
      </c>
    </row>
    <row r="94">
      <c r="A94" s="6" t="s">
        <v>120</v>
      </c>
      <c r="B94" s="6"/>
      <c r="C94" s="41">
        <v>45785.50241898148</v>
      </c>
      <c r="D94" s="6">
        <v>400.0</v>
      </c>
      <c r="G94" s="6" t="s">
        <v>117</v>
      </c>
    </row>
    <row r="95">
      <c r="A95" s="6" t="s">
        <v>78</v>
      </c>
      <c r="B95" s="6" t="s">
        <v>79</v>
      </c>
      <c r="C95" s="41">
        <v>45785.58284722222</v>
      </c>
      <c r="D95" s="6">
        <v>800.0</v>
      </c>
      <c r="G95" s="6" t="s">
        <v>117</v>
      </c>
    </row>
    <row r="96">
      <c r="A96" s="6" t="s">
        <v>38</v>
      </c>
      <c r="B96" s="6"/>
      <c r="C96" s="41">
        <v>45787.296319444446</v>
      </c>
      <c r="D96" s="6">
        <v>400.0</v>
      </c>
      <c r="G96" s="6" t="s">
        <v>117</v>
      </c>
    </row>
    <row r="97">
      <c r="A97" s="6"/>
      <c r="B97" s="6"/>
      <c r="C97" s="41">
        <v>45785.295590277776</v>
      </c>
      <c r="D97" s="6">
        <v>400.0</v>
      </c>
      <c r="G97" s="6" t="s">
        <v>117</v>
      </c>
    </row>
    <row r="98">
      <c r="A98" s="6"/>
      <c r="B98" s="6"/>
      <c r="C98" s="41">
        <v>45783.296111111114</v>
      </c>
      <c r="D98" s="6">
        <v>200.0</v>
      </c>
      <c r="G98" s="6" t="s">
        <v>117</v>
      </c>
    </row>
    <row r="99">
      <c r="A99" s="6" t="s">
        <v>153</v>
      </c>
      <c r="B99" s="6"/>
      <c r="C99" s="41">
        <v>45791.574375</v>
      </c>
      <c r="D99" s="6">
        <v>1030.0</v>
      </c>
      <c r="G99" s="6" t="s">
        <v>154</v>
      </c>
    </row>
    <row r="100">
      <c r="A100" s="6" t="s">
        <v>155</v>
      </c>
      <c r="B100" s="6" t="s">
        <v>156</v>
      </c>
      <c r="C100" s="41">
        <v>45792.06597222222</v>
      </c>
      <c r="D100" s="6">
        <v>600.0</v>
      </c>
      <c r="G100" s="6" t="s">
        <v>117</v>
      </c>
    </row>
    <row r="101">
      <c r="A101" s="6" t="s">
        <v>157</v>
      </c>
      <c r="B101" s="6"/>
      <c r="C101" s="41">
        <v>45793.81961805555</v>
      </c>
      <c r="D101" s="6">
        <v>200.0</v>
      </c>
      <c r="G101" s="6" t="s">
        <v>117</v>
      </c>
    </row>
    <row r="102">
      <c r="A102" s="6"/>
      <c r="B102" s="6"/>
      <c r="C102" s="41">
        <v>45794.33840277778</v>
      </c>
      <c r="D102" s="6">
        <v>2250.0</v>
      </c>
      <c r="G102" s="6" t="s">
        <v>154</v>
      </c>
    </row>
    <row r="103">
      <c r="A103" s="6" t="s">
        <v>158</v>
      </c>
      <c r="B103" s="6" t="s">
        <v>159</v>
      </c>
      <c r="C103" s="41">
        <v>45796.86701388889</v>
      </c>
      <c r="D103" s="6">
        <v>800.0</v>
      </c>
      <c r="G103" s="6" t="s">
        <v>117</v>
      </c>
    </row>
    <row r="104">
      <c r="A104" s="6" t="s">
        <v>160</v>
      </c>
      <c r="B104" s="6" t="s">
        <v>161</v>
      </c>
      <c r="C104" s="41">
        <v>45798.70563657407</v>
      </c>
      <c r="D104" s="6">
        <v>100.0</v>
      </c>
      <c r="G104" s="6" t="s">
        <v>117</v>
      </c>
    </row>
    <row r="105">
      <c r="A105" s="6" t="s">
        <v>88</v>
      </c>
      <c r="B105" s="6"/>
      <c r="C105" s="41">
        <v>45799.29503472222</v>
      </c>
      <c r="D105" s="6">
        <v>400.0</v>
      </c>
      <c r="G105" s="6" t="s">
        <v>117</v>
      </c>
    </row>
    <row r="106">
      <c r="A106" s="6"/>
      <c r="B106" s="6"/>
      <c r="C106" s="41">
        <v>45799.83660879629</v>
      </c>
      <c r="D106" s="6">
        <v>400.0</v>
      </c>
      <c r="G106" s="6" t="s">
        <v>117</v>
      </c>
    </row>
    <row r="107">
      <c r="A107" s="6" t="s">
        <v>141</v>
      </c>
      <c r="B107" s="6"/>
      <c r="C107" s="41">
        <v>45794.2959837963</v>
      </c>
      <c r="D107" s="6">
        <v>400.0</v>
      </c>
      <c r="G107" s="6" t="s">
        <v>117</v>
      </c>
    </row>
    <row r="108">
      <c r="A108" s="6" t="s">
        <v>82</v>
      </c>
      <c r="B108" s="6"/>
      <c r="C108" s="41">
        <v>45800.27633101852</v>
      </c>
      <c r="D108" s="6">
        <v>400.0</v>
      </c>
      <c r="G108" s="6" t="s">
        <v>117</v>
      </c>
    </row>
    <row r="109">
      <c r="A109" s="6" t="s">
        <v>162</v>
      </c>
      <c r="B109" s="6"/>
      <c r="C109" s="41">
        <v>45805.304189814815</v>
      </c>
      <c r="D109" s="6">
        <v>400.0</v>
      </c>
      <c r="G109" s="6" t="s">
        <v>117</v>
      </c>
    </row>
    <row r="110">
      <c r="A110" s="6" t="s">
        <v>102</v>
      </c>
      <c r="B110" s="6"/>
      <c r="C110" s="41">
        <v>45807.29384259259</v>
      </c>
      <c r="D110" s="6">
        <v>400.0</v>
      </c>
      <c r="G110" s="6" t="s">
        <v>117</v>
      </c>
    </row>
    <row r="111">
      <c r="A111" s="6" t="s">
        <v>163</v>
      </c>
      <c r="C111" s="41">
        <v>45807.29384259259</v>
      </c>
      <c r="D111" s="6">
        <v>2200.0</v>
      </c>
    </row>
    <row r="112">
      <c r="A112" s="6" t="s">
        <v>164</v>
      </c>
      <c r="B112" s="6" t="s">
        <v>165</v>
      </c>
      <c r="C112" s="41">
        <v>45807.57050925926</v>
      </c>
      <c r="D112" s="6">
        <v>300.0</v>
      </c>
      <c r="G112" s="6" t="s">
        <v>117</v>
      </c>
    </row>
    <row r="113">
      <c r="A113" s="6" t="s">
        <v>164</v>
      </c>
      <c r="B113" s="6" t="s">
        <v>165</v>
      </c>
      <c r="C113" s="41">
        <v>45807.571550925924</v>
      </c>
      <c r="D113" s="6">
        <v>100.0</v>
      </c>
      <c r="G113" s="6" t="s">
        <v>117</v>
      </c>
    </row>
    <row r="114">
      <c r="A114" s="6" t="s">
        <v>166</v>
      </c>
      <c r="B114" s="6"/>
      <c r="C114" s="41">
        <v>45808.31875</v>
      </c>
      <c r="D114" s="6">
        <v>2300.0</v>
      </c>
      <c r="G114" s="6" t="s">
        <v>117</v>
      </c>
    </row>
    <row r="115">
      <c r="A115" s="6"/>
      <c r="B115" s="6"/>
      <c r="C115" s="41">
        <v>45810.51011574074</v>
      </c>
      <c r="D115" s="6">
        <v>400.0</v>
      </c>
      <c r="G115" s="6" t="s">
        <v>117</v>
      </c>
    </row>
    <row r="116">
      <c r="A116" s="6" t="s">
        <v>167</v>
      </c>
      <c r="B116" s="6" t="s">
        <v>168</v>
      </c>
      <c r="C116" s="41">
        <v>45811.73403935185</v>
      </c>
      <c r="D116" s="6">
        <v>600.0</v>
      </c>
      <c r="G116" s="6" t="s">
        <v>117</v>
      </c>
    </row>
    <row r="117">
      <c r="A117" s="6" t="s">
        <v>147</v>
      </c>
      <c r="B117" s="6"/>
      <c r="C117" s="41">
        <v>45814.314884259256</v>
      </c>
      <c r="D117" s="6">
        <v>250.0</v>
      </c>
      <c r="G117" s="6" t="s">
        <v>117</v>
      </c>
    </row>
    <row r="118">
      <c r="A118" s="6" t="s">
        <v>48</v>
      </c>
      <c r="B118" s="6"/>
      <c r="C118" s="41">
        <v>45815.29552083334</v>
      </c>
      <c r="D118" s="6">
        <v>400.0</v>
      </c>
      <c r="G118" s="6" t="s">
        <v>117</v>
      </c>
    </row>
    <row r="119">
      <c r="A119" s="6" t="s">
        <v>120</v>
      </c>
      <c r="B119" s="6"/>
      <c r="C119" s="41">
        <v>45816.29578703704</v>
      </c>
      <c r="D119" s="6">
        <v>400.0</v>
      </c>
      <c r="G119" s="6" t="s">
        <v>117</v>
      </c>
    </row>
    <row r="120">
      <c r="A120" s="6"/>
      <c r="B120" s="6"/>
      <c r="C120" s="41">
        <v>45816.29545138889</v>
      </c>
      <c r="D120" s="6">
        <v>400.0</v>
      </c>
      <c r="G120" s="6" t="s">
        <v>117</v>
      </c>
    </row>
    <row r="121">
      <c r="A121" s="6" t="s">
        <v>169</v>
      </c>
      <c r="B121" s="6" t="s">
        <v>170</v>
      </c>
      <c r="C121" s="41">
        <v>45819.69032407407</v>
      </c>
      <c r="D121" s="6">
        <v>2200.0</v>
      </c>
      <c r="G121" s="6" t="s">
        <v>117</v>
      </c>
    </row>
    <row r="122">
      <c r="A122" s="6"/>
      <c r="B122" s="6"/>
      <c r="C122" s="41">
        <v>45821.21921296296</v>
      </c>
      <c r="D122" s="6">
        <v>500.0</v>
      </c>
      <c r="G122" s="6" t="s">
        <v>117</v>
      </c>
    </row>
    <row r="123">
      <c r="A123" s="6"/>
      <c r="B123" s="6"/>
      <c r="C123" s="41">
        <v>45821.503842592596</v>
      </c>
      <c r="D123" s="6">
        <v>400.0</v>
      </c>
      <c r="G123" s="6" t="s">
        <v>117</v>
      </c>
    </row>
    <row r="124">
      <c r="A124" s="6" t="s">
        <v>171</v>
      </c>
      <c r="B124" s="6" t="s">
        <v>172</v>
      </c>
      <c r="C124" s="41">
        <v>45823.35853009259</v>
      </c>
      <c r="D124" s="6">
        <v>500.0</v>
      </c>
      <c r="G124" s="6" t="s">
        <v>117</v>
      </c>
    </row>
    <row r="125">
      <c r="A125" s="6"/>
      <c r="B125" s="6"/>
      <c r="C125" s="41">
        <v>45814.29622685185</v>
      </c>
      <c r="D125" s="6">
        <v>200.0</v>
      </c>
      <c r="G125" s="6" t="s">
        <v>117</v>
      </c>
    </row>
    <row r="126">
      <c r="A126" s="6" t="s">
        <v>173</v>
      </c>
      <c r="B126" s="6" t="s">
        <v>174</v>
      </c>
      <c r="C126" s="41">
        <v>45823.691041666665</v>
      </c>
      <c r="D126" s="6">
        <v>600.0</v>
      </c>
      <c r="G126" s="6" t="s">
        <v>117</v>
      </c>
    </row>
    <row r="127">
      <c r="A127" s="6" t="s">
        <v>175</v>
      </c>
      <c r="B127" s="6"/>
      <c r="C127" s="41">
        <v>45824.29701388889</v>
      </c>
      <c r="D127" s="6">
        <v>400.0</v>
      </c>
      <c r="G127" s="6" t="s">
        <v>117</v>
      </c>
    </row>
    <row r="128">
      <c r="A128" s="6"/>
      <c r="B128" s="6"/>
      <c r="C128" s="41">
        <v>45824.40361111111</v>
      </c>
      <c r="D128" s="6">
        <v>1700.0</v>
      </c>
      <c r="G128" s="6" t="s">
        <v>117</v>
      </c>
    </row>
    <row r="129">
      <c r="A129" s="6" t="s">
        <v>82</v>
      </c>
      <c r="B129" s="6"/>
      <c r="C129" s="41">
        <v>45825.29585648148</v>
      </c>
      <c r="D129" s="6">
        <v>400.0</v>
      </c>
      <c r="G129" s="6" t="s">
        <v>117</v>
      </c>
    </row>
    <row r="130">
      <c r="A130" s="6"/>
      <c r="B130" s="6" t="s">
        <v>176</v>
      </c>
      <c r="C130" s="41">
        <v>45826.310381944444</v>
      </c>
      <c r="D130" s="6">
        <v>800.0</v>
      </c>
      <c r="G130" s="6" t="s">
        <v>117</v>
      </c>
    </row>
    <row r="131">
      <c r="A131" s="6" t="s">
        <v>177</v>
      </c>
      <c r="B131" s="6"/>
      <c r="C131" s="41">
        <v>45827.52229166667</v>
      </c>
      <c r="D131" s="6">
        <v>1400.0</v>
      </c>
      <c r="G131" s="6" t="s">
        <v>117</v>
      </c>
    </row>
    <row r="132">
      <c r="A132" s="6"/>
      <c r="B132" s="6"/>
      <c r="C132" s="41">
        <v>45827.570868055554</v>
      </c>
      <c r="D132" s="6">
        <v>600.0</v>
      </c>
      <c r="G132" s="6" t="s">
        <v>117</v>
      </c>
    </row>
    <row r="133">
      <c r="A133" s="6" t="s">
        <v>88</v>
      </c>
      <c r="B133" s="6"/>
      <c r="C133" s="41">
        <v>45830.29484953704</v>
      </c>
      <c r="D133" s="6">
        <v>400.0</v>
      </c>
      <c r="G133" s="6" t="s">
        <v>117</v>
      </c>
    </row>
    <row r="134">
      <c r="A134" s="6"/>
      <c r="B134" s="6"/>
      <c r="C134" s="41">
        <v>45832.29537037037</v>
      </c>
      <c r="D134" s="6">
        <v>400.0</v>
      </c>
      <c r="G134" s="6" t="s">
        <v>117</v>
      </c>
    </row>
    <row r="135">
      <c r="A135" s="6" t="s">
        <v>162</v>
      </c>
      <c r="B135" s="6"/>
      <c r="C135" s="41">
        <v>45836.300150462965</v>
      </c>
      <c r="D135" s="6">
        <v>400.0</v>
      </c>
      <c r="G135" s="6" t="s">
        <v>117</v>
      </c>
    </row>
    <row r="136">
      <c r="A136" s="6" t="s">
        <v>102</v>
      </c>
      <c r="B136" s="6"/>
      <c r="C136" s="41">
        <v>45838.29378472222</v>
      </c>
      <c r="D136" s="6">
        <v>400.0</v>
      </c>
      <c r="G136" s="6" t="s">
        <v>117</v>
      </c>
    </row>
    <row r="137">
      <c r="A137" s="6" t="s">
        <v>178</v>
      </c>
      <c r="C137" s="41">
        <v>45838.29378472222</v>
      </c>
      <c r="D137" s="6">
        <v>2200.0</v>
      </c>
    </row>
    <row r="138">
      <c r="A138" s="6" t="s">
        <v>179</v>
      </c>
      <c r="B138" s="6" t="s">
        <v>180</v>
      </c>
      <c r="C138" s="41">
        <v>45840.35194444445</v>
      </c>
      <c r="D138" s="6">
        <v>2200.0</v>
      </c>
      <c r="G138" s="6" t="s">
        <v>117</v>
      </c>
    </row>
    <row r="139">
      <c r="A139" s="6" t="s">
        <v>179</v>
      </c>
      <c r="B139" s="6" t="s">
        <v>180</v>
      </c>
      <c r="C139" s="41">
        <v>45840.35194444445</v>
      </c>
      <c r="D139" s="6">
        <v>2200.0</v>
      </c>
      <c r="G139" s="6" t="s">
        <v>117</v>
      </c>
    </row>
    <row r="140">
      <c r="A140" s="6" t="s">
        <v>164</v>
      </c>
      <c r="B140" s="6"/>
      <c r="C140" s="41">
        <v>45841.57369212963</v>
      </c>
      <c r="D140" s="6">
        <v>400.0</v>
      </c>
      <c r="G140" s="6" t="s">
        <v>117</v>
      </c>
    </row>
    <row r="141">
      <c r="A141" s="6"/>
      <c r="B141" s="6"/>
      <c r="C141" s="41">
        <v>45841.62306712963</v>
      </c>
      <c r="D141" s="6">
        <v>400.0</v>
      </c>
      <c r="G141" s="6" t="s">
        <v>117</v>
      </c>
    </row>
    <row r="142">
      <c r="A142" s="6"/>
      <c r="B142" s="6"/>
      <c r="C142" s="41">
        <v>45843.593460648146</v>
      </c>
      <c r="D142" s="6">
        <v>600.0</v>
      </c>
      <c r="G142" s="6" t="s">
        <v>117</v>
      </c>
    </row>
    <row r="143">
      <c r="A143" s="6"/>
      <c r="B143" s="6"/>
      <c r="C143" s="41">
        <v>45843.77469907407</v>
      </c>
      <c r="D143" s="6">
        <v>1000.0</v>
      </c>
      <c r="G143" s="6" t="s">
        <v>117</v>
      </c>
    </row>
    <row r="144">
      <c r="A144" s="6" t="s">
        <v>147</v>
      </c>
      <c r="B144" s="6"/>
      <c r="C144" s="41">
        <v>45844.29599537037</v>
      </c>
      <c r="D144" s="6">
        <v>250.0</v>
      </c>
      <c r="G144" s="6" t="s">
        <v>117</v>
      </c>
    </row>
    <row r="145">
      <c r="A145" s="6"/>
      <c r="B145" s="6"/>
      <c r="C145" s="41">
        <v>45845.247824074075</v>
      </c>
      <c r="D145" s="6">
        <v>250.0</v>
      </c>
      <c r="G145" s="6" t="s">
        <v>117</v>
      </c>
    </row>
    <row r="146">
      <c r="A146" s="6" t="s">
        <v>48</v>
      </c>
      <c r="B146" s="6"/>
      <c r="C146" s="41">
        <v>45845.29539351852</v>
      </c>
      <c r="D146" s="6">
        <v>400.0</v>
      </c>
      <c r="G146" s="6" t="s">
        <v>117</v>
      </c>
    </row>
    <row r="147">
      <c r="A147" s="6"/>
      <c r="B147" s="6"/>
      <c r="C147" s="41">
        <v>45845.296006944445</v>
      </c>
      <c r="D147" s="6">
        <v>500.0</v>
      </c>
      <c r="G147" s="6" t="s">
        <v>117</v>
      </c>
    </row>
    <row r="148">
      <c r="A148" s="6" t="s">
        <v>120</v>
      </c>
      <c r="B148" s="6"/>
      <c r="C148" s="41">
        <v>45846.29565972222</v>
      </c>
      <c r="D148" s="6">
        <v>400.0</v>
      </c>
      <c r="G148" s="6" t="s">
        <v>117</v>
      </c>
    </row>
    <row r="149">
      <c r="A149" s="6" t="s">
        <v>181</v>
      </c>
      <c r="B149" s="6" t="s">
        <v>182</v>
      </c>
      <c r="C149" s="41">
        <v>45846.31010416667</v>
      </c>
      <c r="D149" s="6">
        <v>2200.0</v>
      </c>
      <c r="G149" s="6" t="s">
        <v>117</v>
      </c>
    </row>
    <row r="150">
      <c r="A150" s="6" t="s">
        <v>183</v>
      </c>
      <c r="B150" s="6" t="s">
        <v>184</v>
      </c>
      <c r="C150" s="41">
        <v>45846.776041666664</v>
      </c>
      <c r="D150" s="6">
        <v>2200.0</v>
      </c>
      <c r="G150" s="6" t="s">
        <v>117</v>
      </c>
    </row>
    <row r="151">
      <c r="A151" s="6" t="s">
        <v>153</v>
      </c>
      <c r="B151" s="6" t="s">
        <v>185</v>
      </c>
      <c r="C151" s="41">
        <v>45852.30716435185</v>
      </c>
      <c r="D151" s="6">
        <v>1250.0</v>
      </c>
      <c r="G151" s="6" t="s">
        <v>154</v>
      </c>
    </row>
    <row r="152">
      <c r="A152" s="6" t="s">
        <v>186</v>
      </c>
      <c r="B152" s="6" t="s">
        <v>187</v>
      </c>
      <c r="C152" s="41">
        <v>45854.81385416666</v>
      </c>
      <c r="D152" s="6">
        <v>200.0</v>
      </c>
      <c r="G152" s="6" t="s">
        <v>117</v>
      </c>
    </row>
    <row r="153">
      <c r="A153" s="6" t="s">
        <v>188</v>
      </c>
      <c r="B153" s="6"/>
      <c r="C153" s="41">
        <v>45855.612233796295</v>
      </c>
      <c r="D153" s="6">
        <v>733.0</v>
      </c>
      <c r="G153" s="6" t="s">
        <v>117</v>
      </c>
    </row>
    <row r="154">
      <c r="A154" s="6" t="s">
        <v>186</v>
      </c>
      <c r="B154" s="6" t="s">
        <v>187</v>
      </c>
      <c r="C154" s="41">
        <v>45855.629895833335</v>
      </c>
      <c r="D154" s="6">
        <v>2000.0</v>
      </c>
      <c r="G154" s="6" t="s">
        <v>117</v>
      </c>
    </row>
    <row r="155">
      <c r="A155" s="6" t="s">
        <v>189</v>
      </c>
      <c r="B155" s="6" t="s">
        <v>190</v>
      </c>
      <c r="C155" s="41">
        <v>45855.74138888889</v>
      </c>
      <c r="D155" s="6">
        <v>100.0</v>
      </c>
      <c r="G155" s="6" t="s">
        <v>117</v>
      </c>
    </row>
    <row r="156">
      <c r="A156" s="6" t="s">
        <v>191</v>
      </c>
      <c r="B156" s="6" t="s">
        <v>192</v>
      </c>
      <c r="C156" s="41">
        <v>45855.77527777778</v>
      </c>
      <c r="D156" s="6">
        <v>2200.0</v>
      </c>
      <c r="G156" s="6" t="s">
        <v>117</v>
      </c>
    </row>
    <row r="157">
      <c r="A157" s="6" t="s">
        <v>82</v>
      </c>
      <c r="B157" s="6"/>
      <c r="C157" s="41">
        <v>45856.297106481485</v>
      </c>
      <c r="D157" s="6">
        <v>400.0</v>
      </c>
      <c r="G157" s="6" t="s">
        <v>117</v>
      </c>
    </row>
    <row r="158">
      <c r="A158" s="6" t="s">
        <v>193</v>
      </c>
      <c r="B158" s="6"/>
      <c r="C158" s="41">
        <v>45856.672800925924</v>
      </c>
      <c r="D158" s="6">
        <v>440.0</v>
      </c>
      <c r="G158" s="6" t="s">
        <v>117</v>
      </c>
    </row>
    <row r="159">
      <c r="A159" s="6"/>
      <c r="B159" s="6"/>
      <c r="C159" s="41">
        <v>45859.68491898148</v>
      </c>
      <c r="D159" s="6">
        <v>1500.0</v>
      </c>
      <c r="G159" s="6" t="s">
        <v>117</v>
      </c>
    </row>
    <row r="160">
      <c r="A160" s="6" t="s">
        <v>88</v>
      </c>
      <c r="B160" s="6"/>
      <c r="C160" s="41">
        <v>45860.29486111111</v>
      </c>
      <c r="D160" s="6">
        <v>400.0</v>
      </c>
      <c r="G160" s="6" t="s">
        <v>117</v>
      </c>
    </row>
    <row r="161">
      <c r="A161" s="6"/>
      <c r="B161" s="6"/>
      <c r="C161" s="41">
        <v>45862.44130787037</v>
      </c>
      <c r="D161" s="6">
        <v>643.0</v>
      </c>
      <c r="G161" s="6" t="s">
        <v>117</v>
      </c>
    </row>
    <row r="162">
      <c r="A162" s="6"/>
      <c r="B162" s="6"/>
      <c r="C162" s="41">
        <v>45863.43650462963</v>
      </c>
      <c r="D162" s="6">
        <v>250.0</v>
      </c>
      <c r="G162" s="6" t="s">
        <v>117</v>
      </c>
    </row>
    <row r="163">
      <c r="A163" s="6"/>
      <c r="B163" s="6"/>
      <c r="C163" s="41">
        <v>45862.295324074075</v>
      </c>
      <c r="D163" s="6">
        <v>400.0</v>
      </c>
      <c r="G163" s="6" t="s">
        <v>117</v>
      </c>
    </row>
    <row r="164">
      <c r="A164" s="6"/>
      <c r="B164" s="6"/>
      <c r="C164" s="41">
        <v>45865.50690972222</v>
      </c>
      <c r="D164" s="6">
        <v>200.0</v>
      </c>
      <c r="G164" s="6" t="s">
        <v>117</v>
      </c>
    </row>
    <row r="165">
      <c r="A165" s="6" t="s">
        <v>162</v>
      </c>
      <c r="B165" s="6"/>
      <c r="C165" s="41">
        <v>45866.299837962964</v>
      </c>
      <c r="D165" s="6">
        <v>400.0</v>
      </c>
      <c r="G165" s="6" t="s">
        <v>117</v>
      </c>
    </row>
    <row r="166">
      <c r="A166" s="6" t="s">
        <v>102</v>
      </c>
      <c r="B166" s="6"/>
      <c r="C166" s="41">
        <v>45868.29368055556</v>
      </c>
      <c r="D166" s="6">
        <v>400.0</v>
      </c>
      <c r="G166" s="6" t="s">
        <v>117</v>
      </c>
    </row>
    <row r="167">
      <c r="A167" s="6" t="s">
        <v>194</v>
      </c>
      <c r="B167" s="6"/>
      <c r="C167" s="41">
        <v>45871.67539351852</v>
      </c>
      <c r="D167" s="6">
        <v>2000.0</v>
      </c>
      <c r="G167" s="6" t="s">
        <v>117</v>
      </c>
    </row>
    <row r="168">
      <c r="A168" s="6"/>
      <c r="B168" s="6"/>
      <c r="C168" s="41">
        <v>45872.29603009259</v>
      </c>
      <c r="D168" s="6">
        <v>250.0</v>
      </c>
      <c r="G168" s="6" t="s">
        <v>117</v>
      </c>
    </row>
    <row r="169">
      <c r="A169" s="6"/>
      <c r="B169" s="6"/>
      <c r="C169" s="41">
        <v>45872.70214120371</v>
      </c>
      <c r="D169" s="6">
        <v>400.0</v>
      </c>
      <c r="G169" s="6" t="s">
        <v>117</v>
      </c>
    </row>
    <row r="170">
      <c r="A170" s="6"/>
      <c r="B170" s="6"/>
      <c r="C170" s="41">
        <v>45873.07309027778</v>
      </c>
      <c r="D170" s="6">
        <v>400.0</v>
      </c>
      <c r="G170" s="6" t="s">
        <v>117</v>
      </c>
    </row>
    <row r="171">
      <c r="A171" s="6"/>
      <c r="B171" s="6"/>
      <c r="C171" s="41">
        <v>45873.776666666665</v>
      </c>
      <c r="D171" s="6">
        <v>400.0</v>
      </c>
      <c r="G171" s="6" t="s">
        <v>117</v>
      </c>
    </row>
    <row r="172">
      <c r="A172" s="6" t="s">
        <v>195</v>
      </c>
      <c r="B172" s="6" t="s">
        <v>196</v>
      </c>
      <c r="C172" s="41">
        <v>45874.34792824074</v>
      </c>
      <c r="D172" s="6">
        <v>800.0</v>
      </c>
      <c r="G172" s="6" t="s">
        <v>117</v>
      </c>
    </row>
    <row r="173">
      <c r="A173" s="6" t="s">
        <v>147</v>
      </c>
      <c r="B173" s="6"/>
      <c r="C173" s="41">
        <v>45875.29607638889</v>
      </c>
      <c r="D173" s="6">
        <v>250.0</v>
      </c>
      <c r="G173" s="6" t="s">
        <v>117</v>
      </c>
    </row>
    <row r="174">
      <c r="A174" s="6" t="s">
        <v>197</v>
      </c>
      <c r="B174" s="6"/>
      <c r="C174" s="41">
        <v>45875.684537037036</v>
      </c>
      <c r="D174" s="6">
        <v>600.0</v>
      </c>
      <c r="G174" s="6" t="s">
        <v>117</v>
      </c>
    </row>
    <row r="175">
      <c r="A175" s="6" t="s">
        <v>120</v>
      </c>
      <c r="B175" s="6"/>
      <c r="C175" s="41">
        <v>45877.295578703706</v>
      </c>
      <c r="D175" s="6">
        <v>400.0</v>
      </c>
      <c r="G175" s="6" t="s">
        <v>117</v>
      </c>
    </row>
    <row r="176">
      <c r="A176" s="6"/>
      <c r="B176" s="6"/>
      <c r="C176" s="41">
        <v>45883.40133101852</v>
      </c>
      <c r="D176" s="6">
        <v>400.0</v>
      </c>
      <c r="G176" s="6" t="s">
        <v>117</v>
      </c>
    </row>
    <row r="177">
      <c r="A177" s="6" t="s">
        <v>188</v>
      </c>
      <c r="B177" s="6"/>
      <c r="C177" s="41">
        <v>45887.62956018518</v>
      </c>
      <c r="D177" s="6">
        <v>733.0</v>
      </c>
      <c r="G177" s="6" t="s">
        <v>117</v>
      </c>
    </row>
    <row r="178">
      <c r="A178" s="6" t="s">
        <v>198</v>
      </c>
      <c r="B178" s="6" t="s">
        <v>199</v>
      </c>
      <c r="C178" s="41">
        <v>45887.70564814815</v>
      </c>
      <c r="D178" s="6">
        <v>750.0</v>
      </c>
      <c r="G178" s="6" t="s">
        <v>117</v>
      </c>
    </row>
    <row r="179">
      <c r="A179" s="6" t="s">
        <v>200</v>
      </c>
      <c r="B179" s="6" t="s">
        <v>201</v>
      </c>
      <c r="C179" s="41">
        <v>45889.85065972222</v>
      </c>
      <c r="D179" s="6">
        <v>1600.0</v>
      </c>
      <c r="G179" s="6" t="s">
        <v>117</v>
      </c>
    </row>
    <row r="180">
      <c r="A180" s="6"/>
      <c r="B180" s="6"/>
      <c r="C180" s="41">
        <v>45890.55125</v>
      </c>
      <c r="D180" s="6">
        <v>400.0</v>
      </c>
      <c r="G180" s="6" t="s">
        <v>117</v>
      </c>
    </row>
    <row r="181">
      <c r="A181" s="6" t="s">
        <v>88</v>
      </c>
      <c r="B181" s="6"/>
      <c r="C181" s="41">
        <v>45891.29482638889</v>
      </c>
      <c r="D181" s="6">
        <v>400.0</v>
      </c>
      <c r="G181" s="6" t="s">
        <v>117</v>
      </c>
    </row>
    <row r="182">
      <c r="A182" s="6" t="s">
        <v>202</v>
      </c>
      <c r="B182" s="6"/>
      <c r="C182" s="41">
        <v>45891.77850694444</v>
      </c>
      <c r="D182" s="6">
        <v>400.0</v>
      </c>
      <c r="G182" s="6" t="s">
        <v>117</v>
      </c>
    </row>
    <row r="183">
      <c r="A183" s="6"/>
      <c r="B183" s="6"/>
      <c r="C183" s="41">
        <v>45892.60989583333</v>
      </c>
      <c r="D183" s="6">
        <v>100.0</v>
      </c>
      <c r="G183" s="6" t="s">
        <v>117</v>
      </c>
    </row>
    <row r="184">
      <c r="A184" s="6"/>
      <c r="B184" s="6"/>
      <c r="C184" s="41">
        <v>45893.29515046296</v>
      </c>
      <c r="D184" s="6">
        <v>400.0</v>
      </c>
      <c r="G184" s="6" t="s">
        <v>117</v>
      </c>
    </row>
    <row r="185">
      <c r="A185" s="6" t="s">
        <v>175</v>
      </c>
      <c r="B185" s="6"/>
      <c r="C185" s="41">
        <v>45885.295590277776</v>
      </c>
      <c r="D185" s="6">
        <v>400.0</v>
      </c>
      <c r="G185" s="6" t="s">
        <v>117</v>
      </c>
    </row>
    <row r="186">
      <c r="A186" s="6"/>
      <c r="B186" s="6"/>
      <c r="C186" s="41">
        <v>45895.29508101852</v>
      </c>
      <c r="D186" s="6">
        <v>400.0</v>
      </c>
      <c r="G186" s="6" t="s">
        <v>117</v>
      </c>
    </row>
    <row r="187">
      <c r="A187" s="6"/>
      <c r="B187" s="6"/>
      <c r="C187" s="41">
        <v>45883.29503472222</v>
      </c>
      <c r="D187" s="6">
        <v>200.0</v>
      </c>
      <c r="G187" s="6" t="s">
        <v>117</v>
      </c>
    </row>
    <row r="188">
      <c r="A188" s="6" t="s">
        <v>162</v>
      </c>
      <c r="B188" s="6"/>
      <c r="C188" s="41">
        <v>45897.299375</v>
      </c>
      <c r="D188" s="6">
        <v>400.0</v>
      </c>
      <c r="G188" s="6" t="s">
        <v>117</v>
      </c>
    </row>
    <row r="189">
      <c r="A189" s="6" t="s">
        <v>40</v>
      </c>
      <c r="B189" s="6" t="s">
        <v>41</v>
      </c>
      <c r="C189" s="41">
        <v>45898.51259259259</v>
      </c>
      <c r="D189" s="6">
        <v>400.0</v>
      </c>
      <c r="G189" s="6" t="s">
        <v>117</v>
      </c>
    </row>
    <row r="190">
      <c r="A190" s="6"/>
      <c r="B190" s="6"/>
      <c r="C190" s="41">
        <v>45898.60508101852</v>
      </c>
      <c r="D190" s="6">
        <v>2000.0</v>
      </c>
      <c r="G190" s="6" t="s">
        <v>117</v>
      </c>
    </row>
    <row r="191">
      <c r="A191" s="6"/>
      <c r="B191" s="6"/>
      <c r="C191" s="41">
        <v>45872.29608796296</v>
      </c>
      <c r="D191" s="6">
        <v>250.0</v>
      </c>
      <c r="G191" s="6" t="s">
        <v>117</v>
      </c>
    </row>
    <row r="192">
      <c r="A192" s="6"/>
      <c r="B192" s="6"/>
      <c r="C192" s="41">
        <v>45900.9249537037</v>
      </c>
      <c r="D192" s="6">
        <v>643.0</v>
      </c>
      <c r="G192" s="6" t="s">
        <v>117</v>
      </c>
    </row>
    <row r="193">
      <c r="A193" s="6"/>
      <c r="B193" s="6"/>
      <c r="C193" s="41">
        <v>45903.29574074074</v>
      </c>
      <c r="D193" s="6">
        <v>250.0</v>
      </c>
      <c r="G193" s="6" t="s">
        <v>117</v>
      </c>
    </row>
    <row r="194">
      <c r="A194" s="6" t="s">
        <v>164</v>
      </c>
      <c r="B194" s="6"/>
      <c r="C194" s="41">
        <v>45903.29570601852</v>
      </c>
      <c r="D194" s="6">
        <v>400.0</v>
      </c>
      <c r="G194" s="6" t="s">
        <v>117</v>
      </c>
    </row>
    <row r="195">
      <c r="A195" s="6"/>
      <c r="B195" s="6"/>
      <c r="C195" s="41">
        <v>45903.29578703704</v>
      </c>
      <c r="D195" s="6">
        <v>250.0</v>
      </c>
      <c r="G195" s="6" t="s">
        <v>117</v>
      </c>
    </row>
    <row r="196">
      <c r="A196" s="6" t="s">
        <v>197</v>
      </c>
      <c r="B196" s="6"/>
      <c r="C196" s="41">
        <v>45905.29604166667</v>
      </c>
      <c r="D196" s="6">
        <v>600.0</v>
      </c>
      <c r="G196" s="6" t="s">
        <v>117</v>
      </c>
    </row>
    <row r="197">
      <c r="A197" s="6"/>
      <c r="B197" s="6"/>
      <c r="C197" s="41">
        <v>45906.611238425925</v>
      </c>
      <c r="D197" s="6">
        <v>1000.0</v>
      </c>
      <c r="G197" s="6" t="s">
        <v>117</v>
      </c>
    </row>
    <row r="198">
      <c r="A198" s="6"/>
      <c r="B198" s="6"/>
      <c r="C198" s="41">
        <v>45907.37569444445</v>
      </c>
      <c r="D198" s="6">
        <v>400.0</v>
      </c>
      <c r="G198" s="6" t="s">
        <v>117</v>
      </c>
    </row>
    <row r="199">
      <c r="A199" s="6" t="s">
        <v>203</v>
      </c>
      <c r="B199" s="6"/>
      <c r="C199" s="41">
        <v>45907.748344907406</v>
      </c>
      <c r="D199" s="6">
        <v>1000.0</v>
      </c>
      <c r="G199" s="6" t="s">
        <v>117</v>
      </c>
    </row>
    <row r="200">
      <c r="A200" s="6" t="s">
        <v>204</v>
      </c>
      <c r="B200" s="6" t="s">
        <v>205</v>
      </c>
      <c r="C200" s="41">
        <v>45908.580034722225</v>
      </c>
      <c r="D200" s="6">
        <v>2200.0</v>
      </c>
      <c r="G200" s="6" t="s">
        <v>117</v>
      </c>
    </row>
    <row r="201">
      <c r="A201" s="6"/>
      <c r="B201" s="6"/>
      <c r="C201" s="41">
        <v>45910.39979166666</v>
      </c>
      <c r="D201" s="6">
        <v>2000.0</v>
      </c>
      <c r="G201" s="6" t="s">
        <v>117</v>
      </c>
    </row>
    <row r="202">
      <c r="A202" s="6" t="s">
        <v>206</v>
      </c>
      <c r="B202" s="6"/>
      <c r="C202" s="41">
        <v>45910.42356481482</v>
      </c>
      <c r="D202" s="6">
        <v>200.0</v>
      </c>
      <c r="G202" s="6" t="s">
        <v>117</v>
      </c>
    </row>
    <row r="203">
      <c r="A203" s="6" t="s">
        <v>188</v>
      </c>
      <c r="B203" s="6"/>
      <c r="C203" s="41">
        <v>45917.29618055555</v>
      </c>
      <c r="D203" s="6">
        <v>733.0</v>
      </c>
      <c r="G203" s="6" t="s">
        <v>117</v>
      </c>
    </row>
    <row r="204">
      <c r="A204" s="6" t="s">
        <v>207</v>
      </c>
      <c r="B204" s="6" t="s">
        <v>208</v>
      </c>
      <c r="C204" s="41">
        <v>45917.33372685185</v>
      </c>
      <c r="D204" s="6">
        <v>3200.0</v>
      </c>
      <c r="G204" s="6" t="s">
        <v>117</v>
      </c>
    </row>
    <row r="205">
      <c r="A205" s="6"/>
      <c r="B205" s="6"/>
      <c r="C205" s="41">
        <v>45921.552824074075</v>
      </c>
      <c r="D205" s="6">
        <v>400.0</v>
      </c>
      <c r="G205" s="6" t="s">
        <v>117</v>
      </c>
    </row>
    <row r="206">
      <c r="A206" s="6" t="s">
        <v>88</v>
      </c>
      <c r="B206" s="6"/>
      <c r="C206" s="41">
        <v>45922.29471064815</v>
      </c>
      <c r="D206" s="6">
        <v>400.0</v>
      </c>
      <c r="G206" s="6" t="s">
        <v>117</v>
      </c>
    </row>
    <row r="207">
      <c r="A207" s="6"/>
      <c r="B207" s="6"/>
      <c r="C207" s="41">
        <v>45925.465092592596</v>
      </c>
      <c r="D207" s="6">
        <v>1500.0</v>
      </c>
      <c r="G207" s="6" t="s">
        <v>117</v>
      </c>
    </row>
    <row r="208">
      <c r="A208" s="6"/>
      <c r="B208" s="6"/>
      <c r="C208" s="41">
        <v>45925.668599537035</v>
      </c>
      <c r="D208" s="6">
        <v>1100.0</v>
      </c>
      <c r="G208" s="6" t="s">
        <v>117</v>
      </c>
    </row>
    <row r="209">
      <c r="A209" s="6" t="s">
        <v>38</v>
      </c>
      <c r="B209" s="6" t="s">
        <v>39</v>
      </c>
      <c r="C209" s="41">
        <v>45925.82710648148</v>
      </c>
      <c r="D209" s="6">
        <v>400.0</v>
      </c>
      <c r="G209" s="6" t="s">
        <v>117</v>
      </c>
    </row>
    <row r="210">
      <c r="A210" s="6" t="s">
        <v>175</v>
      </c>
      <c r="B210" s="6"/>
      <c r="C210" s="41">
        <v>45926.27431712963</v>
      </c>
      <c r="D210" s="6">
        <v>400.0</v>
      </c>
      <c r="G210" s="6" t="s">
        <v>117</v>
      </c>
    </row>
    <row r="211">
      <c r="A211" s="6"/>
      <c r="B211" s="6"/>
      <c r="C211" s="41">
        <v>45926.29487268518</v>
      </c>
      <c r="D211" s="6">
        <v>400.0</v>
      </c>
      <c r="G211" s="6" t="s">
        <v>117</v>
      </c>
    </row>
    <row r="212">
      <c r="A212" s="6" t="s">
        <v>209</v>
      </c>
      <c r="B212" s="6"/>
      <c r="C212" s="41">
        <v>45931.61363425926</v>
      </c>
      <c r="D212" s="6">
        <v>500.0</v>
      </c>
      <c r="G212" s="6" t="s">
        <v>117</v>
      </c>
    </row>
    <row r="213">
      <c r="A213" s="6"/>
      <c r="B213" s="6"/>
      <c r="C213" s="41">
        <v>45931.701736111114</v>
      </c>
      <c r="D213" s="6">
        <v>5000.0</v>
      </c>
      <c r="G213" s="6" t="s">
        <v>117</v>
      </c>
    </row>
    <row r="214">
      <c r="A214" s="6"/>
      <c r="B214" s="6"/>
      <c r="C214" s="41">
        <v>45933.02347222222</v>
      </c>
      <c r="D214" s="6">
        <v>1500.0</v>
      </c>
      <c r="G214" s="6" t="s">
        <v>117</v>
      </c>
    </row>
    <row r="215">
      <c r="A215" s="6"/>
      <c r="B215" s="6"/>
      <c r="C215" s="41">
        <v>45933.29561342593</v>
      </c>
      <c r="D215" s="6">
        <v>250.0</v>
      </c>
      <c r="G215" s="6" t="s">
        <v>117</v>
      </c>
    </row>
    <row r="216">
      <c r="A216" s="6" t="s">
        <v>112</v>
      </c>
      <c r="B216" s="6" t="s">
        <v>210</v>
      </c>
      <c r="C216" s="41">
        <v>45934.33244212963</v>
      </c>
      <c r="D216" s="6">
        <v>600.0</v>
      </c>
      <c r="G216" s="6" t="s">
        <v>117</v>
      </c>
    </row>
    <row r="217">
      <c r="A217" s="6"/>
      <c r="B217" s="6"/>
      <c r="C217" s="41">
        <v>45936.53707175926</v>
      </c>
      <c r="D217" s="6">
        <v>100.0</v>
      </c>
      <c r="G217" s="6" t="s">
        <v>117</v>
      </c>
    </row>
    <row r="218">
      <c r="A218" s="6" t="s">
        <v>211</v>
      </c>
      <c r="B218" s="6" t="s">
        <v>212</v>
      </c>
      <c r="C218" s="41">
        <v>45938.20731481481</v>
      </c>
      <c r="D218" s="6">
        <v>1744.0</v>
      </c>
      <c r="G218" s="6" t="s">
        <v>117</v>
      </c>
    </row>
    <row r="219">
      <c r="A219" s="6" t="s">
        <v>213</v>
      </c>
      <c r="B219" s="6" t="s">
        <v>214</v>
      </c>
      <c r="C219" s="41">
        <v>45941.06783564815</v>
      </c>
      <c r="D219" s="6">
        <v>666.0</v>
      </c>
      <c r="G219" s="6" t="s">
        <v>117</v>
      </c>
    </row>
    <row r="220">
      <c r="A220" s="6"/>
      <c r="B220" s="6"/>
      <c r="C220" s="41">
        <v>45944.610914351855</v>
      </c>
      <c r="D220" s="6">
        <v>600.0</v>
      </c>
      <c r="G220" s="6" t="s">
        <v>117</v>
      </c>
    </row>
    <row r="221">
      <c r="A221" s="6" t="s">
        <v>215</v>
      </c>
      <c r="B221" s="6" t="s">
        <v>216</v>
      </c>
      <c r="C221" s="41">
        <v>45945.29209490741</v>
      </c>
      <c r="D221" s="6">
        <v>4500.0</v>
      </c>
      <c r="G221" s="6" t="s">
        <v>117</v>
      </c>
    </row>
    <row r="222">
      <c r="A222" s="6" t="s">
        <v>217</v>
      </c>
      <c r="B222" s="6"/>
      <c r="C222" s="41">
        <v>45945.599224537036</v>
      </c>
      <c r="D222" s="6">
        <v>733.0</v>
      </c>
      <c r="G222" s="6" t="s">
        <v>117</v>
      </c>
    </row>
    <row r="223">
      <c r="A223" s="6"/>
      <c r="B223" s="6"/>
      <c r="C223" s="41">
        <v>45946.55883101852</v>
      </c>
      <c r="D223" s="6">
        <v>500.0</v>
      </c>
      <c r="G223" s="6" t="s">
        <v>117</v>
      </c>
    </row>
    <row r="224">
      <c r="A224" s="6" t="s">
        <v>218</v>
      </c>
      <c r="B224" s="6"/>
      <c r="C224" s="41">
        <v>45946.66979166667</v>
      </c>
      <c r="D224" s="6">
        <v>30.0</v>
      </c>
      <c r="G224" s="6" t="s">
        <v>117</v>
      </c>
    </row>
    <row r="225">
      <c r="A225" s="6"/>
      <c r="B225" s="6"/>
      <c r="C225" s="41">
        <v>45951.63232638889</v>
      </c>
      <c r="D225" s="6">
        <v>2200.0</v>
      </c>
      <c r="G225" s="6" t="s">
        <v>117</v>
      </c>
    </row>
    <row r="226">
      <c r="A226" s="6"/>
      <c r="B226" s="6"/>
      <c r="C226" s="41">
        <v>45952.7075</v>
      </c>
      <c r="D226" s="6">
        <v>5000.0</v>
      </c>
      <c r="G226" s="6" t="s">
        <v>117</v>
      </c>
    </row>
    <row r="227">
      <c r="A227" s="6"/>
      <c r="B227" s="6"/>
      <c r="C227" s="41">
        <v>45953.681435185186</v>
      </c>
      <c r="D227" s="6">
        <v>150.0</v>
      </c>
      <c r="G227" s="6" t="s">
        <v>117</v>
      </c>
    </row>
    <row r="228">
      <c r="A228" s="6" t="s">
        <v>219</v>
      </c>
      <c r="B228" s="6"/>
      <c r="C228" s="41">
        <v>45954.06914351852</v>
      </c>
      <c r="D228" s="6">
        <v>745.0</v>
      </c>
      <c r="G228" s="6" t="s">
        <v>117</v>
      </c>
    </row>
    <row r="229">
      <c r="A229" s="6"/>
      <c r="B229" s="6"/>
      <c r="C229" s="41">
        <v>45954.16101851852</v>
      </c>
      <c r="D229" s="6">
        <v>2250.0</v>
      </c>
      <c r="G229" s="6" t="s">
        <v>117</v>
      </c>
    </row>
    <row r="230">
      <c r="A230" s="6"/>
      <c r="B230" s="6"/>
      <c r="C230" s="41">
        <v>45956.29467592593</v>
      </c>
      <c r="D230" s="6">
        <v>400.0</v>
      </c>
      <c r="G230" s="6" t="s">
        <v>117</v>
      </c>
    </row>
    <row r="231">
      <c r="A231" s="6"/>
      <c r="B231" s="6"/>
      <c r="C231" s="41">
        <v>45955.499814814815</v>
      </c>
      <c r="D231" s="6">
        <v>1500.0</v>
      </c>
      <c r="G231" s="6" t="s">
        <v>117</v>
      </c>
    </row>
    <row r="232">
      <c r="A232" s="6" t="s">
        <v>195</v>
      </c>
      <c r="B232" s="6" t="s">
        <v>196</v>
      </c>
      <c r="C232" s="41">
        <v>45958.420694444445</v>
      </c>
      <c r="D232" s="6">
        <v>800.0</v>
      </c>
      <c r="G232" s="6" t="s">
        <v>117</v>
      </c>
    </row>
    <row r="233">
      <c r="A233" s="6"/>
      <c r="B233" s="6"/>
      <c r="C233" s="41">
        <v>45958.73458333333</v>
      </c>
      <c r="D233" s="6">
        <v>640.0</v>
      </c>
      <c r="G233" s="6" t="s">
        <v>117</v>
      </c>
    </row>
    <row r="234">
      <c r="A234" s="6"/>
      <c r="B234" s="6"/>
      <c r="C234" s="41">
        <v>45958.90453703704</v>
      </c>
      <c r="D234" s="6">
        <v>550.0</v>
      </c>
      <c r="G234" s="6" t="s">
        <v>117</v>
      </c>
    </row>
    <row r="235">
      <c r="A235" s="6" t="s">
        <v>220</v>
      </c>
      <c r="B235" s="6" t="s">
        <v>221</v>
      </c>
      <c r="C235" s="41">
        <v>45960.298680555556</v>
      </c>
      <c r="D235" s="6">
        <v>1000.0</v>
      </c>
      <c r="G235" s="6" t="s">
        <v>117</v>
      </c>
    </row>
    <row r="236">
      <c r="A236" s="6" t="s">
        <v>222</v>
      </c>
      <c r="B236" s="6"/>
      <c r="C236" s="41">
        <v>45960.52193287037</v>
      </c>
      <c r="D236" s="6">
        <v>667.0</v>
      </c>
      <c r="G236" s="6" t="s">
        <v>117</v>
      </c>
    </row>
    <row r="237">
      <c r="A237" s="6"/>
      <c r="B237" s="6"/>
      <c r="C237" s="41">
        <v>45960.598344907405</v>
      </c>
      <c r="D237" s="6">
        <v>400.0</v>
      </c>
      <c r="G237" s="6" t="s">
        <v>117</v>
      </c>
    </row>
    <row r="238">
      <c r="A238" s="6"/>
      <c r="B238" s="6"/>
      <c r="C238" s="41">
        <v>45961.00194444445</v>
      </c>
      <c r="D238" s="6">
        <v>550.0</v>
      </c>
      <c r="G238" s="6" t="s">
        <v>117</v>
      </c>
    </row>
    <row r="239">
      <c r="A239" s="6" t="s">
        <v>209</v>
      </c>
      <c r="B239" s="6" t="s">
        <v>223</v>
      </c>
      <c r="C239" s="41">
        <v>45961.25791666667</v>
      </c>
      <c r="D239" s="6">
        <v>2000.0</v>
      </c>
      <c r="G239" s="6" t="s">
        <v>117</v>
      </c>
    </row>
    <row r="240">
      <c r="A240" s="6" t="s">
        <v>224</v>
      </c>
      <c r="B240" s="6" t="s">
        <v>225</v>
      </c>
      <c r="C240" s="41">
        <v>45963.47497685185</v>
      </c>
      <c r="D240" s="6">
        <v>2200.0</v>
      </c>
      <c r="G240" s="6" t="s">
        <v>117</v>
      </c>
    </row>
    <row r="241">
      <c r="A241" s="6"/>
      <c r="B241" s="6"/>
      <c r="C241" s="41">
        <v>45964.337118055555</v>
      </c>
      <c r="D241" s="6">
        <v>250.0</v>
      </c>
      <c r="G241" s="6" t="s">
        <v>117</v>
      </c>
    </row>
    <row r="242">
      <c r="A242" s="6" t="s">
        <v>226</v>
      </c>
      <c r="B242" s="6"/>
      <c r="C242" s="41">
        <v>45964.609502314815</v>
      </c>
      <c r="D242" s="6">
        <v>550.0</v>
      </c>
      <c r="G242" s="6" t="s">
        <v>117</v>
      </c>
    </row>
    <row r="243">
      <c r="A243" s="6"/>
      <c r="B243" s="6"/>
      <c r="C243" s="41">
        <v>45966.90021990741</v>
      </c>
      <c r="D243" s="6">
        <v>550.0</v>
      </c>
      <c r="G243" s="6" t="s">
        <v>117</v>
      </c>
    </row>
    <row r="244">
      <c r="A244" s="6" t="s">
        <v>227</v>
      </c>
      <c r="B244" s="6"/>
      <c r="C244" s="41">
        <v>45967.667974537035</v>
      </c>
      <c r="D244" s="6">
        <v>550.0</v>
      </c>
      <c r="G244" s="6" t="s">
        <v>117</v>
      </c>
    </row>
    <row r="245">
      <c r="A245" s="6"/>
      <c r="B245" s="6"/>
      <c r="C245" s="41">
        <v>45971.579664351855</v>
      </c>
      <c r="D245" s="6">
        <v>4500.0</v>
      </c>
      <c r="G245" s="6" t="s">
        <v>117</v>
      </c>
    </row>
    <row r="246">
      <c r="A246" s="6"/>
      <c r="B246" s="6"/>
      <c r="C246" s="41">
        <v>45971.66869212963</v>
      </c>
      <c r="D246" s="6">
        <v>750.0</v>
      </c>
      <c r="G246" s="6" t="s">
        <v>117</v>
      </c>
    </row>
    <row r="247">
      <c r="A247" s="6" t="s">
        <v>228</v>
      </c>
      <c r="B247" s="6"/>
      <c r="C247" s="41">
        <v>45971.67590277778</v>
      </c>
      <c r="D247" s="6">
        <v>550.0</v>
      </c>
      <c r="G247" s="6" t="s">
        <v>117</v>
      </c>
    </row>
    <row r="248">
      <c r="A248" s="6" t="s">
        <v>229</v>
      </c>
      <c r="B248" s="6" t="s">
        <v>230</v>
      </c>
      <c r="C248" s="41">
        <v>45971.711226851854</v>
      </c>
      <c r="D248" s="6">
        <v>1500.0</v>
      </c>
      <c r="G248" s="6" t="s">
        <v>117</v>
      </c>
    </row>
    <row r="249">
      <c r="A249" s="6" t="s">
        <v>231</v>
      </c>
      <c r="B249" s="6"/>
      <c r="C249" s="41">
        <v>45972.718356481484</v>
      </c>
      <c r="D249" s="6">
        <v>50.0</v>
      </c>
      <c r="G249" s="6" t="s">
        <v>117</v>
      </c>
    </row>
    <row r="250">
      <c r="A250" s="6" t="s">
        <v>232</v>
      </c>
      <c r="B250" s="6"/>
      <c r="C250" s="41">
        <v>45972.85711805556</v>
      </c>
      <c r="D250" s="6">
        <v>1500.0</v>
      </c>
      <c r="G250" s="6" t="s">
        <v>117</v>
      </c>
    </row>
    <row r="251">
      <c r="A251" s="6"/>
      <c r="B251" s="6"/>
      <c r="C251" s="41">
        <v>45973.61935185185</v>
      </c>
      <c r="D251" s="6">
        <v>350.0</v>
      </c>
      <c r="G251" s="6" t="s">
        <v>117</v>
      </c>
    </row>
    <row r="252">
      <c r="A252" s="6"/>
      <c r="B252" s="6"/>
      <c r="C252" s="41">
        <v>45973.68724537037</v>
      </c>
      <c r="D252" s="6">
        <v>750.0</v>
      </c>
      <c r="G252" s="6" t="s">
        <v>117</v>
      </c>
    </row>
    <row r="253">
      <c r="A253" s="6"/>
      <c r="B253" s="6"/>
      <c r="C253" s="41">
        <v>45973.94847222222</v>
      </c>
      <c r="D253" s="6">
        <v>550.0</v>
      </c>
      <c r="G253" s="6" t="s">
        <v>117</v>
      </c>
    </row>
    <row r="254">
      <c r="A254" s="6"/>
      <c r="B254" s="6"/>
      <c r="C254" s="41">
        <v>45975.48243055555</v>
      </c>
      <c r="D254" s="6">
        <v>750.0</v>
      </c>
      <c r="G254" s="6" t="s">
        <v>117</v>
      </c>
    </row>
    <row r="255">
      <c r="A255" s="6"/>
      <c r="B255" s="6"/>
      <c r="C255" s="41">
        <v>45977.91090277778</v>
      </c>
      <c r="D255" s="6">
        <v>750.0</v>
      </c>
      <c r="G255" s="6" t="s">
        <v>117</v>
      </c>
    </row>
    <row r="256">
      <c r="A256" s="6"/>
      <c r="B256" s="6"/>
      <c r="C256" s="41">
        <v>45978.49532407407</v>
      </c>
      <c r="D256" s="6">
        <v>4500.0</v>
      </c>
      <c r="G256" s="6" t="s">
        <v>117</v>
      </c>
    </row>
    <row r="257">
      <c r="A257" s="6" t="s">
        <v>233</v>
      </c>
      <c r="B257" s="6"/>
      <c r="C257" s="41">
        <v>45978.734305555554</v>
      </c>
      <c r="D257" s="6">
        <v>750.0</v>
      </c>
      <c r="G257" s="6" t="s">
        <v>117</v>
      </c>
    </row>
    <row r="258">
      <c r="A258" s="6" t="s">
        <v>234</v>
      </c>
      <c r="B258" s="6"/>
      <c r="C258" s="41">
        <v>45978.910092592596</v>
      </c>
      <c r="D258" s="6">
        <v>550.0</v>
      </c>
      <c r="G258" s="6" t="s">
        <v>117</v>
      </c>
    </row>
    <row r="259">
      <c r="A259" s="6"/>
      <c r="B259" s="6"/>
      <c r="C259" s="41">
        <v>45982.33799768519</v>
      </c>
      <c r="D259" s="6">
        <v>2200.0</v>
      </c>
      <c r="G259" s="6" t="s">
        <v>117</v>
      </c>
    </row>
    <row r="260">
      <c r="A260" s="6"/>
      <c r="B260" s="6"/>
      <c r="C260" s="41">
        <v>45982.566099537034</v>
      </c>
      <c r="D260" s="6">
        <v>2250.0</v>
      </c>
      <c r="G260" s="6" t="s">
        <v>117</v>
      </c>
    </row>
    <row r="261">
      <c r="A261" s="6"/>
      <c r="B261" s="6"/>
      <c r="C261" s="41">
        <v>45985.73851851852</v>
      </c>
      <c r="D261" s="6">
        <v>750.0</v>
      </c>
      <c r="G261" s="6" t="s">
        <v>117</v>
      </c>
    </row>
    <row r="262">
      <c r="A262" s="6"/>
      <c r="B262" s="6"/>
      <c r="C262" s="41">
        <v>45986.337002314816</v>
      </c>
      <c r="D262" s="6">
        <v>1500.0</v>
      </c>
      <c r="G262" s="6" t="s">
        <v>117</v>
      </c>
    </row>
    <row r="263">
      <c r="A263" s="6" t="s">
        <v>219</v>
      </c>
      <c r="B263" s="6"/>
      <c r="C263" s="41">
        <v>45986.37384259259</v>
      </c>
      <c r="D263" s="6">
        <v>732.0</v>
      </c>
      <c r="G263" s="6" t="s">
        <v>154</v>
      </c>
    </row>
    <row r="264">
      <c r="A264" s="6"/>
      <c r="B264" s="6"/>
      <c r="C264" s="41">
        <v>45986.37715277778</v>
      </c>
      <c r="D264" s="6">
        <v>400.0</v>
      </c>
      <c r="G264" s="6" t="s">
        <v>117</v>
      </c>
    </row>
    <row r="265">
      <c r="A265" s="6"/>
      <c r="B265" s="6"/>
      <c r="C265" s="41">
        <v>45986.37842592593</v>
      </c>
      <c r="D265" s="6">
        <v>350.0</v>
      </c>
      <c r="G265" s="6" t="s">
        <v>117</v>
      </c>
    </row>
    <row r="266">
      <c r="A266" s="6"/>
      <c r="B266" s="6"/>
      <c r="C266" s="41">
        <v>45986.48105324074</v>
      </c>
      <c r="D266" s="6">
        <v>750.0</v>
      </c>
      <c r="G266" s="6" t="s">
        <v>117</v>
      </c>
    </row>
    <row r="267">
      <c r="A267" s="6" t="s">
        <v>217</v>
      </c>
      <c r="B267" s="6"/>
      <c r="C267" s="41">
        <v>45986.95846064815</v>
      </c>
      <c r="D267" s="6">
        <v>733.0</v>
      </c>
      <c r="G267" s="6" t="s">
        <v>117</v>
      </c>
    </row>
    <row r="268">
      <c r="A268" s="6"/>
      <c r="B268" s="6"/>
      <c r="C268" s="41">
        <v>45975.33681712963</v>
      </c>
      <c r="D268" s="6">
        <v>200.0</v>
      </c>
      <c r="G268" s="6" t="s">
        <v>117</v>
      </c>
    </row>
    <row r="269">
      <c r="A269" s="6"/>
      <c r="B269" s="6"/>
      <c r="C269" s="41">
        <v>45933.29555555555</v>
      </c>
      <c r="D269" s="6">
        <v>400.0</v>
      </c>
      <c r="G269" s="6" t="s">
        <v>117</v>
      </c>
    </row>
    <row r="270">
      <c r="A270" s="6"/>
      <c r="B270" s="6"/>
      <c r="C270" s="41">
        <v>45987.81215277778</v>
      </c>
      <c r="D270" s="6">
        <v>1100.0</v>
      </c>
      <c r="G270" s="6" t="s">
        <v>117</v>
      </c>
    </row>
    <row r="271">
      <c r="A271" s="6" t="s">
        <v>235</v>
      </c>
      <c r="B271" s="6"/>
      <c r="C271" s="41">
        <v>45988.612974537034</v>
      </c>
      <c r="D271" s="6">
        <v>750.0</v>
      </c>
      <c r="G271" s="6" t="s">
        <v>117</v>
      </c>
    </row>
    <row r="272">
      <c r="A272" s="6"/>
      <c r="B272" s="6"/>
      <c r="C272" s="41">
        <v>45990.15300925926</v>
      </c>
      <c r="D272" s="6">
        <v>750.0</v>
      </c>
      <c r="G272" s="6" t="s">
        <v>117</v>
      </c>
    </row>
    <row r="273">
      <c r="A273" s="6" t="s">
        <v>222</v>
      </c>
      <c r="B273" s="6"/>
      <c r="C273" s="41">
        <v>45990.61770833333</v>
      </c>
      <c r="D273" s="6">
        <v>667.0</v>
      </c>
      <c r="G273" s="6" t="s">
        <v>117</v>
      </c>
    </row>
    <row r="274">
      <c r="A274" s="6"/>
      <c r="B274" s="6"/>
      <c r="C274" s="41">
        <v>45990.940787037034</v>
      </c>
      <c r="D274" s="6">
        <v>640.0</v>
      </c>
      <c r="G274" s="6" t="s">
        <v>117</v>
      </c>
    </row>
    <row r="275">
      <c r="A275" s="6"/>
      <c r="B275" s="6"/>
      <c r="C275" s="41">
        <v>45990.46224537037</v>
      </c>
      <c r="D275" s="6">
        <v>550.0</v>
      </c>
      <c r="G275" s="6" t="s">
        <v>117</v>
      </c>
    </row>
    <row r="276">
      <c r="A276" s="6"/>
      <c r="B276" s="6"/>
      <c r="C276" s="41">
        <v>45992.6625462963</v>
      </c>
      <c r="D276" s="6">
        <v>750.0</v>
      </c>
      <c r="G276" s="6" t="s">
        <v>117</v>
      </c>
    </row>
    <row r="277">
      <c r="A277" s="6" t="s">
        <v>236</v>
      </c>
      <c r="B277" s="6" t="s">
        <v>237</v>
      </c>
      <c r="C277" s="41">
        <v>45992.772731481484</v>
      </c>
      <c r="D277" s="6">
        <v>750.0</v>
      </c>
      <c r="G277" s="6" t="s">
        <v>125</v>
      </c>
    </row>
    <row r="278">
      <c r="A278" s="6"/>
      <c r="B278" s="6"/>
      <c r="C278" s="41">
        <v>45994.33707175926</v>
      </c>
      <c r="D278" s="6">
        <v>250.0</v>
      </c>
      <c r="G278" s="6" t="s">
        <v>117</v>
      </c>
    </row>
    <row r="279">
      <c r="A279" s="6"/>
      <c r="B279" s="6"/>
      <c r="C279" s="41">
        <v>45996.61226851852</v>
      </c>
      <c r="D279" s="6">
        <v>1125.0</v>
      </c>
      <c r="G279" s="6" t="s">
        <v>117</v>
      </c>
    </row>
    <row r="280">
      <c r="A280" s="6" t="s">
        <v>226</v>
      </c>
      <c r="B280" s="6"/>
      <c r="C280" s="41">
        <v>46000.43896990741</v>
      </c>
      <c r="D280" s="6">
        <v>550.0</v>
      </c>
      <c r="G280" s="6" t="s">
        <v>117</v>
      </c>
    </row>
    <row r="281">
      <c r="A281" s="6" t="s">
        <v>227</v>
      </c>
      <c r="B281" s="6"/>
      <c r="C281" s="41">
        <v>46000.4403125</v>
      </c>
      <c r="D281" s="6">
        <v>550.0</v>
      </c>
      <c r="G281" s="6" t="s">
        <v>117</v>
      </c>
    </row>
    <row r="282">
      <c r="A282" s="6"/>
      <c r="B282" s="6" t="s">
        <v>238</v>
      </c>
      <c r="C282" s="41">
        <v>46000.69703703704</v>
      </c>
      <c r="D282" s="6">
        <v>4639.0</v>
      </c>
      <c r="G282" s="6" t="s">
        <v>117</v>
      </c>
    </row>
    <row r="283">
      <c r="A283" s="6"/>
      <c r="B283" s="6"/>
      <c r="C283" s="41">
        <v>46000.4399537037</v>
      </c>
      <c r="D283" s="6">
        <v>550.0</v>
      </c>
      <c r="G283" s="6" t="s">
        <v>117</v>
      </c>
    </row>
    <row r="284">
      <c r="A284" s="6"/>
      <c r="B284" s="6"/>
      <c r="C284" s="41">
        <v>46003.59967592593</v>
      </c>
      <c r="D284" s="6">
        <v>550.0</v>
      </c>
      <c r="G284" s="6" t="s">
        <v>117</v>
      </c>
    </row>
    <row r="285">
      <c r="A285" s="6" t="s">
        <v>232</v>
      </c>
      <c r="B285" s="6"/>
      <c r="C285" s="41">
        <v>46003.60054398148</v>
      </c>
      <c r="D285" s="6">
        <v>1500.0</v>
      </c>
      <c r="G285" s="6" t="s">
        <v>117</v>
      </c>
    </row>
    <row r="286">
      <c r="A286" s="6"/>
      <c r="B286" s="6"/>
      <c r="C286" s="41">
        <v>46003.88266203704</v>
      </c>
      <c r="D286" s="6">
        <v>750.0</v>
      </c>
      <c r="G286" s="6" t="s">
        <v>117</v>
      </c>
    </row>
    <row r="287">
      <c r="A287" s="6"/>
      <c r="B287" s="6"/>
      <c r="C287" s="41">
        <v>46006.487395833334</v>
      </c>
      <c r="D287" s="6">
        <v>1500.0</v>
      </c>
      <c r="G287" s="6" t="s">
        <v>117</v>
      </c>
    </row>
    <row r="288">
      <c r="A288" s="6"/>
      <c r="B288" s="6"/>
      <c r="C288" s="41">
        <v>46006.929131944446</v>
      </c>
      <c r="D288" s="6">
        <v>750.0</v>
      </c>
      <c r="G288" s="6" t="s">
        <v>117</v>
      </c>
    </row>
    <row r="289">
      <c r="A289" s="6"/>
      <c r="B289" s="6"/>
      <c r="C289" s="41">
        <v>46007.3171875</v>
      </c>
      <c r="D289" s="6">
        <v>750.0</v>
      </c>
      <c r="G289" s="6" t="s">
        <v>117</v>
      </c>
    </row>
    <row r="290">
      <c r="A290" s="6"/>
      <c r="B290" s="6"/>
      <c r="C290" s="41">
        <v>46007.31789351852</v>
      </c>
      <c r="D290" s="6">
        <v>750.0</v>
      </c>
      <c r="G290" s="6" t="s">
        <v>117</v>
      </c>
    </row>
    <row r="291">
      <c r="A291" s="6"/>
      <c r="B291" s="6"/>
      <c r="C291" s="41">
        <v>46008.33855324074</v>
      </c>
      <c r="D291" s="6">
        <v>750.0</v>
      </c>
      <c r="G291" s="6" t="s">
        <v>117</v>
      </c>
    </row>
    <row r="292">
      <c r="A292" s="6"/>
      <c r="B292" s="6"/>
      <c r="C292" s="41">
        <v>46009.67952546296</v>
      </c>
      <c r="D292" s="6">
        <v>750.0</v>
      </c>
      <c r="G292" s="6" t="s">
        <v>117</v>
      </c>
    </row>
    <row r="293">
      <c r="A293" s="6"/>
      <c r="B293" s="6"/>
      <c r="C293" s="41">
        <v>46011.01820601852</v>
      </c>
      <c r="D293" s="6">
        <v>750.0</v>
      </c>
      <c r="G293" s="6" t="s">
        <v>117</v>
      </c>
    </row>
    <row r="294">
      <c r="A294" s="6" t="s">
        <v>239</v>
      </c>
      <c r="B294" s="6"/>
      <c r="C294" s="41">
        <v>46015.37633101852</v>
      </c>
      <c r="D294" s="6">
        <v>1000.0</v>
      </c>
      <c r="G294" s="6" t="s">
        <v>117</v>
      </c>
    </row>
    <row r="295">
      <c r="A295" s="6"/>
      <c r="B295" s="6"/>
      <c r="C295" s="41">
        <v>46016.336805555555</v>
      </c>
      <c r="D295" s="6">
        <v>1500.0</v>
      </c>
      <c r="G295" s="6" t="s">
        <v>117</v>
      </c>
    </row>
    <row r="296">
      <c r="A296" s="6" t="s">
        <v>219</v>
      </c>
      <c r="B296" s="6"/>
      <c r="C296" s="41">
        <v>46016.33708333333</v>
      </c>
      <c r="D296" s="6">
        <v>763.0</v>
      </c>
      <c r="G296" s="6" t="s">
        <v>117</v>
      </c>
    </row>
    <row r="297">
      <c r="A297" s="6"/>
      <c r="B297" s="6"/>
      <c r="C297" s="41">
        <v>46016.337118055555</v>
      </c>
      <c r="D297" s="6">
        <v>400.0</v>
      </c>
      <c r="G297" s="6" t="s">
        <v>117</v>
      </c>
    </row>
    <row r="298">
      <c r="A298" s="6" t="s">
        <v>240</v>
      </c>
      <c r="B298" s="6"/>
      <c r="C298" s="41">
        <v>46017.7946875</v>
      </c>
      <c r="D298" s="6">
        <v>470.0</v>
      </c>
      <c r="G298" s="6" t="s">
        <v>117</v>
      </c>
    </row>
    <row r="299">
      <c r="A299" s="6"/>
      <c r="B299" s="6"/>
      <c r="C299" s="41">
        <v>46018.33804398148</v>
      </c>
      <c r="D299" s="6">
        <v>640.0</v>
      </c>
      <c r="G299" s="6" t="s">
        <v>117</v>
      </c>
    </row>
    <row r="300">
      <c r="A300" s="6" t="s">
        <v>235</v>
      </c>
      <c r="B300" s="6"/>
      <c r="C300" s="41">
        <v>46018.842997685184</v>
      </c>
      <c r="D300" s="6">
        <v>750.0</v>
      </c>
      <c r="G300" s="6" t="s">
        <v>117</v>
      </c>
    </row>
    <row r="301">
      <c r="A301" s="6"/>
      <c r="B301" s="6"/>
      <c r="C301" s="41">
        <v>46018.843506944446</v>
      </c>
      <c r="D301" s="6">
        <v>750.0</v>
      </c>
      <c r="G301" s="6" t="s">
        <v>117</v>
      </c>
    </row>
    <row r="302">
      <c r="A302" s="6"/>
      <c r="B302" s="6"/>
      <c r="C302" s="41">
        <v>46019.520474537036</v>
      </c>
      <c r="D302" s="6">
        <v>750.0</v>
      </c>
      <c r="G302" s="6" t="s">
        <v>117</v>
      </c>
    </row>
    <row r="303">
      <c r="A303" s="6"/>
      <c r="B303" s="6"/>
      <c r="C303" s="41">
        <v>46020.336435185185</v>
      </c>
      <c r="D303" s="6">
        <v>550.0</v>
      </c>
      <c r="G303" s="6" t="s">
        <v>117</v>
      </c>
    </row>
    <row r="304">
      <c r="A304" s="6" t="s">
        <v>241</v>
      </c>
      <c r="B304" s="6"/>
      <c r="C304" s="41">
        <v>46020.50787037037</v>
      </c>
      <c r="D304" s="6">
        <v>235.0</v>
      </c>
      <c r="G304" s="6" t="s">
        <v>117</v>
      </c>
    </row>
    <row r="305">
      <c r="A305" s="6"/>
      <c r="B305" s="6"/>
      <c r="C305" s="41">
        <v>46020.650775462964</v>
      </c>
      <c r="D305" s="6">
        <v>4500.0</v>
      </c>
      <c r="G305" s="6" t="s">
        <v>117</v>
      </c>
    </row>
    <row r="306">
      <c r="A306" s="6" t="s">
        <v>242</v>
      </c>
      <c r="B306" s="6" t="s">
        <v>243</v>
      </c>
      <c r="C306" s="41">
        <v>46021.47149305556</v>
      </c>
      <c r="D306" s="6">
        <v>4500.0</v>
      </c>
      <c r="G306" s="6" t="s">
        <v>117</v>
      </c>
    </row>
    <row r="307">
      <c r="A307" s="6"/>
      <c r="B307" s="6"/>
      <c r="C307" s="41">
        <v>46021.68162037037</v>
      </c>
      <c r="D307" s="6">
        <v>550.0</v>
      </c>
      <c r="G307" s="6" t="s">
        <v>117</v>
      </c>
    </row>
    <row r="308">
      <c r="A308" s="6" t="s">
        <v>217</v>
      </c>
      <c r="B308" s="6"/>
      <c r="C308" s="41">
        <v>46024.355833333335</v>
      </c>
      <c r="D308" s="6">
        <v>733.0</v>
      </c>
      <c r="G308" s="6" t="s">
        <v>117</v>
      </c>
    </row>
    <row r="309">
      <c r="A309" s="6"/>
      <c r="B309" s="6"/>
      <c r="C309" s="41">
        <v>46025.336805555555</v>
      </c>
      <c r="D309" s="6">
        <v>250.0</v>
      </c>
      <c r="G309" s="6" t="s">
        <v>117</v>
      </c>
    </row>
    <row r="310">
      <c r="A310" s="6"/>
      <c r="B310" s="6"/>
      <c r="C310" s="41">
        <v>46025.55055555556</v>
      </c>
      <c r="D310" s="6">
        <v>3750.0</v>
      </c>
      <c r="G310" s="6" t="s">
        <v>117</v>
      </c>
    </row>
    <row r="311">
      <c r="A311" s="6" t="s">
        <v>222</v>
      </c>
      <c r="B311" s="6"/>
      <c r="C311" s="41">
        <v>46026.755636574075</v>
      </c>
      <c r="D311" s="6">
        <v>667.0</v>
      </c>
      <c r="G311" s="6" t="s">
        <v>117</v>
      </c>
    </row>
    <row r="312">
      <c r="A312" s="6"/>
      <c r="B312" s="6"/>
      <c r="C312" s="41">
        <v>46028.34395833333</v>
      </c>
      <c r="D312" s="6">
        <v>1125.0</v>
      </c>
      <c r="G312" s="6" t="s">
        <v>117</v>
      </c>
    </row>
    <row r="313">
      <c r="A313" s="6"/>
      <c r="B313" s="6"/>
      <c r="C313" s="41">
        <v>46029.62814814815</v>
      </c>
      <c r="D313" s="6">
        <v>4500.0</v>
      </c>
      <c r="G313" s="6" t="s">
        <v>117</v>
      </c>
    </row>
    <row r="314">
      <c r="A314" s="6"/>
      <c r="B314" s="6"/>
      <c r="C314" s="41">
        <v>46030.66638888889</v>
      </c>
      <c r="D314" s="6">
        <v>750.0</v>
      </c>
      <c r="G314" s="6" t="s">
        <v>117</v>
      </c>
    </row>
    <row r="315">
      <c r="A315" s="6" t="s">
        <v>226</v>
      </c>
      <c r="B315" s="6"/>
      <c r="C315" s="41">
        <v>46031.33773148148</v>
      </c>
      <c r="D315" s="6">
        <v>550.0</v>
      </c>
      <c r="G315" s="6" t="s">
        <v>117</v>
      </c>
    </row>
    <row r="316">
      <c r="A316" s="6"/>
      <c r="B316" s="6"/>
      <c r="C316" s="41">
        <v>46031.33775462963</v>
      </c>
      <c r="D316" s="6">
        <v>550.0</v>
      </c>
      <c r="G316" s="6" t="s">
        <v>117</v>
      </c>
    </row>
    <row r="317">
      <c r="A317" s="6"/>
      <c r="B317" s="6"/>
      <c r="C317" s="41">
        <v>46031.58563657408</v>
      </c>
      <c r="D317" s="6">
        <v>2250.0</v>
      </c>
      <c r="G317" s="6" t="s">
        <v>117</v>
      </c>
    </row>
    <row r="318">
      <c r="A318" s="6"/>
      <c r="B318" s="6"/>
      <c r="C318" s="41">
        <v>46031.74115740741</v>
      </c>
      <c r="D318" s="6">
        <v>750.0</v>
      </c>
      <c r="G318" s="6" t="s">
        <v>117</v>
      </c>
    </row>
    <row r="319">
      <c r="A319" s="6" t="s">
        <v>244</v>
      </c>
      <c r="B319" s="6" t="s">
        <v>245</v>
      </c>
      <c r="C319" s="41">
        <v>46032.41233796296</v>
      </c>
      <c r="D319" s="6">
        <v>2395.0</v>
      </c>
      <c r="G319" s="6" t="s">
        <v>154</v>
      </c>
    </row>
    <row r="320">
      <c r="A320" s="6"/>
      <c r="B320" s="6"/>
      <c r="C320" s="41">
        <v>46034.3383912037</v>
      </c>
      <c r="D320" s="6">
        <v>550.0</v>
      </c>
      <c r="G320" s="6" t="s">
        <v>117</v>
      </c>
    </row>
    <row r="321">
      <c r="A321" s="6" t="s">
        <v>232</v>
      </c>
      <c r="B321" s="6"/>
      <c r="C321" s="41">
        <v>46034.338425925926</v>
      </c>
      <c r="D321" s="6">
        <v>1500.0</v>
      </c>
      <c r="G321" s="6" t="s">
        <v>117</v>
      </c>
    </row>
    <row r="322">
      <c r="A322" s="6"/>
      <c r="B322" s="6"/>
      <c r="C322" s="41">
        <v>46034.338472222225</v>
      </c>
      <c r="D322" s="6">
        <v>750.0</v>
      </c>
      <c r="G322" s="6" t="s">
        <v>117</v>
      </c>
    </row>
    <row r="323">
      <c r="A323" s="6"/>
      <c r="B323" s="6"/>
      <c r="C323" s="41">
        <v>46034.50622685185</v>
      </c>
      <c r="D323" s="6">
        <v>4500.0</v>
      </c>
      <c r="G323" s="6" t="s">
        <v>117</v>
      </c>
    </row>
    <row r="324">
      <c r="A324" s="6" t="s">
        <v>246</v>
      </c>
      <c r="B324" s="6"/>
      <c r="C324" s="41">
        <v>46035.739328703705</v>
      </c>
      <c r="D324" s="6">
        <v>550.0</v>
      </c>
      <c r="G324" s="6" t="s">
        <v>117</v>
      </c>
    </row>
    <row r="325">
      <c r="A325" s="6"/>
      <c r="B325" s="6"/>
      <c r="C325" s="41">
        <v>46037.38928240741</v>
      </c>
      <c r="D325" s="6">
        <v>750.0</v>
      </c>
      <c r="G325" s="6" t="s">
        <v>117</v>
      </c>
    </row>
    <row r="326">
      <c r="A326" s="6"/>
      <c r="B326" s="6"/>
      <c r="C326" s="41">
        <v>46037.389756944445</v>
      </c>
      <c r="D326" s="6">
        <v>1500.0</v>
      </c>
      <c r="G326" s="6" t="s">
        <v>117</v>
      </c>
    </row>
    <row r="327">
      <c r="A327" s="6"/>
      <c r="B327" s="6"/>
      <c r="C327" s="41">
        <v>46037.788877314815</v>
      </c>
      <c r="D327" s="6">
        <v>500.0</v>
      </c>
      <c r="G327" s="6" t="s">
        <v>117</v>
      </c>
    </row>
    <row r="328">
      <c r="A328" s="6"/>
      <c r="B328" s="6"/>
      <c r="C328" s="41">
        <v>46037.92581018519</v>
      </c>
      <c r="D328" s="6">
        <v>750.0</v>
      </c>
      <c r="G328" s="6" t="s">
        <v>117</v>
      </c>
    </row>
    <row r="329">
      <c r="A329" s="6"/>
      <c r="B329" s="6"/>
      <c r="C329" s="41">
        <v>46038.33783564815</v>
      </c>
      <c r="D329" s="6">
        <v>750.0</v>
      </c>
      <c r="G329" s="6" t="s">
        <v>117</v>
      </c>
    </row>
    <row r="330">
      <c r="A330" s="6"/>
      <c r="B330" s="6"/>
      <c r="C330" s="41">
        <v>46038.33787037037</v>
      </c>
      <c r="D330" s="6">
        <v>750.0</v>
      </c>
      <c r="G330" s="6" t="s">
        <v>117</v>
      </c>
    </row>
    <row r="331">
      <c r="A331" s="6"/>
      <c r="B331" s="6"/>
      <c r="C331" s="41">
        <v>46039.33799768519</v>
      </c>
      <c r="D331" s="6">
        <v>750.0</v>
      </c>
      <c r="G331" s="6" t="s">
        <v>117</v>
      </c>
    </row>
    <row r="332">
      <c r="A332" s="6"/>
      <c r="B332" s="6"/>
      <c r="C332" s="41">
        <v>46040.338229166664</v>
      </c>
      <c r="D332" s="6">
        <v>750.0</v>
      </c>
      <c r="G332" s="6" t="s">
        <v>117</v>
      </c>
    </row>
    <row r="333">
      <c r="A333" s="6"/>
      <c r="B333" s="6"/>
      <c r="C333" s="41">
        <v>46041.44844907407</v>
      </c>
      <c r="D333" s="6">
        <v>496.0</v>
      </c>
      <c r="G333" s="6" t="s">
        <v>117</v>
      </c>
    </row>
    <row r="334">
      <c r="A334" s="6" t="s">
        <v>247</v>
      </c>
      <c r="B334" s="6" t="s">
        <v>248</v>
      </c>
      <c r="C334" s="41">
        <v>46041.506377314814</v>
      </c>
      <c r="D334" s="6">
        <v>3000.0</v>
      </c>
      <c r="G334" s="6" t="s">
        <v>117</v>
      </c>
    </row>
    <row r="335">
      <c r="A335" s="6"/>
      <c r="B335" s="6"/>
      <c r="C335" s="41">
        <v>46041.55972222222</v>
      </c>
      <c r="D335" s="6">
        <v>4500.0</v>
      </c>
      <c r="G335" s="6" t="s">
        <v>117</v>
      </c>
    </row>
    <row r="336">
      <c r="A336" s="6" t="s">
        <v>228</v>
      </c>
      <c r="B336" s="6"/>
      <c r="C336" s="41">
        <v>46034.338368055556</v>
      </c>
      <c r="D336" s="6">
        <v>550.0</v>
      </c>
      <c r="G336" s="6" t="s">
        <v>117</v>
      </c>
    </row>
    <row r="337">
      <c r="A337" s="6" t="s">
        <v>239</v>
      </c>
      <c r="B337" s="6"/>
      <c r="C337" s="41">
        <v>46045.4403125</v>
      </c>
      <c r="D337" s="6">
        <v>700.0</v>
      </c>
      <c r="G337" s="6" t="s">
        <v>117</v>
      </c>
    </row>
    <row r="338">
      <c r="A338" s="6"/>
      <c r="B338" s="6"/>
      <c r="C338" s="41">
        <v>46047.336550925924</v>
      </c>
      <c r="D338" s="6">
        <v>400.0</v>
      </c>
      <c r="G338" s="6" t="s">
        <v>117</v>
      </c>
    </row>
    <row r="339">
      <c r="A339" s="6" t="s">
        <v>240</v>
      </c>
      <c r="B339" s="6"/>
      <c r="C339" s="41">
        <v>46048.33864583333</v>
      </c>
      <c r="D339" s="6">
        <v>400.0</v>
      </c>
      <c r="G339" s="6" t="s">
        <v>125</v>
      </c>
    </row>
    <row r="340">
      <c r="A340" s="6" t="s">
        <v>229</v>
      </c>
      <c r="B340" s="6" t="s">
        <v>249</v>
      </c>
      <c r="C340" s="41">
        <v>46048.41508101852</v>
      </c>
      <c r="D340" s="6">
        <v>1500.0</v>
      </c>
      <c r="G340" s="6" t="s">
        <v>117</v>
      </c>
    </row>
    <row r="341">
      <c r="A341" s="6"/>
      <c r="B341" s="6"/>
      <c r="C341" s="41">
        <v>46049.33788194445</v>
      </c>
      <c r="D341" s="6">
        <v>640.0</v>
      </c>
      <c r="G341" s="6" t="s">
        <v>117</v>
      </c>
    </row>
    <row r="342">
      <c r="A342" s="6"/>
      <c r="B342" s="6"/>
      <c r="C342" s="41">
        <v>46049.33806712963</v>
      </c>
      <c r="D342" s="6">
        <v>750.0</v>
      </c>
      <c r="G342" s="6" t="s">
        <v>117</v>
      </c>
    </row>
    <row r="343">
      <c r="A343" s="6" t="s">
        <v>235</v>
      </c>
      <c r="B343" s="6"/>
      <c r="C343" s="41">
        <v>46049.676875</v>
      </c>
      <c r="D343" s="6">
        <v>500.0</v>
      </c>
      <c r="G343" s="6" t="s">
        <v>117</v>
      </c>
    </row>
    <row r="344">
      <c r="A344" s="6"/>
      <c r="B344" s="6"/>
      <c r="C344" s="41">
        <v>46050.34967592593</v>
      </c>
      <c r="D344" s="6">
        <v>700.0</v>
      </c>
      <c r="G344" s="6" t="s">
        <v>117</v>
      </c>
    </row>
    <row r="345">
      <c r="A345" s="6"/>
      <c r="B345" s="6"/>
      <c r="C345" s="41">
        <v>46052.619479166664</v>
      </c>
      <c r="D345" s="6">
        <v>750.0</v>
      </c>
      <c r="G345" s="6" t="s">
        <v>117</v>
      </c>
    </row>
    <row r="346">
      <c r="A346" s="6"/>
      <c r="B346" s="6"/>
      <c r="C346" s="41">
        <v>46051.33609953704</v>
      </c>
      <c r="D346" s="6">
        <v>550.0</v>
      </c>
      <c r="G346" s="6" t="s">
        <v>117</v>
      </c>
    </row>
    <row r="347">
      <c r="A347" s="6" t="s">
        <v>250</v>
      </c>
      <c r="B347" s="6"/>
      <c r="C347" s="41">
        <v>46056.675474537034</v>
      </c>
      <c r="D347" s="6">
        <v>400.0</v>
      </c>
      <c r="G347" s="6" t="s">
        <v>125</v>
      </c>
    </row>
    <row r="348">
      <c r="A348" s="6"/>
      <c r="B348" s="6"/>
      <c r="C348" s="41">
        <v>46057.431759259256</v>
      </c>
      <c r="D348" s="6">
        <v>2666.0</v>
      </c>
      <c r="G348" s="6" t="s">
        <v>117</v>
      </c>
    </row>
    <row r="349">
      <c r="A349" s="6" t="s">
        <v>251</v>
      </c>
      <c r="B349" s="6"/>
      <c r="C349" s="41">
        <v>46058.581770833334</v>
      </c>
      <c r="D349" s="6">
        <v>40.0</v>
      </c>
      <c r="G349" s="6" t="s">
        <v>252</v>
      </c>
    </row>
    <row r="350">
      <c r="A350" s="6"/>
      <c r="B350" s="6"/>
      <c r="C350" s="41">
        <v>46059.33777777778</v>
      </c>
      <c r="D350" s="6">
        <v>1125.0</v>
      </c>
      <c r="G350" s="6" t="s">
        <v>117</v>
      </c>
    </row>
    <row r="351">
      <c r="A351" s="6"/>
      <c r="B351" s="6"/>
      <c r="C351" s="41">
        <v>46059.57612268518</v>
      </c>
      <c r="D351" s="6">
        <v>75.0</v>
      </c>
      <c r="G351" s="6" t="s">
        <v>252</v>
      </c>
    </row>
    <row r="352">
      <c r="A352" s="6" t="s">
        <v>236</v>
      </c>
      <c r="B352" s="6" t="s">
        <v>237</v>
      </c>
      <c r="C352" s="41">
        <v>46059.7983912037</v>
      </c>
      <c r="D352" s="6">
        <v>645.0</v>
      </c>
      <c r="G352" s="6" t="s">
        <v>125</v>
      </c>
    </row>
    <row r="353">
      <c r="A353" s="6"/>
      <c r="B353" s="6"/>
      <c r="C353" s="41">
        <v>46061.33762731482</v>
      </c>
      <c r="D353" s="6">
        <v>750.0</v>
      </c>
      <c r="G353" s="6" t="s">
        <v>117</v>
      </c>
    </row>
    <row r="354">
      <c r="A354" s="6" t="s">
        <v>226</v>
      </c>
      <c r="B354" s="6"/>
      <c r="C354" s="41">
        <v>46062.337430555555</v>
      </c>
      <c r="D354" s="6">
        <v>550.0</v>
      </c>
      <c r="G354" s="6" t="s">
        <v>117</v>
      </c>
    </row>
    <row r="355">
      <c r="A355" s="6" t="s">
        <v>227</v>
      </c>
      <c r="B355" s="6"/>
      <c r="C355" s="41">
        <v>46062.3374537037</v>
      </c>
      <c r="D355" s="6">
        <v>550.0</v>
      </c>
      <c r="G355" s="6" t="s">
        <v>117</v>
      </c>
    </row>
    <row r="356">
      <c r="A356" s="6" t="s">
        <v>253</v>
      </c>
      <c r="B356" s="6" t="s">
        <v>254</v>
      </c>
      <c r="C356" s="41">
        <v>46062.48013888889</v>
      </c>
      <c r="D356" s="6">
        <v>5000.0</v>
      </c>
      <c r="G356" s="6" t="s">
        <v>117</v>
      </c>
    </row>
    <row r="357">
      <c r="A357" s="6"/>
      <c r="B357" s="6" t="s">
        <v>255</v>
      </c>
      <c r="C357" s="41">
        <v>46062.51881944444</v>
      </c>
      <c r="D357" s="6">
        <v>2200.0</v>
      </c>
      <c r="G357" s="6" t="s">
        <v>154</v>
      </c>
    </row>
    <row r="358">
      <c r="A358" s="6"/>
      <c r="B358" s="6"/>
      <c r="C358" s="41">
        <v>46062.61633101852</v>
      </c>
      <c r="D358" s="6">
        <v>750.0</v>
      </c>
      <c r="G358" s="6" t="s">
        <v>117</v>
      </c>
    </row>
    <row r="359">
      <c r="A359" s="6"/>
      <c r="B359" s="6"/>
      <c r="C359" s="41">
        <v>46063.46265046296</v>
      </c>
      <c r="D359" s="6">
        <v>755.0</v>
      </c>
      <c r="G359" s="6" t="s">
        <v>125</v>
      </c>
    </row>
    <row r="360">
      <c r="A360" s="6"/>
      <c r="B360" s="6"/>
      <c r="C360" s="41">
        <v>46063.60810185185</v>
      </c>
      <c r="D360" s="6">
        <v>350.0</v>
      </c>
      <c r="G360" s="6" t="s">
        <v>125</v>
      </c>
    </row>
    <row r="361">
      <c r="A361" s="6"/>
      <c r="B361" s="6"/>
      <c r="C361" s="41">
        <v>46064.38366898148</v>
      </c>
      <c r="D361" s="6">
        <v>200.0</v>
      </c>
      <c r="G361" s="6" t="s">
        <v>117</v>
      </c>
    </row>
    <row r="362">
      <c r="A362" s="6" t="s">
        <v>256</v>
      </c>
      <c r="B362" s="6" t="s">
        <v>257</v>
      </c>
      <c r="C362" s="41">
        <v>46064.58646990741</v>
      </c>
      <c r="D362" s="6">
        <v>645.0</v>
      </c>
      <c r="G362" s="6" t="s">
        <v>125</v>
      </c>
    </row>
    <row r="363">
      <c r="A363" s="6"/>
      <c r="B363" s="6"/>
      <c r="C363" s="41">
        <v>46065.33819444444</v>
      </c>
      <c r="D363" s="6">
        <v>750.0</v>
      </c>
      <c r="G363" s="6" t="s">
        <v>117</v>
      </c>
    </row>
    <row r="364">
      <c r="A364" s="6" t="s">
        <v>222</v>
      </c>
      <c r="B364" s="6"/>
      <c r="C364" s="41">
        <v>46049.337858796294</v>
      </c>
      <c r="D364" s="6">
        <v>667.0</v>
      </c>
      <c r="G364" s="6" t="s">
        <v>117</v>
      </c>
    </row>
    <row r="365">
      <c r="A365" s="6"/>
      <c r="B365" s="6"/>
      <c r="C365" s="41">
        <v>46067.41673611111</v>
      </c>
      <c r="D365" s="6">
        <v>2250.0</v>
      </c>
      <c r="G365" s="6" t="s">
        <v>117</v>
      </c>
    </row>
    <row r="366">
      <c r="A366" s="6"/>
      <c r="B366" s="6"/>
      <c r="C366" s="41">
        <v>46068.33908564815</v>
      </c>
      <c r="D366" s="6">
        <v>500.0</v>
      </c>
      <c r="G366" s="6" t="s">
        <v>117</v>
      </c>
    </row>
    <row r="367">
      <c r="A367" s="6"/>
      <c r="B367" s="6"/>
      <c r="C367" s="41">
        <v>46068.339050925926</v>
      </c>
      <c r="D367" s="6">
        <v>750.0</v>
      </c>
      <c r="G367" s="6" t="s">
        <v>117</v>
      </c>
    </row>
    <row r="368">
      <c r="A368" s="6" t="s">
        <v>246</v>
      </c>
      <c r="B368" s="6"/>
      <c r="C368" s="41">
        <v>46068.902083333334</v>
      </c>
      <c r="D368" s="6">
        <v>550.0</v>
      </c>
      <c r="G368" s="6" t="s">
        <v>117</v>
      </c>
    </row>
    <row r="369">
      <c r="A369" s="6"/>
      <c r="B369" s="6"/>
      <c r="C369" s="41">
        <v>46069.33771990741</v>
      </c>
      <c r="D369" s="6">
        <v>750.0</v>
      </c>
      <c r="G369" s="6" t="s">
        <v>117</v>
      </c>
    </row>
    <row r="370">
      <c r="A370" s="6"/>
      <c r="B370" s="6"/>
      <c r="C370" s="41">
        <v>46069.3377662037</v>
      </c>
      <c r="D370" s="6">
        <v>750.0</v>
      </c>
      <c r="G370" s="6" t="s">
        <v>117</v>
      </c>
    </row>
    <row r="371">
      <c r="A371" s="6"/>
      <c r="B371" s="6"/>
      <c r="C371" s="41">
        <v>46069.911099537036</v>
      </c>
      <c r="D371" s="6">
        <v>750.0</v>
      </c>
      <c r="G371" s="6" t="s">
        <v>117</v>
      </c>
    </row>
    <row r="372">
      <c r="A372" s="6"/>
      <c r="B372" s="6"/>
      <c r="C372" s="41">
        <v>46070.337858796294</v>
      </c>
      <c r="D372" s="6">
        <v>750.0</v>
      </c>
      <c r="G372" s="6" t="s">
        <v>117</v>
      </c>
    </row>
    <row r="373">
      <c r="A373" s="6"/>
      <c r="B373" s="6"/>
      <c r="C373" s="41">
        <v>46071.33820601852</v>
      </c>
      <c r="D373" s="6">
        <v>750.0</v>
      </c>
      <c r="G373" s="6" t="s">
        <v>117</v>
      </c>
    </row>
    <row r="374">
      <c r="A374" s="6" t="s">
        <v>258</v>
      </c>
      <c r="B374" s="6"/>
      <c r="C374" s="41">
        <v>46071.70673611111</v>
      </c>
      <c r="D374" s="6">
        <v>4500.0</v>
      </c>
      <c r="G374" s="6" t="s">
        <v>117</v>
      </c>
    </row>
    <row r="375">
      <c r="A375" s="6" t="s">
        <v>256</v>
      </c>
      <c r="B375" s="6" t="s">
        <v>257</v>
      </c>
      <c r="C375" s="41">
        <v>46071.77248842592</v>
      </c>
      <c r="D375" s="6">
        <v>3800.0</v>
      </c>
      <c r="G375" s="6" t="s">
        <v>154</v>
      </c>
    </row>
    <row r="376">
      <c r="A376" s="6"/>
      <c r="B376" s="6"/>
      <c r="C376" s="41">
        <v>46072.54583333333</v>
      </c>
      <c r="D376" s="6">
        <v>557.0</v>
      </c>
      <c r="G376" s="6" t="s">
        <v>252</v>
      </c>
    </row>
    <row r="377">
      <c r="A377" s="6" t="s">
        <v>259</v>
      </c>
      <c r="B377" s="6" t="s">
        <v>260</v>
      </c>
      <c r="C377" s="41">
        <v>46073.48510416667</v>
      </c>
      <c r="D377" s="6">
        <v>4300.0</v>
      </c>
      <c r="G377" s="6" t="s">
        <v>154</v>
      </c>
    </row>
    <row r="378">
      <c r="A378" s="6" t="s">
        <v>261</v>
      </c>
      <c r="B378" s="6"/>
      <c r="C378" s="41">
        <v>46073.69840277778</v>
      </c>
      <c r="D378" s="6">
        <v>100.0</v>
      </c>
      <c r="G378" s="6" t="s">
        <v>252</v>
      </c>
    </row>
    <row r="379">
      <c r="A379" s="6"/>
      <c r="B379" s="6"/>
      <c r="C379" s="41">
        <v>46075.03790509259</v>
      </c>
      <c r="D379" s="6">
        <v>750.0</v>
      </c>
      <c r="G379" s="6" t="s">
        <v>117</v>
      </c>
    </row>
    <row r="380">
      <c r="A380" s="6" t="s">
        <v>262</v>
      </c>
      <c r="B380" s="6" t="s">
        <v>263</v>
      </c>
      <c r="C380" s="41">
        <v>46075.42449074074</v>
      </c>
      <c r="D380" s="6">
        <v>750.0</v>
      </c>
      <c r="G380" s="6" t="s">
        <v>125</v>
      </c>
    </row>
    <row r="381">
      <c r="A381" s="6" t="s">
        <v>239</v>
      </c>
      <c r="B381" s="6"/>
      <c r="C381" s="41">
        <v>46076.33744212963</v>
      </c>
      <c r="D381" s="6">
        <v>700.0</v>
      </c>
      <c r="G381" s="6" t="s">
        <v>117</v>
      </c>
    </row>
    <row r="382">
      <c r="A382" s="6" t="s">
        <v>264</v>
      </c>
      <c r="B382" s="6" t="s">
        <v>265</v>
      </c>
      <c r="C382" s="41">
        <v>46076.73667824074</v>
      </c>
      <c r="D382" s="6">
        <v>3750.0</v>
      </c>
      <c r="G382" s="6" t="s">
        <v>117</v>
      </c>
    </row>
    <row r="383">
      <c r="A383" s="6" t="s">
        <v>266</v>
      </c>
      <c r="B383" s="6" t="s">
        <v>267</v>
      </c>
      <c r="C383" s="41">
        <v>46076.76734953704</v>
      </c>
      <c r="D383" s="6">
        <v>4250.0</v>
      </c>
      <c r="G383" s="6" t="s">
        <v>125</v>
      </c>
    </row>
    <row r="384">
      <c r="A384" s="6"/>
      <c r="B384" s="6"/>
      <c r="C384" s="41">
        <v>46077.473761574074</v>
      </c>
      <c r="D384" s="6">
        <v>1000.0</v>
      </c>
      <c r="G384" s="6" t="s">
        <v>117</v>
      </c>
    </row>
  </sheetData>
  <drawing r:id="rId1"/>
</worksheet>
</file>