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November" sheetId="2" r:id="rId6"/>
    <sheet state="visible" name="December" sheetId="3" r:id="rId7"/>
  </sheets>
  <definedNames/>
  <calcPr/>
</workbook>
</file>

<file path=xl/sharedStrings.xml><?xml version="1.0" encoding="utf-8"?>
<sst xmlns="http://schemas.openxmlformats.org/spreadsheetml/2006/main" count="148" uniqueCount="42">
  <si>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</si>
  <si>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</si>
  <si>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</si>
  <si>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</si>
  <si>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</si>
  <si>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</si>
  <si>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</si>
  <si>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</si>
  <si>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</si>
  <si>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</si>
  <si>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</si>
  <si>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</si>
  <si>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</si>
  <si>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</si>
  <si>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</si>
  <si>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</si>
  <si>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</si>
  <si>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</si>
  <si>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</si>
  <si>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</si>
  <si>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</si>
  <si>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</si>
  <si>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</si>
  <si>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</si>
  <si>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</si>
  <si>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</si>
  <si>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</si>
  <si>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</si>
  <si>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</si>
  <si>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</si>
  <si>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</si>
  <si>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</si>
  <si>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</si>
  <si>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</si>
  <si>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</si>
  <si>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</si>
  <si>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</si>
  <si>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TOTAL</t>
  </si>
  <si>
    <t>CASH</t>
  </si>
  <si>
    <t>ROI (Cash)</t>
  </si>
  <si>
    <t>ROI (Rev)</t>
  </si>
  <si>
    <t>FOLLOWERS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</si>
</sst>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mm d"/>
    <numFmt numFmtId="166" formatCode="[$kr-406]\ #,##0.00"/>
    <numFmt numFmtId="167" formatCode="&quot;$&quot;#,##0"/>
    <numFmt numFmtId="168" formatCode="[$$]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color rgb="FF000000"/>
      <name val="Arial"/>
      <scheme val="minor"/>
    </font>
    <font>
      <sz val="9.0"/>
      <color theme="1"/>
      <name val="Arial"/>
    </font>
    <font>
      <sz val="11.0"/>
      <color rgb="FF000000"/>
      <name val="Arial"/>
    </font>
    <font>
      <sz val="11.0"/>
      <color rgb="FF000000"/>
      <name val="-apple-system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4" fontId="3" numFmtId="166" xfId="0" applyFont="1" applyNumberFormat="1"/>
    <xf borderId="0" fillId="8" fontId="1" numFmtId="0" xfId="0" applyAlignment="1" applyFill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6" xfId="0" applyAlignment="1" applyFont="1" applyNumberFormat="1">
      <alignment readingOrder="0"/>
    </xf>
    <xf borderId="0" fillId="9" fontId="3" numFmtId="0" xfId="0" applyFill="1" applyFont="1"/>
    <xf borderId="0" fillId="10" fontId="1" numFmtId="0" xfId="0" applyAlignment="1" applyFill="1" applyFont="1">
      <alignment readingOrder="0"/>
    </xf>
    <xf borderId="0" fillId="10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10" fontId="3" numFmtId="2" xfId="0" applyFont="1" applyNumberFormat="1"/>
    <xf borderId="0" fillId="0" fontId="3" numFmtId="1" xfId="0" applyFont="1" applyNumberFormat="1"/>
    <xf borderId="0" fillId="10" fontId="3" numFmtId="166" xfId="0" applyFont="1" applyNumberFormat="1"/>
    <xf borderId="0" fillId="10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0" fontId="6" numFmtId="168" xfId="0" applyAlignment="1" applyFont="1" applyNumberFormat="1">
      <alignment horizontal="right" readingOrder="0" vertical="bottom"/>
    </xf>
    <xf borderId="0" fillId="4" fontId="3" numFmtId="168" xfId="0" applyAlignment="1" applyFont="1" applyNumberFormat="1">
      <alignment readingOrder="0"/>
    </xf>
    <xf borderId="0" fillId="4" fontId="6" numFmtId="168" xfId="0" applyAlignment="1" applyFont="1" applyNumberFormat="1">
      <alignment horizontal="right" vertical="bottom"/>
    </xf>
    <xf borderId="0" fillId="0" fontId="3" numFmtId="168" xfId="0" applyAlignment="1" applyFont="1" applyNumberFormat="1">
      <alignment readingOrder="0"/>
    </xf>
    <xf borderId="0" fillId="9" fontId="8" numFmtId="168" xfId="0" applyAlignment="1" applyFont="1" applyNumberFormat="1">
      <alignment horizontal="left" readingOrder="0" vertical="bottom"/>
    </xf>
    <xf borderId="0" fillId="4" fontId="3" numFmtId="168" xfId="0" applyFont="1" applyNumberFormat="1"/>
    <xf borderId="0" fillId="9" fontId="9" numFmtId="168" xfId="0" applyAlignment="1" applyFont="1" applyNumberFormat="1">
      <alignment readingOrder="0"/>
    </xf>
    <xf borderId="0" fillId="9" fontId="10" numFmtId="168" xfId="0" applyAlignment="1" applyFont="1" applyNumberFormat="1">
      <alignment readingOrder="0"/>
    </xf>
    <xf borderId="0" fillId="0" fontId="3" numFmtId="168" xfId="0" applyFont="1" applyNumberFormat="1"/>
    <xf borderId="0" fillId="0" fontId="7" numFmtId="168" xfId="0" applyAlignment="1" applyFont="1" applyNumberFormat="1">
      <alignment readingOrder="0"/>
    </xf>
    <xf borderId="0" fillId="3" fontId="1" numFmtId="168" xfId="0" applyFont="1" applyNumberFormat="1"/>
    <xf borderId="0" fillId="3" fontId="1" numFmtId="168" xfId="0" applyAlignment="1" applyFont="1" applyNumberFormat="1">
      <alignment readingOrder="0"/>
    </xf>
    <xf borderId="0" fillId="10" fontId="3" numFmtId="4" xfId="0" applyAlignment="1" applyFont="1" applyNumberFormat="1">
      <alignment horizontal="right" readingOrder="0"/>
    </xf>
    <xf borderId="0" fillId="10" fontId="3" numFmtId="4" xfId="0" applyAlignment="1" applyFont="1" applyNumberFormat="1">
      <alignment readingOrder="0"/>
    </xf>
    <xf borderId="0" fillId="1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45231.0</v>
      </c>
      <c r="B2" s="20">
        <f t="shared" ref="B2:B31" si="1">SUM(L2+R2+X2+AD2+AJ2)</f>
        <v>0</v>
      </c>
      <c r="C2" s="21">
        <v>0.0</v>
      </c>
      <c r="D2" s="22">
        <f t="shared" ref="D2:D31" si="2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/>
      <c r="L2" s="20"/>
      <c r="M2" s="21">
        <v>0.0</v>
      </c>
      <c r="N2" s="22"/>
      <c r="O2" s="23" t="str">
        <f>N2</f>
        <v/>
      </c>
      <c r="P2" s="24" t="str">
        <f>N2/M2</f>
        <v>#DIV/0!</v>
      </c>
      <c r="Q2" s="28"/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29"/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9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9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9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9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9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45232.0</v>
      </c>
      <c r="B3" s="20">
        <f t="shared" si="1"/>
        <v>0</v>
      </c>
      <c r="C3" s="21">
        <f t="shared" ref="C3:C31" si="3">IF((B3&gt;0),(B3-B2),0)</f>
        <v>0</v>
      </c>
      <c r="D3" s="22">
        <f t="shared" si="2"/>
        <v>0</v>
      </c>
      <c r="E3" s="27">
        <f t="shared" ref="E3:E31" si="4">IF(OR(D3="", D3&lt;D2), 0, D3-D2)</f>
        <v>0</v>
      </c>
      <c r="F3" s="24">
        <f t="shared" ref="F3:F31" si="5">IF(C3=0, 0, (D3-D2)/C3)</f>
        <v>0</v>
      </c>
      <c r="G3" s="25"/>
      <c r="H3" s="26"/>
      <c r="I3" s="26"/>
      <c r="J3" s="27">
        <f t="shared" ref="J3:J32" si="6">IF(G3=0, 0, (E3)/G3)</f>
        <v>0</v>
      </c>
      <c r="M3" s="21">
        <f t="shared" ref="M3:M31" si="7">IF((L3&gt;0),(L3-L2),0)</f>
        <v>0</v>
      </c>
      <c r="N3" s="26"/>
      <c r="O3" s="27">
        <f t="shared" ref="O3:O31" si="8">IF(OR(N3="", N3&lt;N2), 0, N3-N2)</f>
        <v>0</v>
      </c>
      <c r="P3" s="24">
        <f t="shared" ref="P3:P31" si="9">IF(M3=0, 0, (N3-N2)/M3)</f>
        <v>0</v>
      </c>
      <c r="S3" s="21">
        <f t="shared" ref="S3:S31" si="10">IF((R3&gt;0),(R3-R2),0)</f>
        <v>0</v>
      </c>
      <c r="T3" s="26"/>
      <c r="U3" s="27">
        <f t="shared" ref="U3:U31" si="11">IF(OR(T3="", T3&lt;T2), 0, T3-T2)</f>
        <v>0</v>
      </c>
      <c r="V3" s="24">
        <f t="shared" ref="V3:V31" si="12">IF(S3=0, 0, (T3-T2)/S3)</f>
        <v>0</v>
      </c>
      <c r="Y3" s="21">
        <f t="shared" ref="Y3:Y31" si="13">IF((X3&gt;0),(X3-X2),0)</f>
        <v>0</v>
      </c>
      <c r="Z3" s="26"/>
      <c r="AA3" s="27">
        <f t="shared" ref="AA3:AA31" si="14">IF(OR(Z3="", Z3&lt;Z2), 0, Z3-Z2)</f>
        <v>0</v>
      </c>
      <c r="AB3" s="24">
        <f t="shared" ref="AB3:AB31" si="15">IF(Y3=0, 0, (Z3-Z2)/Y3)</f>
        <v>0</v>
      </c>
      <c r="AE3" s="21">
        <f t="shared" ref="AE3:AE31" si="16">IF((AD3&gt;0),(AD3-AD2),0)</f>
        <v>0</v>
      </c>
      <c r="AF3" s="26"/>
      <c r="AG3" s="27">
        <f t="shared" ref="AG3:AG31" si="17">IF(OR(AF3="", AF3&lt;AF2), 0, AF3-AF2)</f>
        <v>0</v>
      </c>
      <c r="AH3" s="24">
        <f t="shared" ref="AH3:AH31" si="18">IF(AE3=0, 0, (AF3-AF2)/AE3)</f>
        <v>0</v>
      </c>
      <c r="AK3" s="21">
        <f t="shared" ref="AK3:AK31" si="19">IF((AJ3&gt;0),(AJ3-AJ2),0)</f>
        <v>0</v>
      </c>
      <c r="AL3" s="26"/>
      <c r="AM3" s="27">
        <f t="shared" ref="AM3:AM31" si="20">IF(OR(AL3="", AL3&lt;AL2), 0, AL3-AL2)</f>
        <v>0</v>
      </c>
      <c r="AN3" s="24">
        <f t="shared" ref="AN3:AN31" si="21">IF(AK3=0, 0, (AL3-AL2)/AK3)</f>
        <v>0</v>
      </c>
      <c r="AQ3" s="21">
        <f t="shared" ref="AQ3:AQ31" si="22">IF((AP3&gt;0),(AP3-AP2),0)</f>
        <v>0</v>
      </c>
      <c r="AR3" s="26"/>
      <c r="AS3" s="27">
        <f t="shared" ref="AS3:AS31" si="23">IF(OR(AR3="", AR3&lt;AR2), 0, AR3-AR2)</f>
        <v>0</v>
      </c>
      <c r="AT3" s="24">
        <f t="shared" ref="AT3:AT31" si="24">IF(AQ3=0, 0, (AR3-AR2)/AQ3)</f>
        <v>0</v>
      </c>
      <c r="AW3" s="21">
        <f t="shared" ref="AW3:AW31" si="25">IF((AV3&gt;0),(AV3-AV2),0)</f>
        <v>0</v>
      </c>
      <c r="AX3" s="26"/>
      <c r="AY3" s="27">
        <f t="shared" ref="AY3:AY31" si="26">IF(OR(AX3="", AX3&lt;AX2), 0, AX3-AX2)</f>
        <v>0</v>
      </c>
      <c r="AZ3" s="24">
        <f t="shared" ref="AZ3:AZ31" si="27">IF(AW3=0, 0, (AX3-AX2)/AW3)</f>
        <v>0</v>
      </c>
      <c r="BC3" s="21">
        <f t="shared" ref="BC3:BC31" si="28">IF((BB3&gt;0),(BB3-BB2),0)</f>
        <v>0</v>
      </c>
      <c r="BD3" s="26"/>
      <c r="BE3" s="27">
        <f t="shared" ref="BE3:BE31" si="29">IF(OR(BD3="", BD3&lt;BD2), 0, BD3-BD2)</f>
        <v>0</v>
      </c>
      <c r="BF3" s="24">
        <f t="shared" ref="BF3:BF31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45233.0</v>
      </c>
      <c r="B4" s="20">
        <f t="shared" si="1"/>
        <v>0</v>
      </c>
      <c r="C4" s="21">
        <f t="shared" si="3"/>
        <v>0</v>
      </c>
      <c r="D4" s="22">
        <f t="shared" si="2"/>
        <v>0</v>
      </c>
      <c r="E4" s="27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M4" s="21">
        <f t="shared" si="7"/>
        <v>0</v>
      </c>
      <c r="N4" s="26"/>
      <c r="O4" s="27">
        <f t="shared" si="8"/>
        <v>0</v>
      </c>
      <c r="P4" s="24">
        <f t="shared" si="9"/>
        <v>0</v>
      </c>
      <c r="S4" s="21">
        <f t="shared" si="10"/>
        <v>0</v>
      </c>
      <c r="T4" s="26"/>
      <c r="U4" s="27">
        <f t="shared" si="11"/>
        <v>0</v>
      </c>
      <c r="V4" s="24">
        <f t="shared" si="12"/>
        <v>0</v>
      </c>
      <c r="Y4" s="21">
        <f t="shared" si="13"/>
        <v>0</v>
      </c>
      <c r="Z4" s="26"/>
      <c r="AA4" s="27">
        <f t="shared" si="14"/>
        <v>0</v>
      </c>
      <c r="AB4" s="24">
        <f t="shared" si="15"/>
        <v>0</v>
      </c>
      <c r="AE4" s="21">
        <f t="shared" si="16"/>
        <v>0</v>
      </c>
      <c r="AF4" s="26"/>
      <c r="AG4" s="27">
        <f t="shared" si="17"/>
        <v>0</v>
      </c>
      <c r="AH4" s="24">
        <f t="shared" si="18"/>
        <v>0</v>
      </c>
      <c r="AK4" s="21">
        <f t="shared" si="19"/>
        <v>0</v>
      </c>
      <c r="AL4" s="26"/>
      <c r="AM4" s="27">
        <f t="shared" si="20"/>
        <v>0</v>
      </c>
      <c r="AN4" s="24">
        <f t="shared" si="21"/>
        <v>0</v>
      </c>
      <c r="AQ4" s="21">
        <f t="shared" si="22"/>
        <v>0</v>
      </c>
      <c r="AR4" s="26"/>
      <c r="AS4" s="27">
        <f t="shared" si="23"/>
        <v>0</v>
      </c>
      <c r="AT4" s="24">
        <f t="shared" si="24"/>
        <v>0</v>
      </c>
      <c r="AW4" s="21">
        <f t="shared" si="25"/>
        <v>0</v>
      </c>
      <c r="AX4" s="26"/>
      <c r="AY4" s="27">
        <f t="shared" si="26"/>
        <v>0</v>
      </c>
      <c r="AZ4" s="24">
        <f t="shared" si="27"/>
        <v>0</v>
      </c>
      <c r="BC4" s="21">
        <f t="shared" si="28"/>
        <v>0</v>
      </c>
      <c r="BD4" s="26"/>
      <c r="BE4" s="27">
        <f t="shared" si="29"/>
        <v>0</v>
      </c>
      <c r="BF4" s="2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45234.0</v>
      </c>
      <c r="B5" s="20">
        <f t="shared" si="1"/>
        <v>0</v>
      </c>
      <c r="C5" s="21">
        <f t="shared" si="3"/>
        <v>0</v>
      </c>
      <c r="D5" s="22">
        <f t="shared" si="2"/>
        <v>0</v>
      </c>
      <c r="E5" s="27">
        <f t="shared" si="4"/>
        <v>0</v>
      </c>
      <c r="F5" s="24">
        <f t="shared" si="5"/>
        <v>0</v>
      </c>
      <c r="G5" s="31"/>
      <c r="H5" s="26"/>
      <c r="I5" s="26"/>
      <c r="J5" s="27">
        <f t="shared" si="6"/>
        <v>0</v>
      </c>
      <c r="M5" s="21">
        <f t="shared" si="7"/>
        <v>0</v>
      </c>
      <c r="N5" s="26"/>
      <c r="O5" s="27">
        <f t="shared" si="8"/>
        <v>0</v>
      </c>
      <c r="P5" s="24">
        <f t="shared" si="9"/>
        <v>0</v>
      </c>
      <c r="S5" s="21">
        <f t="shared" si="10"/>
        <v>0</v>
      </c>
      <c r="T5" s="26"/>
      <c r="U5" s="27">
        <f t="shared" si="11"/>
        <v>0</v>
      </c>
      <c r="V5" s="24">
        <f t="shared" si="12"/>
        <v>0</v>
      </c>
      <c r="Y5" s="21">
        <f t="shared" si="13"/>
        <v>0</v>
      </c>
      <c r="Z5" s="26"/>
      <c r="AA5" s="27">
        <f t="shared" si="14"/>
        <v>0</v>
      </c>
      <c r="AB5" s="24">
        <f t="shared" si="15"/>
        <v>0</v>
      </c>
      <c r="AE5" s="21">
        <f t="shared" si="16"/>
        <v>0</v>
      </c>
      <c r="AF5" s="26"/>
      <c r="AG5" s="27">
        <f t="shared" si="17"/>
        <v>0</v>
      </c>
      <c r="AH5" s="24">
        <f t="shared" si="18"/>
        <v>0</v>
      </c>
      <c r="AK5" s="21">
        <f t="shared" si="19"/>
        <v>0</v>
      </c>
      <c r="AL5" s="26"/>
      <c r="AM5" s="27">
        <f t="shared" si="20"/>
        <v>0</v>
      </c>
      <c r="AN5" s="24">
        <f t="shared" si="21"/>
        <v>0</v>
      </c>
      <c r="AQ5" s="21">
        <f t="shared" si="22"/>
        <v>0</v>
      </c>
      <c r="AR5" s="26"/>
      <c r="AS5" s="27">
        <f t="shared" si="23"/>
        <v>0</v>
      </c>
      <c r="AT5" s="24">
        <f t="shared" si="24"/>
        <v>0</v>
      </c>
      <c r="AW5" s="21">
        <f t="shared" si="25"/>
        <v>0</v>
      </c>
      <c r="AX5" s="26"/>
      <c r="AY5" s="27">
        <f t="shared" si="26"/>
        <v>0</v>
      </c>
      <c r="AZ5" s="24">
        <f t="shared" si="27"/>
        <v>0</v>
      </c>
      <c r="BC5" s="21">
        <f t="shared" si="28"/>
        <v>0</v>
      </c>
      <c r="BD5" s="26"/>
      <c r="BE5" s="27">
        <f t="shared" si="29"/>
        <v>0</v>
      </c>
      <c r="BF5" s="2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45235.0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27">
        <f t="shared" si="4"/>
        <v>0</v>
      </c>
      <c r="F6" s="24">
        <f t="shared" si="5"/>
        <v>0</v>
      </c>
      <c r="G6" s="25"/>
      <c r="H6" s="26"/>
      <c r="I6" s="26"/>
      <c r="J6" s="27">
        <f t="shared" si="6"/>
        <v>0</v>
      </c>
      <c r="M6" s="21">
        <f t="shared" si="7"/>
        <v>0</v>
      </c>
      <c r="N6" s="26"/>
      <c r="O6" s="27">
        <f t="shared" si="8"/>
        <v>0</v>
      </c>
      <c r="P6" s="24">
        <f t="shared" si="9"/>
        <v>0</v>
      </c>
      <c r="S6" s="21">
        <f t="shared" si="10"/>
        <v>0</v>
      </c>
      <c r="T6" s="26"/>
      <c r="U6" s="27">
        <f t="shared" si="11"/>
        <v>0</v>
      </c>
      <c r="V6" s="24">
        <f t="shared" si="12"/>
        <v>0</v>
      </c>
      <c r="Y6" s="21">
        <f t="shared" si="13"/>
        <v>0</v>
      </c>
      <c r="Z6" s="26"/>
      <c r="AA6" s="27">
        <f t="shared" si="14"/>
        <v>0</v>
      </c>
      <c r="AB6" s="24">
        <f t="shared" si="15"/>
        <v>0</v>
      </c>
      <c r="AE6" s="21">
        <f t="shared" si="16"/>
        <v>0</v>
      </c>
      <c r="AF6" s="26"/>
      <c r="AG6" s="27">
        <f t="shared" si="17"/>
        <v>0</v>
      </c>
      <c r="AH6" s="24">
        <f t="shared" si="18"/>
        <v>0</v>
      </c>
      <c r="AK6" s="21">
        <f t="shared" si="19"/>
        <v>0</v>
      </c>
      <c r="AL6" s="26"/>
      <c r="AM6" s="27">
        <f t="shared" si="20"/>
        <v>0</v>
      </c>
      <c r="AN6" s="24">
        <f t="shared" si="21"/>
        <v>0</v>
      </c>
      <c r="AQ6" s="21">
        <f t="shared" si="22"/>
        <v>0</v>
      </c>
      <c r="AR6" s="26"/>
      <c r="AS6" s="27">
        <f t="shared" si="23"/>
        <v>0</v>
      </c>
      <c r="AT6" s="24">
        <f t="shared" si="24"/>
        <v>0</v>
      </c>
      <c r="AW6" s="21">
        <f t="shared" si="25"/>
        <v>0</v>
      </c>
      <c r="AX6" s="26"/>
      <c r="AY6" s="27">
        <f t="shared" si="26"/>
        <v>0</v>
      </c>
      <c r="AZ6" s="24">
        <f t="shared" si="27"/>
        <v>0</v>
      </c>
      <c r="BC6" s="21">
        <f t="shared" si="28"/>
        <v>0</v>
      </c>
      <c r="BD6" s="26"/>
      <c r="BE6" s="27">
        <f t="shared" si="29"/>
        <v>0</v>
      </c>
      <c r="BF6" s="2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45236.0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27">
        <f t="shared" si="4"/>
        <v>0</v>
      </c>
      <c r="F7" s="24">
        <f t="shared" si="5"/>
        <v>0</v>
      </c>
      <c r="G7" s="31"/>
      <c r="H7" s="26"/>
      <c r="I7" s="26"/>
      <c r="J7" s="27">
        <f t="shared" si="6"/>
        <v>0</v>
      </c>
      <c r="M7" s="21">
        <f t="shared" si="7"/>
        <v>0</v>
      </c>
      <c r="N7" s="26"/>
      <c r="O7" s="27">
        <f t="shared" si="8"/>
        <v>0</v>
      </c>
      <c r="P7" s="24">
        <f t="shared" si="9"/>
        <v>0</v>
      </c>
      <c r="S7" s="21">
        <f t="shared" si="10"/>
        <v>0</v>
      </c>
      <c r="T7" s="26"/>
      <c r="U7" s="27">
        <f t="shared" si="11"/>
        <v>0</v>
      </c>
      <c r="V7" s="24">
        <f t="shared" si="12"/>
        <v>0</v>
      </c>
      <c r="Y7" s="21">
        <f t="shared" si="13"/>
        <v>0</v>
      </c>
      <c r="Z7" s="26"/>
      <c r="AA7" s="27">
        <f t="shared" si="14"/>
        <v>0</v>
      </c>
      <c r="AB7" s="24">
        <f t="shared" si="15"/>
        <v>0</v>
      </c>
      <c r="AE7" s="21">
        <f t="shared" si="16"/>
        <v>0</v>
      </c>
      <c r="AF7" s="26"/>
      <c r="AG7" s="27">
        <f t="shared" si="17"/>
        <v>0</v>
      </c>
      <c r="AH7" s="24">
        <f t="shared" si="18"/>
        <v>0</v>
      </c>
      <c r="AK7" s="21">
        <f t="shared" si="19"/>
        <v>0</v>
      </c>
      <c r="AL7" s="26"/>
      <c r="AM7" s="27">
        <f t="shared" si="20"/>
        <v>0</v>
      </c>
      <c r="AN7" s="24">
        <f t="shared" si="21"/>
        <v>0</v>
      </c>
      <c r="AQ7" s="21">
        <f t="shared" si="22"/>
        <v>0</v>
      </c>
      <c r="AR7" s="26"/>
      <c r="AS7" s="27">
        <f t="shared" si="23"/>
        <v>0</v>
      </c>
      <c r="AT7" s="24">
        <f t="shared" si="24"/>
        <v>0</v>
      </c>
      <c r="AW7" s="21">
        <f t="shared" si="25"/>
        <v>0</v>
      </c>
      <c r="AX7" s="26"/>
      <c r="AY7" s="27">
        <f t="shared" si="26"/>
        <v>0</v>
      </c>
      <c r="AZ7" s="24">
        <f t="shared" si="27"/>
        <v>0</v>
      </c>
      <c r="BC7" s="21">
        <f t="shared" si="28"/>
        <v>0</v>
      </c>
      <c r="BD7" s="26"/>
      <c r="BE7" s="27">
        <f t="shared" si="29"/>
        <v>0</v>
      </c>
      <c r="BF7" s="2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45237.0</v>
      </c>
      <c r="B8" s="20">
        <f t="shared" si="1"/>
        <v>0</v>
      </c>
      <c r="C8" s="21">
        <f t="shared" si="3"/>
        <v>0</v>
      </c>
      <c r="D8" s="22">
        <f t="shared" si="2"/>
        <v>0</v>
      </c>
      <c r="E8" s="27">
        <f t="shared" si="4"/>
        <v>0</v>
      </c>
      <c r="F8" s="24">
        <f t="shared" si="5"/>
        <v>0</v>
      </c>
      <c r="H8" s="26"/>
      <c r="I8" s="26"/>
      <c r="J8" s="27">
        <f t="shared" si="6"/>
        <v>0</v>
      </c>
      <c r="M8" s="21">
        <f t="shared" si="7"/>
        <v>0</v>
      </c>
      <c r="N8" s="26"/>
      <c r="O8" s="27">
        <f t="shared" si="8"/>
        <v>0</v>
      </c>
      <c r="P8" s="24">
        <f t="shared" si="9"/>
        <v>0</v>
      </c>
      <c r="S8" s="21">
        <f t="shared" si="10"/>
        <v>0</v>
      </c>
      <c r="T8" s="26"/>
      <c r="U8" s="27">
        <f t="shared" si="11"/>
        <v>0</v>
      </c>
      <c r="V8" s="24">
        <f t="shared" si="12"/>
        <v>0</v>
      </c>
      <c r="Y8" s="21">
        <f t="shared" si="13"/>
        <v>0</v>
      </c>
      <c r="Z8" s="26"/>
      <c r="AA8" s="27">
        <f t="shared" si="14"/>
        <v>0</v>
      </c>
      <c r="AB8" s="24">
        <f t="shared" si="15"/>
        <v>0</v>
      </c>
      <c r="AE8" s="21">
        <f t="shared" si="16"/>
        <v>0</v>
      </c>
      <c r="AF8" s="26"/>
      <c r="AG8" s="27">
        <f t="shared" si="17"/>
        <v>0</v>
      </c>
      <c r="AH8" s="24">
        <f t="shared" si="18"/>
        <v>0</v>
      </c>
      <c r="AK8" s="21">
        <f t="shared" si="19"/>
        <v>0</v>
      </c>
      <c r="AL8" s="26"/>
      <c r="AM8" s="27">
        <f t="shared" si="20"/>
        <v>0</v>
      </c>
      <c r="AN8" s="24">
        <f t="shared" si="21"/>
        <v>0</v>
      </c>
      <c r="AQ8" s="21">
        <f t="shared" si="22"/>
        <v>0</v>
      </c>
      <c r="AR8" s="26"/>
      <c r="AS8" s="27">
        <f t="shared" si="23"/>
        <v>0</v>
      </c>
      <c r="AT8" s="24">
        <f t="shared" si="24"/>
        <v>0</v>
      </c>
      <c r="AW8" s="21">
        <f t="shared" si="25"/>
        <v>0</v>
      </c>
      <c r="AX8" s="26"/>
      <c r="AY8" s="27">
        <f t="shared" si="26"/>
        <v>0</v>
      </c>
      <c r="AZ8" s="24">
        <f t="shared" si="27"/>
        <v>0</v>
      </c>
      <c r="BC8" s="21">
        <f t="shared" si="28"/>
        <v>0</v>
      </c>
      <c r="BD8" s="26"/>
      <c r="BE8" s="27">
        <f t="shared" si="29"/>
        <v>0</v>
      </c>
      <c r="BF8" s="2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45238.0</v>
      </c>
      <c r="B9" s="20">
        <f t="shared" si="1"/>
        <v>0</v>
      </c>
      <c r="C9" s="21">
        <f t="shared" si="3"/>
        <v>0</v>
      </c>
      <c r="D9" s="22">
        <f t="shared" si="2"/>
        <v>0</v>
      </c>
      <c r="E9" s="27">
        <f t="shared" si="4"/>
        <v>0</v>
      </c>
      <c r="F9" s="24">
        <f t="shared" si="5"/>
        <v>0</v>
      </c>
      <c r="H9" s="26"/>
      <c r="I9" s="26"/>
      <c r="J9" s="27">
        <f t="shared" si="6"/>
        <v>0</v>
      </c>
      <c r="M9" s="21">
        <f t="shared" si="7"/>
        <v>0</v>
      </c>
      <c r="N9" s="26"/>
      <c r="O9" s="27">
        <f t="shared" si="8"/>
        <v>0</v>
      </c>
      <c r="P9" s="24">
        <f t="shared" si="9"/>
        <v>0</v>
      </c>
      <c r="S9" s="21">
        <f t="shared" si="10"/>
        <v>0</v>
      </c>
      <c r="T9" s="26"/>
      <c r="U9" s="27">
        <f t="shared" si="11"/>
        <v>0</v>
      </c>
      <c r="V9" s="24">
        <f t="shared" si="12"/>
        <v>0</v>
      </c>
      <c r="Y9" s="21">
        <f t="shared" si="13"/>
        <v>0</v>
      </c>
      <c r="Z9" s="26"/>
      <c r="AA9" s="27">
        <f t="shared" si="14"/>
        <v>0</v>
      </c>
      <c r="AB9" s="24">
        <f t="shared" si="15"/>
        <v>0</v>
      </c>
      <c r="AE9" s="21">
        <f t="shared" si="16"/>
        <v>0</v>
      </c>
      <c r="AF9" s="26"/>
      <c r="AG9" s="27">
        <f t="shared" si="17"/>
        <v>0</v>
      </c>
      <c r="AH9" s="24">
        <f t="shared" si="18"/>
        <v>0</v>
      </c>
      <c r="AK9" s="21">
        <f t="shared" si="19"/>
        <v>0</v>
      </c>
      <c r="AL9" s="26"/>
      <c r="AM9" s="27">
        <f t="shared" si="20"/>
        <v>0</v>
      </c>
      <c r="AN9" s="24">
        <f t="shared" si="21"/>
        <v>0</v>
      </c>
      <c r="AQ9" s="21">
        <f t="shared" si="22"/>
        <v>0</v>
      </c>
      <c r="AR9" s="26"/>
      <c r="AS9" s="27">
        <f t="shared" si="23"/>
        <v>0</v>
      </c>
      <c r="AT9" s="24">
        <f t="shared" si="24"/>
        <v>0</v>
      </c>
      <c r="AW9" s="21">
        <f t="shared" si="25"/>
        <v>0</v>
      </c>
      <c r="AX9" s="26"/>
      <c r="AY9" s="27">
        <f t="shared" si="26"/>
        <v>0</v>
      </c>
      <c r="AZ9" s="24">
        <f t="shared" si="27"/>
        <v>0</v>
      </c>
      <c r="BC9" s="21">
        <f t="shared" si="28"/>
        <v>0</v>
      </c>
      <c r="BD9" s="26"/>
      <c r="BE9" s="27">
        <f t="shared" si="29"/>
        <v>0</v>
      </c>
      <c r="BF9" s="2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45239.0</v>
      </c>
      <c r="B10" s="20">
        <f t="shared" si="1"/>
        <v>0</v>
      </c>
      <c r="C10" s="21">
        <f t="shared" si="3"/>
        <v>0</v>
      </c>
      <c r="D10" s="22">
        <f t="shared" si="2"/>
        <v>0</v>
      </c>
      <c r="E10" s="27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0"/>
      <c r="M10" s="21">
        <f t="shared" si="7"/>
        <v>0</v>
      </c>
      <c r="N10" s="22"/>
      <c r="O10" s="27">
        <f t="shared" si="8"/>
        <v>0</v>
      </c>
      <c r="P10" s="24">
        <f t="shared" si="9"/>
        <v>0</v>
      </c>
      <c r="R10" s="20"/>
      <c r="S10" s="21">
        <f t="shared" si="10"/>
        <v>0</v>
      </c>
      <c r="T10" s="22"/>
      <c r="U10" s="27">
        <f t="shared" si="11"/>
        <v>0</v>
      </c>
      <c r="V10" s="24">
        <f t="shared" si="12"/>
        <v>0</v>
      </c>
      <c r="X10" s="20"/>
      <c r="Y10" s="21">
        <f t="shared" si="13"/>
        <v>0</v>
      </c>
      <c r="Z10" s="22"/>
      <c r="AA10" s="27">
        <f t="shared" si="14"/>
        <v>0</v>
      </c>
      <c r="AB10" s="24">
        <f t="shared" si="15"/>
        <v>0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45240.0</v>
      </c>
      <c r="B11" s="20">
        <f t="shared" si="1"/>
        <v>0</v>
      </c>
      <c r="C11" s="21">
        <f t="shared" si="3"/>
        <v>0</v>
      </c>
      <c r="D11" s="22">
        <f t="shared" si="2"/>
        <v>0</v>
      </c>
      <c r="E11" s="27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0"/>
      <c r="M11" s="21">
        <f t="shared" si="7"/>
        <v>0</v>
      </c>
      <c r="N11" s="22"/>
      <c r="O11" s="27">
        <f t="shared" si="8"/>
        <v>0</v>
      </c>
      <c r="P11" s="24">
        <f t="shared" si="9"/>
        <v>0</v>
      </c>
      <c r="R11" s="20"/>
      <c r="S11" s="21">
        <f t="shared" si="10"/>
        <v>0</v>
      </c>
      <c r="T11" s="22"/>
      <c r="U11" s="27">
        <f t="shared" si="11"/>
        <v>0</v>
      </c>
      <c r="V11" s="24">
        <f t="shared" si="12"/>
        <v>0</v>
      </c>
      <c r="X11" s="20"/>
      <c r="Y11" s="21">
        <f t="shared" si="13"/>
        <v>0</v>
      </c>
      <c r="Z11" s="22"/>
      <c r="AA11" s="27">
        <f t="shared" si="14"/>
        <v>0</v>
      </c>
      <c r="AB11" s="24">
        <f t="shared" si="15"/>
        <v>0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45241.0</v>
      </c>
      <c r="B12" s="20">
        <f t="shared" si="1"/>
        <v>0</v>
      </c>
      <c r="C12" s="21">
        <f t="shared" si="3"/>
        <v>0</v>
      </c>
      <c r="D12" s="22">
        <f t="shared" si="2"/>
        <v>0</v>
      </c>
      <c r="E12" s="27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M12" s="21">
        <f t="shared" si="7"/>
        <v>0</v>
      </c>
      <c r="N12" s="26"/>
      <c r="O12" s="27">
        <f t="shared" si="8"/>
        <v>0</v>
      </c>
      <c r="P12" s="24">
        <f t="shared" si="9"/>
        <v>0</v>
      </c>
      <c r="S12" s="21">
        <f t="shared" si="10"/>
        <v>0</v>
      </c>
      <c r="T12" s="26"/>
      <c r="U12" s="27">
        <f t="shared" si="11"/>
        <v>0</v>
      </c>
      <c r="V12" s="24">
        <f t="shared" si="12"/>
        <v>0</v>
      </c>
      <c r="Y12" s="21">
        <f t="shared" si="13"/>
        <v>0</v>
      </c>
      <c r="Z12" s="26"/>
      <c r="AA12" s="27">
        <f t="shared" si="14"/>
        <v>0</v>
      </c>
      <c r="AB12" s="24">
        <f t="shared" si="15"/>
        <v>0</v>
      </c>
      <c r="AE12" s="21">
        <f t="shared" si="16"/>
        <v>0</v>
      </c>
      <c r="AF12" s="26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26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26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26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26"/>
      <c r="BE12" s="27">
        <f t="shared" si="29"/>
        <v>0</v>
      </c>
      <c r="BF12" s="2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45242.0</v>
      </c>
      <c r="B13" s="20">
        <f t="shared" si="1"/>
        <v>0</v>
      </c>
      <c r="C13" s="21">
        <f t="shared" si="3"/>
        <v>0</v>
      </c>
      <c r="D13" s="22">
        <f t="shared" si="2"/>
        <v>0</v>
      </c>
      <c r="E13" s="27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0"/>
      <c r="M13" s="21">
        <f t="shared" si="7"/>
        <v>0</v>
      </c>
      <c r="O13" s="27">
        <f t="shared" si="8"/>
        <v>0</v>
      </c>
      <c r="P13" s="24">
        <f t="shared" si="9"/>
        <v>0</v>
      </c>
      <c r="R13" s="20"/>
      <c r="S13" s="21">
        <f t="shared" si="10"/>
        <v>0</v>
      </c>
      <c r="T13" s="26"/>
      <c r="U13" s="27">
        <f t="shared" si="11"/>
        <v>0</v>
      </c>
      <c r="V13" s="24">
        <f t="shared" si="12"/>
        <v>0</v>
      </c>
      <c r="X13" s="20"/>
      <c r="Y13" s="21">
        <f t="shared" si="13"/>
        <v>0</v>
      </c>
      <c r="Z13" s="26"/>
      <c r="AA13" s="27">
        <f t="shared" si="14"/>
        <v>0</v>
      </c>
      <c r="AB13" s="24">
        <f t="shared" si="15"/>
        <v>0</v>
      </c>
      <c r="AD13" s="20"/>
      <c r="AE13" s="21">
        <f t="shared" si="16"/>
        <v>0</v>
      </c>
      <c r="AF13" s="26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26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26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26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26"/>
      <c r="BE13" s="27">
        <f t="shared" si="29"/>
        <v>0</v>
      </c>
      <c r="BF13" s="2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45243.0</v>
      </c>
      <c r="B14" s="20">
        <f t="shared" si="1"/>
        <v>0</v>
      </c>
      <c r="C14" s="21">
        <f t="shared" si="3"/>
        <v>0</v>
      </c>
      <c r="D14" s="22">
        <f t="shared" si="2"/>
        <v>0</v>
      </c>
      <c r="E14" s="27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0"/>
      <c r="M14" s="21">
        <f t="shared" si="7"/>
        <v>0</v>
      </c>
      <c r="N14" s="22"/>
      <c r="O14" s="27">
        <f t="shared" si="8"/>
        <v>0</v>
      </c>
      <c r="P14" s="24">
        <f t="shared" si="9"/>
        <v>0</v>
      </c>
      <c r="R14" s="20"/>
      <c r="S14" s="21">
        <f t="shared" si="10"/>
        <v>0</v>
      </c>
      <c r="T14" s="22"/>
      <c r="U14" s="27">
        <f t="shared" si="11"/>
        <v>0</v>
      </c>
      <c r="V14" s="24">
        <f t="shared" si="12"/>
        <v>0</v>
      </c>
      <c r="X14" s="20"/>
      <c r="Y14" s="21">
        <f t="shared" si="13"/>
        <v>0</v>
      </c>
      <c r="Z14" s="22"/>
      <c r="AA14" s="27">
        <f t="shared" si="14"/>
        <v>0</v>
      </c>
      <c r="AB14" s="24">
        <f t="shared" si="15"/>
        <v>0</v>
      </c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45244.0</v>
      </c>
      <c r="B15" s="20">
        <f t="shared" si="1"/>
        <v>0</v>
      </c>
      <c r="C15" s="21">
        <f t="shared" si="3"/>
        <v>0</v>
      </c>
      <c r="D15" s="22">
        <f t="shared" si="2"/>
        <v>0</v>
      </c>
      <c r="E15" s="27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0"/>
      <c r="M15" s="21">
        <f t="shared" si="7"/>
        <v>0</v>
      </c>
      <c r="N15" s="22"/>
      <c r="O15" s="27">
        <f t="shared" si="8"/>
        <v>0</v>
      </c>
      <c r="P15" s="24">
        <f t="shared" si="9"/>
        <v>0</v>
      </c>
      <c r="R15" s="20"/>
      <c r="S15" s="21">
        <f t="shared" si="10"/>
        <v>0</v>
      </c>
      <c r="T15" s="22"/>
      <c r="U15" s="27">
        <f t="shared" si="11"/>
        <v>0</v>
      </c>
      <c r="V15" s="24">
        <f t="shared" si="12"/>
        <v>0</v>
      </c>
      <c r="X15" s="20"/>
      <c r="Y15" s="21">
        <f t="shared" si="13"/>
        <v>0</v>
      </c>
      <c r="Z15" s="22"/>
      <c r="AA15" s="27">
        <f t="shared" si="14"/>
        <v>0</v>
      </c>
      <c r="AB15" s="24">
        <f t="shared" si="15"/>
        <v>0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45245.0</v>
      </c>
      <c r="B16" s="20">
        <f t="shared" si="1"/>
        <v>0</v>
      </c>
      <c r="C16" s="21">
        <f t="shared" si="3"/>
        <v>0</v>
      </c>
      <c r="D16" s="22">
        <f t="shared" si="2"/>
        <v>0</v>
      </c>
      <c r="E16" s="27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0"/>
      <c r="M16" s="21">
        <f t="shared" si="7"/>
        <v>0</v>
      </c>
      <c r="N16" s="22"/>
      <c r="O16" s="27">
        <f t="shared" si="8"/>
        <v>0</v>
      </c>
      <c r="P16" s="24">
        <f t="shared" si="9"/>
        <v>0</v>
      </c>
      <c r="R16" s="20"/>
      <c r="S16" s="21">
        <f t="shared" si="10"/>
        <v>0</v>
      </c>
      <c r="T16" s="22"/>
      <c r="U16" s="27">
        <f t="shared" si="11"/>
        <v>0</v>
      </c>
      <c r="V16" s="24">
        <f t="shared" si="12"/>
        <v>0</v>
      </c>
      <c r="X16" s="20"/>
      <c r="Y16" s="21">
        <f t="shared" si="13"/>
        <v>0</v>
      </c>
      <c r="Z16" s="22"/>
      <c r="AA16" s="27">
        <f t="shared" si="14"/>
        <v>0</v>
      </c>
      <c r="AB16" s="24">
        <f t="shared" si="15"/>
        <v>0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45246.0</v>
      </c>
      <c r="B17" s="20">
        <f t="shared" si="1"/>
        <v>0</v>
      </c>
      <c r="C17" s="21">
        <f t="shared" si="3"/>
        <v>0</v>
      </c>
      <c r="D17" s="22">
        <f t="shared" si="2"/>
        <v>0</v>
      </c>
      <c r="E17" s="27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0"/>
      <c r="M17" s="21">
        <f t="shared" si="7"/>
        <v>0</v>
      </c>
      <c r="N17" s="22"/>
      <c r="O17" s="27">
        <f t="shared" si="8"/>
        <v>0</v>
      </c>
      <c r="P17" s="24">
        <f t="shared" si="9"/>
        <v>0</v>
      </c>
      <c r="R17" s="20"/>
      <c r="S17" s="21">
        <f t="shared" si="10"/>
        <v>0</v>
      </c>
      <c r="T17" s="22"/>
      <c r="U17" s="27">
        <f t="shared" si="11"/>
        <v>0</v>
      </c>
      <c r="V17" s="24">
        <f t="shared" si="12"/>
        <v>0</v>
      </c>
      <c r="X17" s="20"/>
      <c r="Y17" s="21">
        <f t="shared" si="13"/>
        <v>0</v>
      </c>
      <c r="Z17" s="22"/>
      <c r="AA17" s="27">
        <f t="shared" si="14"/>
        <v>0</v>
      </c>
      <c r="AB17" s="24">
        <f t="shared" si="15"/>
        <v>0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45247.0</v>
      </c>
      <c r="B18" s="20">
        <f t="shared" si="1"/>
        <v>0</v>
      </c>
      <c r="C18" s="21">
        <f t="shared" si="3"/>
        <v>0</v>
      </c>
      <c r="D18" s="22">
        <f t="shared" si="2"/>
        <v>0</v>
      </c>
      <c r="E18" s="27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0"/>
      <c r="M18" s="21">
        <f t="shared" si="7"/>
        <v>0</v>
      </c>
      <c r="N18" s="22"/>
      <c r="O18" s="27">
        <f t="shared" si="8"/>
        <v>0</v>
      </c>
      <c r="P18" s="24">
        <f t="shared" si="9"/>
        <v>0</v>
      </c>
      <c r="R18" s="20"/>
      <c r="S18" s="21">
        <f t="shared" si="10"/>
        <v>0</v>
      </c>
      <c r="T18" s="22"/>
      <c r="U18" s="27">
        <f t="shared" si="11"/>
        <v>0</v>
      </c>
      <c r="V18" s="24">
        <f t="shared" si="12"/>
        <v>0</v>
      </c>
      <c r="X18" s="20"/>
      <c r="Y18" s="21">
        <f t="shared" si="13"/>
        <v>0</v>
      </c>
      <c r="Z18" s="22"/>
      <c r="AA18" s="27">
        <f t="shared" si="14"/>
        <v>0</v>
      </c>
      <c r="AB18" s="24">
        <f t="shared" si="15"/>
        <v>0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45248.0</v>
      </c>
      <c r="B19" s="20">
        <f t="shared" si="1"/>
        <v>0</v>
      </c>
      <c r="C19" s="21">
        <f t="shared" si="3"/>
        <v>0</v>
      </c>
      <c r="D19" s="22">
        <f t="shared" si="2"/>
        <v>0</v>
      </c>
      <c r="E19" s="27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M19" s="21">
        <f t="shared" si="7"/>
        <v>0</v>
      </c>
      <c r="N19" s="22"/>
      <c r="O19" s="27">
        <f t="shared" si="8"/>
        <v>0</v>
      </c>
      <c r="P19" s="24">
        <f t="shared" si="9"/>
        <v>0</v>
      </c>
      <c r="S19" s="21">
        <f t="shared" si="10"/>
        <v>0</v>
      </c>
      <c r="T19" s="22"/>
      <c r="U19" s="27">
        <f t="shared" si="11"/>
        <v>0</v>
      </c>
      <c r="V19" s="24">
        <f t="shared" si="12"/>
        <v>0</v>
      </c>
      <c r="Y19" s="21">
        <f t="shared" si="13"/>
        <v>0</v>
      </c>
      <c r="Z19" s="22"/>
      <c r="AA19" s="27">
        <f t="shared" si="14"/>
        <v>0</v>
      </c>
      <c r="AB19" s="24">
        <f t="shared" si="15"/>
        <v>0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45249.0</v>
      </c>
      <c r="B20" s="20">
        <f t="shared" si="1"/>
        <v>0</v>
      </c>
      <c r="C20" s="21">
        <f t="shared" si="3"/>
        <v>0</v>
      </c>
      <c r="D20" s="22">
        <f t="shared" si="2"/>
        <v>0</v>
      </c>
      <c r="E20" s="27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M20" s="21">
        <f t="shared" si="7"/>
        <v>0</v>
      </c>
      <c r="N20" s="22"/>
      <c r="O20" s="27">
        <f t="shared" si="8"/>
        <v>0</v>
      </c>
      <c r="P20" s="24">
        <f t="shared" si="9"/>
        <v>0</v>
      </c>
      <c r="S20" s="21">
        <f t="shared" si="10"/>
        <v>0</v>
      </c>
      <c r="T20" s="22"/>
      <c r="U20" s="27">
        <f t="shared" si="11"/>
        <v>0</v>
      </c>
      <c r="V20" s="24">
        <f t="shared" si="12"/>
        <v>0</v>
      </c>
      <c r="Y20" s="21">
        <f t="shared" si="13"/>
        <v>0</v>
      </c>
      <c r="Z20" s="22"/>
      <c r="AA20" s="27">
        <f t="shared" si="14"/>
        <v>0</v>
      </c>
      <c r="AB20" s="24">
        <f t="shared" si="15"/>
        <v>0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45250.0</v>
      </c>
      <c r="B21" s="20">
        <f t="shared" si="1"/>
        <v>0</v>
      </c>
      <c r="C21" s="21">
        <f t="shared" si="3"/>
        <v>0</v>
      </c>
      <c r="D21" s="22">
        <f t="shared" si="2"/>
        <v>0</v>
      </c>
      <c r="E21" s="27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M21" s="21">
        <f t="shared" si="7"/>
        <v>0</v>
      </c>
      <c r="N21" s="22"/>
      <c r="O21" s="27">
        <f t="shared" si="8"/>
        <v>0</v>
      </c>
      <c r="P21" s="24">
        <f t="shared" si="9"/>
        <v>0</v>
      </c>
      <c r="S21" s="21">
        <f t="shared" si="10"/>
        <v>0</v>
      </c>
      <c r="T21" s="22"/>
      <c r="U21" s="27">
        <f t="shared" si="11"/>
        <v>0</v>
      </c>
      <c r="V21" s="24">
        <f t="shared" si="12"/>
        <v>0</v>
      </c>
      <c r="Y21" s="21">
        <f t="shared" si="13"/>
        <v>0</v>
      </c>
      <c r="Z21" s="22"/>
      <c r="AA21" s="27">
        <f t="shared" si="14"/>
        <v>0</v>
      </c>
      <c r="AB21" s="24">
        <f t="shared" si="15"/>
        <v>0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45251.0</v>
      </c>
      <c r="B22" s="20">
        <f t="shared" si="1"/>
        <v>0</v>
      </c>
      <c r="C22" s="21">
        <f t="shared" si="3"/>
        <v>0</v>
      </c>
      <c r="D22" s="22">
        <f t="shared" si="2"/>
        <v>0</v>
      </c>
      <c r="E22" s="27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M22" s="21">
        <f t="shared" si="7"/>
        <v>0</v>
      </c>
      <c r="N22" s="22"/>
      <c r="O22" s="27">
        <f t="shared" si="8"/>
        <v>0</v>
      </c>
      <c r="P22" s="24">
        <f t="shared" si="9"/>
        <v>0</v>
      </c>
      <c r="S22" s="21">
        <f t="shared" si="10"/>
        <v>0</v>
      </c>
      <c r="T22" s="22"/>
      <c r="U22" s="27">
        <f t="shared" si="11"/>
        <v>0</v>
      </c>
      <c r="V22" s="24">
        <f t="shared" si="12"/>
        <v>0</v>
      </c>
      <c r="Y22" s="21">
        <f t="shared" si="13"/>
        <v>0</v>
      </c>
      <c r="Z22" s="22"/>
      <c r="AA22" s="27">
        <f t="shared" si="14"/>
        <v>0</v>
      </c>
      <c r="AB22" s="24">
        <f t="shared" si="15"/>
        <v>0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45252.0</v>
      </c>
      <c r="B23" s="20">
        <f t="shared" si="1"/>
        <v>0</v>
      </c>
      <c r="C23" s="21">
        <f t="shared" si="3"/>
        <v>0</v>
      </c>
      <c r="D23" s="22">
        <f t="shared" si="2"/>
        <v>0</v>
      </c>
      <c r="E23" s="27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0"/>
      <c r="M23" s="21">
        <f t="shared" si="7"/>
        <v>0</v>
      </c>
      <c r="N23" s="22"/>
      <c r="O23" s="27">
        <f t="shared" si="8"/>
        <v>0</v>
      </c>
      <c r="P23" s="24">
        <f t="shared" si="9"/>
        <v>0</v>
      </c>
      <c r="R23" s="20"/>
      <c r="S23" s="21">
        <f t="shared" si="10"/>
        <v>0</v>
      </c>
      <c r="T23" s="22"/>
      <c r="U23" s="27">
        <f t="shared" si="11"/>
        <v>0</v>
      </c>
      <c r="V23" s="24">
        <f t="shared" si="12"/>
        <v>0</v>
      </c>
      <c r="X23" s="20"/>
      <c r="Y23" s="21">
        <f t="shared" si="13"/>
        <v>0</v>
      </c>
      <c r="Z23" s="22"/>
      <c r="AA23" s="27">
        <f t="shared" si="14"/>
        <v>0</v>
      </c>
      <c r="AB23" s="24">
        <f t="shared" si="15"/>
        <v>0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45253.0</v>
      </c>
      <c r="B24" s="20">
        <f t="shared" si="1"/>
        <v>0</v>
      </c>
      <c r="C24" s="21">
        <f t="shared" si="3"/>
        <v>0</v>
      </c>
      <c r="D24" s="22">
        <f t="shared" si="2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1">
        <f t="shared" si="7"/>
        <v>0</v>
      </c>
      <c r="N24" s="22"/>
      <c r="O24" s="27">
        <f t="shared" si="8"/>
        <v>0</v>
      </c>
      <c r="P24" s="24">
        <f t="shared" si="9"/>
        <v>0</v>
      </c>
      <c r="S24" s="21">
        <f t="shared" si="10"/>
        <v>0</v>
      </c>
      <c r="T24" s="22"/>
      <c r="U24" s="27">
        <f t="shared" si="11"/>
        <v>0</v>
      </c>
      <c r="V24" s="24">
        <f t="shared" si="12"/>
        <v>0</v>
      </c>
      <c r="Y24" s="21">
        <f t="shared" si="13"/>
        <v>0</v>
      </c>
      <c r="Z24" s="22"/>
      <c r="AA24" s="27">
        <f t="shared" si="14"/>
        <v>0</v>
      </c>
      <c r="AB24" s="24">
        <f t="shared" si="15"/>
        <v>0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45254.0</v>
      </c>
      <c r="B25" s="20">
        <f t="shared" si="1"/>
        <v>0</v>
      </c>
      <c r="C25" s="21">
        <f t="shared" si="3"/>
        <v>0</v>
      </c>
      <c r="D25" s="22">
        <f t="shared" si="2"/>
        <v>0</v>
      </c>
      <c r="E25" s="27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M25" s="21">
        <f t="shared" si="7"/>
        <v>0</v>
      </c>
      <c r="N25" s="22"/>
      <c r="O25" s="27">
        <f t="shared" si="8"/>
        <v>0</v>
      </c>
      <c r="P25" s="24">
        <f t="shared" si="9"/>
        <v>0</v>
      </c>
      <c r="S25" s="21">
        <f t="shared" si="10"/>
        <v>0</v>
      </c>
      <c r="T25" s="22"/>
      <c r="U25" s="27">
        <f t="shared" si="11"/>
        <v>0</v>
      </c>
      <c r="V25" s="24">
        <f t="shared" si="12"/>
        <v>0</v>
      </c>
      <c r="Y25" s="21">
        <f t="shared" si="13"/>
        <v>0</v>
      </c>
      <c r="Z25" s="22"/>
      <c r="AA25" s="27">
        <f t="shared" si="14"/>
        <v>0</v>
      </c>
      <c r="AB25" s="24">
        <f t="shared" si="15"/>
        <v>0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45255.0</v>
      </c>
      <c r="B26" s="20">
        <f t="shared" si="1"/>
        <v>0</v>
      </c>
      <c r="C26" s="21">
        <f t="shared" si="3"/>
        <v>0</v>
      </c>
      <c r="D26" s="22">
        <f t="shared" si="2"/>
        <v>0</v>
      </c>
      <c r="E26" s="27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M26" s="21">
        <f t="shared" si="7"/>
        <v>0</v>
      </c>
      <c r="N26" s="22"/>
      <c r="O26" s="27">
        <f t="shared" si="8"/>
        <v>0</v>
      </c>
      <c r="P26" s="24">
        <f t="shared" si="9"/>
        <v>0</v>
      </c>
      <c r="S26" s="21">
        <f t="shared" si="10"/>
        <v>0</v>
      </c>
      <c r="T26" s="22"/>
      <c r="U26" s="27">
        <f t="shared" si="11"/>
        <v>0</v>
      </c>
      <c r="V26" s="24">
        <f t="shared" si="12"/>
        <v>0</v>
      </c>
      <c r="Y26" s="21">
        <f t="shared" si="13"/>
        <v>0</v>
      </c>
      <c r="Z26" s="22"/>
      <c r="AA26" s="27">
        <f t="shared" si="14"/>
        <v>0</v>
      </c>
      <c r="AB26" s="24">
        <f t="shared" si="15"/>
        <v>0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45256.0</v>
      </c>
      <c r="B27" s="20">
        <f t="shared" si="1"/>
        <v>0</v>
      </c>
      <c r="C27" s="21">
        <f t="shared" si="3"/>
        <v>0</v>
      </c>
      <c r="D27" s="22">
        <f t="shared" si="2"/>
        <v>0</v>
      </c>
      <c r="E27" s="27">
        <f t="shared" si="4"/>
        <v>0</v>
      </c>
      <c r="F27" s="24">
        <f t="shared" si="5"/>
        <v>0</v>
      </c>
      <c r="H27" s="26"/>
      <c r="I27" s="26"/>
      <c r="J27" s="27">
        <f t="shared" si="6"/>
        <v>0</v>
      </c>
      <c r="M27" s="21">
        <f t="shared" si="7"/>
        <v>0</v>
      </c>
      <c r="N27" s="22"/>
      <c r="O27" s="27">
        <f t="shared" si="8"/>
        <v>0</v>
      </c>
      <c r="P27" s="24">
        <f t="shared" si="9"/>
        <v>0</v>
      </c>
      <c r="S27" s="21">
        <f t="shared" si="10"/>
        <v>0</v>
      </c>
      <c r="T27" s="22"/>
      <c r="U27" s="27">
        <f t="shared" si="11"/>
        <v>0</v>
      </c>
      <c r="V27" s="24">
        <f t="shared" si="12"/>
        <v>0</v>
      </c>
      <c r="Y27" s="21">
        <f t="shared" si="13"/>
        <v>0</v>
      </c>
      <c r="Z27" s="22"/>
      <c r="AA27" s="27">
        <f t="shared" si="14"/>
        <v>0</v>
      </c>
      <c r="AB27" s="24">
        <f t="shared" si="15"/>
        <v>0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45257.0</v>
      </c>
      <c r="B28" s="20">
        <f t="shared" si="1"/>
        <v>0</v>
      </c>
      <c r="C28" s="21">
        <f t="shared" si="3"/>
        <v>0</v>
      </c>
      <c r="D28" s="22">
        <f t="shared" si="2"/>
        <v>0</v>
      </c>
      <c r="E28" s="27">
        <f t="shared" si="4"/>
        <v>0</v>
      </c>
      <c r="F28" s="24">
        <f t="shared" si="5"/>
        <v>0</v>
      </c>
      <c r="H28" s="26"/>
      <c r="I28" s="26"/>
      <c r="J28" s="27">
        <f t="shared" si="6"/>
        <v>0</v>
      </c>
      <c r="M28" s="21">
        <f t="shared" si="7"/>
        <v>0</v>
      </c>
      <c r="N28" s="22"/>
      <c r="O28" s="27">
        <f t="shared" si="8"/>
        <v>0</v>
      </c>
      <c r="P28" s="24">
        <f t="shared" si="9"/>
        <v>0</v>
      </c>
      <c r="S28" s="21">
        <f t="shared" si="10"/>
        <v>0</v>
      </c>
      <c r="T28" s="22"/>
      <c r="U28" s="27">
        <f t="shared" si="11"/>
        <v>0</v>
      </c>
      <c r="V28" s="24">
        <f t="shared" si="12"/>
        <v>0</v>
      </c>
      <c r="Y28" s="21">
        <f t="shared" si="13"/>
        <v>0</v>
      </c>
      <c r="Z28" s="22"/>
      <c r="AA28" s="27">
        <f t="shared" si="14"/>
        <v>0</v>
      </c>
      <c r="AB28" s="24">
        <f t="shared" si="15"/>
        <v>0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45258.0</v>
      </c>
      <c r="B29" s="20">
        <f t="shared" si="1"/>
        <v>0</v>
      </c>
      <c r="C29" s="21">
        <f t="shared" si="3"/>
        <v>0</v>
      </c>
      <c r="D29" s="22">
        <f t="shared" si="2"/>
        <v>0</v>
      </c>
      <c r="E29" s="27">
        <f t="shared" si="4"/>
        <v>0</v>
      </c>
      <c r="F29" s="24">
        <f t="shared" si="5"/>
        <v>0</v>
      </c>
      <c r="H29" s="26"/>
      <c r="I29" s="26"/>
      <c r="J29" s="27">
        <f t="shared" si="6"/>
        <v>0</v>
      </c>
      <c r="L29" s="20"/>
      <c r="M29" s="21">
        <f t="shared" si="7"/>
        <v>0</v>
      </c>
      <c r="N29" s="22"/>
      <c r="O29" s="27">
        <f t="shared" si="8"/>
        <v>0</v>
      </c>
      <c r="P29" s="24">
        <f t="shared" si="9"/>
        <v>0</v>
      </c>
      <c r="R29" s="20"/>
      <c r="S29" s="21">
        <f t="shared" si="10"/>
        <v>0</v>
      </c>
      <c r="T29" s="32"/>
      <c r="U29" s="27">
        <f t="shared" si="11"/>
        <v>0</v>
      </c>
      <c r="V29" s="24">
        <f t="shared" si="12"/>
        <v>0</v>
      </c>
      <c r="X29" s="20"/>
      <c r="Y29" s="21">
        <f t="shared" si="13"/>
        <v>0</v>
      </c>
      <c r="Z29" s="22"/>
      <c r="AA29" s="27">
        <f t="shared" si="14"/>
        <v>0</v>
      </c>
      <c r="AB29" s="24">
        <f t="shared" si="15"/>
        <v>0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45259.0</v>
      </c>
      <c r="B30" s="20">
        <f t="shared" si="1"/>
        <v>0</v>
      </c>
      <c r="C30" s="21">
        <f t="shared" si="3"/>
        <v>0</v>
      </c>
      <c r="D30" s="22">
        <f t="shared" si="2"/>
        <v>0</v>
      </c>
      <c r="E30" s="27">
        <f t="shared" si="4"/>
        <v>0</v>
      </c>
      <c r="F30" s="24">
        <f t="shared" si="5"/>
        <v>0</v>
      </c>
      <c r="H30" s="26"/>
      <c r="I30" s="26"/>
      <c r="J30" s="27">
        <f t="shared" si="6"/>
        <v>0</v>
      </c>
      <c r="M30" s="21">
        <f t="shared" si="7"/>
        <v>0</v>
      </c>
      <c r="N30" s="22"/>
      <c r="O30" s="27">
        <f t="shared" si="8"/>
        <v>0</v>
      </c>
      <c r="P30" s="24">
        <f t="shared" si="9"/>
        <v>0</v>
      </c>
      <c r="S30" s="21">
        <f t="shared" si="10"/>
        <v>0</v>
      </c>
      <c r="T30" s="22"/>
      <c r="U30" s="27">
        <f t="shared" si="11"/>
        <v>0</v>
      </c>
      <c r="V30" s="24">
        <f t="shared" si="12"/>
        <v>0</v>
      </c>
      <c r="Y30" s="21">
        <f t="shared" si="13"/>
        <v>0</v>
      </c>
      <c r="Z30" s="22"/>
      <c r="AA30" s="27">
        <f t="shared" si="14"/>
        <v>0</v>
      </c>
      <c r="AB30" s="24">
        <f t="shared" si="15"/>
        <v>0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45260.0</v>
      </c>
      <c r="B31" s="20">
        <f t="shared" si="1"/>
        <v>0</v>
      </c>
      <c r="C31" s="21">
        <f t="shared" si="3"/>
        <v>0</v>
      </c>
      <c r="D31" s="22">
        <f t="shared" si="2"/>
        <v>0</v>
      </c>
      <c r="E31" s="27">
        <f t="shared" si="4"/>
        <v>0</v>
      </c>
      <c r="F31" s="24">
        <f t="shared" si="5"/>
        <v>0</v>
      </c>
      <c r="H31" s="26"/>
      <c r="I31" s="26"/>
      <c r="J31" s="27">
        <f t="shared" si="6"/>
        <v>0</v>
      </c>
      <c r="L31" s="20"/>
      <c r="M31" s="21">
        <f t="shared" si="7"/>
        <v>0</v>
      </c>
      <c r="N31" s="22"/>
      <c r="O31" s="27">
        <f t="shared" si="8"/>
        <v>0</v>
      </c>
      <c r="P31" s="24">
        <f t="shared" si="9"/>
        <v>0</v>
      </c>
      <c r="R31" s="20"/>
      <c r="S31" s="21">
        <f t="shared" si="10"/>
        <v>0</v>
      </c>
      <c r="T31" s="22"/>
      <c r="U31" s="27">
        <f t="shared" si="11"/>
        <v>0</v>
      </c>
      <c r="V31" s="24">
        <f t="shared" si="12"/>
        <v>0</v>
      </c>
      <c r="X31" s="20"/>
      <c r="Y31" s="21">
        <f t="shared" si="13"/>
        <v>0</v>
      </c>
      <c r="Z31" s="22"/>
      <c r="AA31" s="27">
        <f t="shared" si="14"/>
        <v>0</v>
      </c>
      <c r="AB31" s="24">
        <f t="shared" si="15"/>
        <v>0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33" t="s">
        <v>37</v>
      </c>
      <c r="B32" s="34"/>
      <c r="C32" s="34">
        <f>SUM(C2:C31)</f>
        <v>0</v>
      </c>
      <c r="D32" s="35"/>
      <c r="E32" s="35">
        <f>SUM(E2:E31)</f>
        <v>0</v>
      </c>
      <c r="F32" s="36">
        <f>IF(E32=0, 0, (E32)/C32)</f>
        <v>0</v>
      </c>
      <c r="G32" s="37">
        <f>SUM(G2:G31)</f>
        <v>0</v>
      </c>
      <c r="H32" s="35">
        <f t="shared" ref="H32:I32" si="31">SUM(H1:H31)</f>
        <v>0</v>
      </c>
      <c r="I32" s="35">
        <f t="shared" si="31"/>
        <v>0</v>
      </c>
      <c r="J32" s="35">
        <f t="shared" si="6"/>
        <v>0</v>
      </c>
      <c r="L32" s="34"/>
      <c r="M32" s="34">
        <f>SUM(M2:M31)</f>
        <v>0</v>
      </c>
      <c r="N32" s="35"/>
      <c r="O32" s="35">
        <f>SUM(O2:O31)</f>
        <v>0</v>
      </c>
      <c r="P32" s="36" t="str">
        <f>O32/M32</f>
        <v>#DIV/0!</v>
      </c>
      <c r="R32" s="34"/>
      <c r="S32" s="34">
        <f>SUM(S2:S31)</f>
        <v>0</v>
      </c>
      <c r="T32" s="35"/>
      <c r="U32" s="35">
        <f>SUM(U2:U31)</f>
        <v>0</v>
      </c>
      <c r="V32" s="36" t="str">
        <f>U32/S32</f>
        <v>#DIV/0!</v>
      </c>
      <c r="X32" s="34"/>
      <c r="Y32" s="34">
        <f>SUM(Y2:Y31)</f>
        <v>0</v>
      </c>
      <c r="Z32" s="35"/>
      <c r="AA32" s="35">
        <f>SUM(AA2:AA31)</f>
        <v>0</v>
      </c>
      <c r="AB32" s="36" t="str">
        <f>AA32/Y32</f>
        <v>#DIV/0!</v>
      </c>
      <c r="AD32" s="34"/>
      <c r="AE32" s="34">
        <f>SUM(AE2:AE31)</f>
        <v>0</v>
      </c>
      <c r="AF32" s="35"/>
      <c r="AG32" s="35">
        <f>SUM(AG2:AG31)</f>
        <v>0</v>
      </c>
      <c r="AH32" s="36" t="str">
        <f>AG32/AE32</f>
        <v>#DIV/0!</v>
      </c>
      <c r="AJ32" s="34"/>
      <c r="AK32" s="34">
        <f>SUM(AK2:AK31)</f>
        <v>0</v>
      </c>
      <c r="AL32" s="35"/>
      <c r="AM32" s="35">
        <f>SUM(AM2:AM31)</f>
        <v>0</v>
      </c>
      <c r="AN32" s="36" t="str">
        <f>AM32/AK32</f>
        <v>#DIV/0!</v>
      </c>
      <c r="AP32" s="34"/>
      <c r="AQ32" s="34">
        <f>SUM(AQ2:AQ31)</f>
        <v>0</v>
      </c>
      <c r="AR32" s="35"/>
      <c r="AS32" s="35">
        <f>SUM(AS2:AS31)</f>
        <v>0</v>
      </c>
      <c r="AT32" s="36" t="str">
        <f>AS32/AQ32</f>
        <v>#DIV/0!</v>
      </c>
      <c r="AV32" s="34"/>
      <c r="AW32" s="34">
        <f>SUM(AW2:AW31)</f>
        <v>0</v>
      </c>
      <c r="AX32" s="35"/>
      <c r="AY32" s="35">
        <f>SUM(AY2:AY31)</f>
        <v>0</v>
      </c>
      <c r="AZ32" s="36" t="str">
        <f>AY32/AW32</f>
        <v>#DIV/0!</v>
      </c>
      <c r="BB32" s="34"/>
      <c r="BC32" s="34">
        <f>SUM(BC2:BC31)</f>
        <v>0</v>
      </c>
      <c r="BD32" s="35"/>
      <c r="BE32" s="35">
        <f>SUM(BE2:BE31)</f>
        <v>0</v>
      </c>
      <c r="BF32" s="36" t="str">
        <f>BE32/BC32</f>
        <v>#DIV/0!</v>
      </c>
      <c r="BG32" s="38"/>
      <c r="BH32" s="38"/>
      <c r="BI32" s="38"/>
      <c r="BJ32" s="38"/>
      <c r="BK32" s="38"/>
      <c r="BL32" s="38"/>
      <c r="BM32" s="38"/>
      <c r="BN32" s="38"/>
      <c r="BO32" s="38"/>
      <c r="BP32" s="38"/>
    </row>
    <row r="33"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</row>
    <row r="34">
      <c r="A34" s="40" t="s">
        <v>4</v>
      </c>
      <c r="B34" s="41">
        <f>E32</f>
        <v>0</v>
      </c>
      <c r="C34" s="42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>
      <c r="A35" s="40" t="s">
        <v>38</v>
      </c>
      <c r="B35" s="43">
        <f>H32</f>
        <v>0</v>
      </c>
      <c r="C35" s="44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>
      <c r="A36" s="40" t="s">
        <v>39</v>
      </c>
      <c r="B36" s="45" t="str">
        <f>B35/E32</f>
        <v>#DIV/0!</v>
      </c>
      <c r="C36" s="46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</row>
    <row r="37">
      <c r="A37" s="40" t="s">
        <v>10</v>
      </c>
      <c r="B37" s="47">
        <f>I32</f>
        <v>0</v>
      </c>
      <c r="C37" s="46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</row>
    <row r="38">
      <c r="A38" s="40" t="s">
        <v>40</v>
      </c>
      <c r="B38" s="45" t="str">
        <f>B37/B34</f>
        <v>#DIV/0!</v>
      </c>
      <c r="C38" s="46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</row>
    <row r="39">
      <c r="A39" s="40" t="s">
        <v>41</v>
      </c>
      <c r="B39" s="48">
        <f>C32</f>
        <v>0</v>
      </c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</row>
    <row r="40">
      <c r="D40" s="49"/>
      <c r="H40" s="4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</row>
    <row r="41">
      <c r="A41" s="50"/>
      <c r="B41" s="50"/>
      <c r="C41" s="50"/>
      <c r="D41" s="50"/>
      <c r="E41" s="50"/>
      <c r="F41" s="50"/>
      <c r="G41" s="50"/>
      <c r="H41" s="50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</row>
    <row r="42">
      <c r="A42" s="39"/>
      <c r="B42" s="51"/>
      <c r="C42" s="39"/>
      <c r="D42" s="39"/>
      <c r="E42" s="39"/>
      <c r="F42" s="51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>
      <c r="A43" s="39"/>
      <c r="B43" s="51"/>
      <c r="C43" s="39"/>
      <c r="D43" s="39"/>
      <c r="E43" s="39"/>
      <c r="F43" s="5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44">
      <c r="A44" s="39"/>
      <c r="B44" s="51"/>
      <c r="C44" s="39"/>
      <c r="D44" s="39"/>
      <c r="E44" s="39"/>
      <c r="F44" s="5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</row>
    <row r="45">
      <c r="A45" s="39"/>
      <c r="B45" s="51"/>
      <c r="C45" s="39"/>
      <c r="D45" s="39"/>
      <c r="E45" s="39"/>
      <c r="F45" s="5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</row>
    <row r="46">
      <c r="A46" s="39"/>
      <c r="B46" s="51"/>
      <c r="C46" s="39"/>
      <c r="D46" s="39"/>
      <c r="E46" s="39"/>
      <c r="F46" s="5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</row>
    <row r="47">
      <c r="A47" s="39"/>
      <c r="B47" s="51"/>
      <c r="C47" s="39"/>
      <c r="D47" s="39"/>
      <c r="E47" s="39"/>
      <c r="F47" s="5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</row>
    <row r="48">
      <c r="A48" s="39"/>
      <c r="B48" s="51"/>
      <c r="C48" s="39"/>
      <c r="D48" s="39"/>
      <c r="E48" s="39"/>
      <c r="F48" s="5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>
      <c r="A49" s="39"/>
      <c r="B49" s="51"/>
      <c r="C49" s="39"/>
      <c r="D49" s="39"/>
      <c r="E49" s="39"/>
      <c r="F49" s="5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</row>
    <row r="50">
      <c r="A50" s="39"/>
      <c r="B50" s="51"/>
      <c r="C50" s="39"/>
      <c r="D50" s="39"/>
      <c r="E50" s="39"/>
      <c r="F50" s="5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</row>
    <row r="51">
      <c r="A51" s="39"/>
      <c r="B51" s="51"/>
      <c r="C51" s="39"/>
      <c r="D51" s="39"/>
      <c r="E51" s="39"/>
      <c r="F51" s="5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</row>
    <row r="52">
      <c r="A52" s="39"/>
      <c r="B52" s="51"/>
      <c r="C52" s="39"/>
      <c r="D52" s="39"/>
      <c r="E52" s="39"/>
      <c r="F52" s="5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</row>
    <row r="53">
      <c r="A53" s="39"/>
      <c r="B53" s="51"/>
      <c r="C53" s="39"/>
      <c r="D53" s="39"/>
      <c r="E53" s="39"/>
      <c r="F53" s="5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</row>
    <row r="54">
      <c r="A54" s="39"/>
      <c r="B54" s="51"/>
      <c r="C54" s="39"/>
      <c r="D54" s="39"/>
      <c r="E54" s="39"/>
      <c r="F54" s="5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</row>
    <row r="55">
      <c r="A55" s="39"/>
      <c r="B55" s="51"/>
      <c r="C55" s="39"/>
      <c r="D55" s="39"/>
      <c r="E55" s="39"/>
      <c r="F55" s="5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</row>
    <row r="56">
      <c r="A56" s="39"/>
      <c r="B56" s="51"/>
      <c r="C56" s="39"/>
      <c r="D56" s="39"/>
      <c r="E56" s="39"/>
      <c r="F56" s="5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</row>
    <row r="57">
      <c r="A57" s="39"/>
      <c r="B57" s="51"/>
      <c r="C57" s="39"/>
      <c r="D57" s="39"/>
      <c r="E57" s="39"/>
      <c r="F57" s="5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</row>
    <row r="58">
      <c r="A58" s="39"/>
      <c r="B58" s="51"/>
      <c r="C58" s="39"/>
      <c r="D58" s="39"/>
      <c r="E58" s="39"/>
      <c r="F58" s="5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</row>
    <row r="59">
      <c r="A59" s="39"/>
      <c r="B59" s="51"/>
      <c r="C59" s="39"/>
      <c r="D59" s="39"/>
      <c r="E59" s="39"/>
      <c r="F59" s="5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</row>
    <row r="60">
      <c r="A60" s="39"/>
      <c r="B60" s="51"/>
      <c r="C60" s="39"/>
      <c r="D60" s="39"/>
      <c r="E60" s="39"/>
      <c r="F60" s="5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</row>
    <row r="61">
      <c r="A61" s="39"/>
      <c r="B61" s="51"/>
      <c r="C61" s="39"/>
      <c r="D61" s="39"/>
      <c r="E61" s="39"/>
      <c r="F61" s="5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</row>
    <row r="62">
      <c r="A62" s="39"/>
      <c r="B62" s="51"/>
      <c r="C62" s="39"/>
      <c r="D62" s="39"/>
      <c r="E62" s="39"/>
      <c r="F62" s="5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</row>
    <row r="63">
      <c r="A63" s="39"/>
      <c r="B63" s="51"/>
      <c r="C63" s="39"/>
      <c r="D63" s="39"/>
      <c r="E63" s="39"/>
      <c r="F63" s="5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</row>
    <row r="64">
      <c r="A64" s="39"/>
      <c r="B64" s="51"/>
      <c r="C64" s="39"/>
      <c r="D64" s="39"/>
      <c r="E64" s="39"/>
      <c r="F64" s="5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</row>
    <row r="65">
      <c r="A65" s="39"/>
      <c r="B65" s="51"/>
      <c r="C65" s="39"/>
      <c r="D65" s="39"/>
      <c r="E65" s="39"/>
      <c r="F65" s="5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</row>
    <row r="66">
      <c r="A66" s="39"/>
      <c r="B66" s="51"/>
      <c r="C66" s="39"/>
      <c r="D66" s="39"/>
      <c r="E66" s="39"/>
      <c r="F66" s="5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</row>
    <row r="67">
      <c r="A67" s="39"/>
      <c r="B67" s="51"/>
      <c r="C67" s="39"/>
      <c r="D67" s="39"/>
      <c r="E67" s="39"/>
      <c r="F67" s="5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</row>
    <row r="68">
      <c r="A68" s="39"/>
      <c r="B68" s="51"/>
      <c r="C68" s="39"/>
      <c r="D68" s="39"/>
      <c r="E68" s="39"/>
      <c r="F68" s="5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</row>
    <row r="69">
      <c r="A69" s="39"/>
      <c r="B69" s="51"/>
      <c r="C69" s="39"/>
      <c r="D69" s="39"/>
      <c r="E69" s="39"/>
      <c r="F69" s="5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</row>
    <row r="70">
      <c r="A70" s="39"/>
      <c r="B70" s="51"/>
      <c r="C70" s="39"/>
      <c r="D70" s="39"/>
      <c r="E70" s="39"/>
      <c r="F70" s="5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</row>
    <row r="71">
      <c r="A71" s="39"/>
      <c r="B71" s="51"/>
      <c r="C71" s="39"/>
      <c r="D71" s="39"/>
      <c r="E71" s="39"/>
      <c r="F71" s="5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</row>
    <row r="72">
      <c r="A72" s="39"/>
      <c r="B72" s="51"/>
      <c r="C72" s="39"/>
      <c r="D72" s="39"/>
      <c r="E72" s="39"/>
      <c r="F72" s="5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</row>
    <row r="73">
      <c r="A73" s="39"/>
      <c r="B73" s="39"/>
      <c r="C73" s="39"/>
      <c r="D73" s="51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</row>
    <row r="74">
      <c r="A74" s="39"/>
      <c r="B74" s="39"/>
      <c r="C74" s="39"/>
      <c r="D74" s="51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</row>
    <row r="75">
      <c r="A75" s="39"/>
      <c r="B75" s="39"/>
      <c r="C75" s="39"/>
      <c r="D75" s="51"/>
      <c r="E75" s="39"/>
      <c r="F75" s="39"/>
      <c r="G75" s="39"/>
      <c r="H75" s="39"/>
      <c r="I75" s="39"/>
      <c r="K75" s="39"/>
      <c r="L75" s="39"/>
      <c r="M75" s="39"/>
      <c r="N75" s="39"/>
      <c r="O75" s="39"/>
      <c r="P75" s="39"/>
      <c r="Q75" s="39"/>
    </row>
    <row r="76">
      <c r="A76" s="39"/>
      <c r="B76" s="39"/>
      <c r="C76" s="39"/>
      <c r="D76" s="51"/>
      <c r="E76" s="39"/>
      <c r="F76" s="39"/>
      <c r="G76" s="39"/>
      <c r="H76" s="39"/>
      <c r="I76" s="39"/>
      <c r="K76" s="39"/>
      <c r="L76" s="39"/>
      <c r="M76" s="39"/>
      <c r="N76" s="39"/>
      <c r="O76" s="39"/>
      <c r="P76" s="39"/>
      <c r="Q76" s="39"/>
    </row>
    <row r="77">
      <c r="A77" s="39"/>
      <c r="B77" s="39"/>
      <c r="C77" s="39"/>
      <c r="D77" s="51"/>
      <c r="E77" s="39"/>
      <c r="F77" s="39"/>
      <c r="G77" s="39"/>
      <c r="H77" s="39"/>
      <c r="I77" s="39"/>
      <c r="K77" s="39"/>
      <c r="L77" s="39"/>
      <c r="M77" s="39"/>
      <c r="N77" s="39"/>
      <c r="O77" s="39"/>
      <c r="P77" s="39"/>
      <c r="Q77" s="39"/>
    </row>
    <row r="78">
      <c r="C78" s="39"/>
      <c r="D78" s="51"/>
      <c r="E78" s="39"/>
      <c r="F78" s="39"/>
      <c r="G78" s="39"/>
      <c r="K78" s="39"/>
      <c r="L78" s="39"/>
      <c r="M78" s="39"/>
      <c r="N78" s="39"/>
      <c r="O78" s="39"/>
      <c r="P78" s="39"/>
      <c r="Q78" s="39"/>
    </row>
    <row r="79">
      <c r="C79" s="39"/>
      <c r="D79" s="51"/>
      <c r="E79" s="39"/>
      <c r="F79" s="39"/>
      <c r="G79" s="39"/>
      <c r="K79" s="39"/>
      <c r="L79" s="39"/>
      <c r="M79" s="39"/>
      <c r="N79" s="39"/>
      <c r="O79" s="39"/>
      <c r="P79" s="39"/>
      <c r="Q79" s="39"/>
    </row>
    <row r="80">
      <c r="C80" s="39"/>
      <c r="D80" s="51"/>
      <c r="E80" s="39"/>
      <c r="F80" s="39"/>
      <c r="G80" s="39"/>
      <c r="K80" s="39"/>
      <c r="L80" s="39"/>
      <c r="M80" s="39"/>
      <c r="N80" s="39"/>
      <c r="O80" s="39"/>
      <c r="P80" s="39"/>
      <c r="Q80" s="39"/>
    </row>
    <row r="81">
      <c r="C81" s="39"/>
      <c r="D81" s="51"/>
      <c r="E81" s="39"/>
      <c r="F81" s="39"/>
      <c r="G81" s="39"/>
      <c r="K81" s="39"/>
      <c r="L81" s="39"/>
      <c r="M81" s="39"/>
      <c r="N81" s="39"/>
      <c r="O81" s="39"/>
      <c r="P81" s="39"/>
      <c r="Q81" s="39"/>
    </row>
    <row r="82">
      <c r="C82" s="39"/>
      <c r="D82" s="51"/>
      <c r="E82" s="39"/>
      <c r="F82" s="39"/>
      <c r="G82" s="39"/>
      <c r="K82" s="39"/>
      <c r="L82" s="39"/>
      <c r="M82" s="39"/>
      <c r="N82" s="39"/>
      <c r="O82" s="39"/>
      <c r="P82" s="39"/>
      <c r="Q82" s="39"/>
    </row>
    <row r="83">
      <c r="C83" s="39"/>
      <c r="D83" s="51"/>
      <c r="E83" s="39"/>
      <c r="F83" s="39"/>
      <c r="G83" s="39"/>
      <c r="K83" s="39"/>
      <c r="L83" s="39"/>
      <c r="M83" s="39"/>
      <c r="N83" s="39"/>
      <c r="O83" s="39"/>
      <c r="P83" s="39"/>
      <c r="Q83" s="39"/>
    </row>
    <row r="84">
      <c r="C84" s="39"/>
      <c r="D84" s="51"/>
      <c r="E84" s="39"/>
      <c r="F84" s="39"/>
      <c r="G84" s="39"/>
      <c r="K84" s="39"/>
      <c r="L84" s="39"/>
      <c r="M84" s="39"/>
      <c r="N84" s="39"/>
      <c r="O84" s="39"/>
      <c r="P84" s="39"/>
      <c r="Q84" s="39"/>
    </row>
    <row r="85">
      <c r="C85" s="39"/>
      <c r="D85" s="51"/>
      <c r="E85" s="39"/>
      <c r="F85" s="39"/>
      <c r="G85" s="39"/>
      <c r="K85" s="39"/>
      <c r="L85" s="39"/>
      <c r="M85" s="39"/>
      <c r="N85" s="39"/>
      <c r="O85" s="39"/>
      <c r="P85" s="39"/>
      <c r="Q85" s="39"/>
    </row>
    <row r="86">
      <c r="C86" s="39"/>
      <c r="D86" s="51"/>
      <c r="E86" s="39"/>
      <c r="F86" s="39"/>
      <c r="G86" s="39"/>
      <c r="K86" s="39"/>
      <c r="L86" s="39"/>
      <c r="M86" s="39"/>
      <c r="N86" s="39"/>
      <c r="O86" s="39"/>
      <c r="P86" s="39"/>
      <c r="Q86" s="39"/>
    </row>
    <row r="87">
      <c r="C87" s="39"/>
      <c r="D87" s="51"/>
      <c r="E87" s="39"/>
      <c r="F87" s="39"/>
      <c r="G87" s="39"/>
      <c r="K87" s="39"/>
      <c r="L87" s="39"/>
      <c r="M87" s="39"/>
      <c r="N87" s="39"/>
      <c r="O87" s="39"/>
      <c r="P87" s="39"/>
      <c r="Q87" s="39"/>
    </row>
    <row r="88">
      <c r="C88" s="39"/>
      <c r="D88" s="51"/>
      <c r="E88" s="39"/>
      <c r="F88" s="39"/>
      <c r="G88" s="39"/>
      <c r="K88" s="39"/>
      <c r="L88" s="39"/>
      <c r="M88" s="39"/>
      <c r="N88" s="39"/>
      <c r="O88" s="39"/>
      <c r="P88" s="39"/>
      <c r="Q88" s="39"/>
    </row>
    <row r="89">
      <c r="C89" s="39"/>
      <c r="D89" s="51"/>
      <c r="E89" s="39"/>
      <c r="F89" s="39"/>
      <c r="G89" s="39"/>
      <c r="K89" s="39"/>
      <c r="L89" s="39"/>
      <c r="M89" s="39"/>
      <c r="N89" s="39"/>
      <c r="O89" s="39"/>
      <c r="P89" s="39"/>
      <c r="Q89" s="39"/>
    </row>
    <row r="90">
      <c r="D90" s="49"/>
      <c r="K90" s="39"/>
      <c r="L90" s="39"/>
      <c r="M90" s="39"/>
      <c r="N90" s="39"/>
      <c r="O90" s="39"/>
      <c r="P90" s="39"/>
      <c r="Q90" s="39"/>
    </row>
    <row r="91">
      <c r="D91" s="49"/>
      <c r="K91" s="39"/>
      <c r="L91" s="39"/>
      <c r="M91" s="39"/>
      <c r="N91" s="39"/>
      <c r="O91" s="39"/>
      <c r="P91" s="39"/>
      <c r="Q91" s="39"/>
    </row>
    <row r="92">
      <c r="D92" s="49"/>
      <c r="K92" s="39"/>
      <c r="L92" s="39"/>
      <c r="M92" s="39"/>
      <c r="N92" s="39"/>
      <c r="O92" s="39"/>
      <c r="P92" s="39"/>
      <c r="Q92" s="39"/>
    </row>
    <row r="93">
      <c r="D93" s="49"/>
      <c r="K93" s="39"/>
      <c r="L93" s="39"/>
      <c r="M93" s="39"/>
      <c r="N93" s="39"/>
      <c r="O93" s="39"/>
      <c r="P93" s="39"/>
      <c r="Q93" s="39"/>
    </row>
    <row r="94">
      <c r="D94" s="49"/>
      <c r="K94" s="39"/>
      <c r="L94" s="39"/>
      <c r="M94" s="39"/>
      <c r="N94" s="39"/>
      <c r="O94" s="39"/>
      <c r="P94" s="39"/>
      <c r="Q94" s="39"/>
    </row>
    <row r="95">
      <c r="D95" s="49"/>
      <c r="K95" s="39"/>
      <c r="L95" s="39"/>
      <c r="M95" s="39"/>
      <c r="N95" s="39"/>
      <c r="O95" s="39"/>
      <c r="P95" s="39"/>
      <c r="Q95" s="39"/>
    </row>
    <row r="96">
      <c r="D96" s="49"/>
      <c r="K96" s="39"/>
      <c r="L96" s="39"/>
      <c r="M96" s="39"/>
      <c r="N96" s="39"/>
      <c r="O96" s="39"/>
      <c r="P96" s="39"/>
      <c r="Q96" s="39"/>
    </row>
    <row r="97">
      <c r="D97" s="49"/>
      <c r="K97" s="39"/>
      <c r="L97" s="39"/>
      <c r="M97" s="39"/>
      <c r="N97" s="39"/>
      <c r="O97" s="39"/>
      <c r="P97" s="39"/>
      <c r="Q97" s="39"/>
    </row>
    <row r="98">
      <c r="D98" s="49"/>
      <c r="K98" s="39"/>
      <c r="L98" s="39"/>
      <c r="M98" s="39"/>
      <c r="N98" s="39"/>
      <c r="O98" s="39"/>
      <c r="P98" s="39"/>
      <c r="Q98" s="39"/>
    </row>
    <row r="99">
      <c r="D99" s="49"/>
      <c r="K99" s="39"/>
      <c r="L99" s="39"/>
      <c r="M99" s="39"/>
      <c r="N99" s="39"/>
      <c r="O99" s="39"/>
      <c r="P99" s="39"/>
      <c r="Q99" s="39"/>
    </row>
    <row r="100">
      <c r="D100" s="49"/>
      <c r="K100" s="39"/>
      <c r="L100" s="39"/>
      <c r="M100" s="39"/>
      <c r="N100" s="39"/>
      <c r="O100" s="39"/>
      <c r="P100" s="39"/>
      <c r="Q100" s="39"/>
    </row>
    <row r="101">
      <c r="D101" s="49"/>
      <c r="K101" s="39"/>
      <c r="L101" s="39"/>
      <c r="M101" s="39"/>
      <c r="N101" s="39"/>
      <c r="O101" s="39"/>
      <c r="P101" s="39"/>
      <c r="Q101" s="39"/>
    </row>
    <row r="102">
      <c r="D102" s="49"/>
      <c r="K102" s="39"/>
      <c r="L102" s="39"/>
      <c r="M102" s="39"/>
      <c r="N102" s="39"/>
      <c r="O102" s="39"/>
      <c r="P102" s="39"/>
      <c r="Q102" s="39"/>
    </row>
    <row r="103">
      <c r="D103" s="49"/>
      <c r="K103" s="39"/>
      <c r="L103" s="39"/>
      <c r="M103" s="39"/>
      <c r="N103" s="39"/>
      <c r="O103" s="39"/>
      <c r="P103" s="39"/>
      <c r="Q103" s="39"/>
    </row>
    <row r="104">
      <c r="D104" s="49"/>
      <c r="K104" s="39"/>
      <c r="L104" s="39"/>
      <c r="M104" s="39"/>
      <c r="N104" s="39"/>
      <c r="O104" s="39"/>
      <c r="P104" s="39"/>
      <c r="Q104" s="39"/>
    </row>
    <row r="105">
      <c r="D105" s="49"/>
      <c r="K105" s="39"/>
      <c r="L105" s="39"/>
      <c r="M105" s="39"/>
      <c r="N105" s="39"/>
      <c r="O105" s="39"/>
      <c r="P105" s="39"/>
      <c r="Q105" s="39"/>
    </row>
    <row r="106">
      <c r="D106" s="49"/>
      <c r="K106" s="39"/>
      <c r="L106" s="39"/>
      <c r="M106" s="39"/>
      <c r="N106" s="39"/>
      <c r="O106" s="39"/>
      <c r="P106" s="39"/>
      <c r="Q106" s="39"/>
    </row>
    <row r="107">
      <c r="D107" s="49"/>
      <c r="K107" s="39"/>
      <c r="L107" s="39"/>
      <c r="M107" s="39"/>
      <c r="N107" s="39"/>
      <c r="O107" s="39"/>
      <c r="P107" s="39"/>
      <c r="Q107" s="39"/>
    </row>
    <row r="108">
      <c r="D108" s="49"/>
      <c r="K108" s="39"/>
      <c r="L108" s="39"/>
      <c r="M108" s="39"/>
      <c r="N108" s="39"/>
      <c r="O108" s="39"/>
      <c r="P108" s="39"/>
      <c r="Q108" s="39"/>
    </row>
    <row r="109">
      <c r="D109" s="49"/>
      <c r="K109" s="39"/>
      <c r="L109" s="39"/>
      <c r="M109" s="39"/>
      <c r="N109" s="39"/>
      <c r="O109" s="39"/>
      <c r="P109" s="39"/>
      <c r="Q109" s="39"/>
    </row>
    <row r="110">
      <c r="D110" s="49"/>
      <c r="K110" s="39"/>
      <c r="L110" s="39"/>
      <c r="M110" s="39"/>
      <c r="N110" s="39"/>
      <c r="O110" s="39"/>
      <c r="P110" s="39"/>
      <c r="Q110" s="39"/>
    </row>
    <row r="111">
      <c r="D111" s="49"/>
      <c r="K111" s="39"/>
      <c r="L111" s="39"/>
      <c r="M111" s="39"/>
      <c r="N111" s="39"/>
      <c r="O111" s="39"/>
      <c r="P111" s="39"/>
      <c r="Q111" s="39"/>
    </row>
    <row r="112">
      <c r="D112" s="49"/>
      <c r="K112" s="39"/>
      <c r="L112" s="39"/>
      <c r="M112" s="39"/>
      <c r="N112" s="39"/>
      <c r="O112" s="39"/>
      <c r="P112" s="39"/>
      <c r="Q112" s="39"/>
    </row>
    <row r="113">
      <c r="D113" s="49"/>
      <c r="K113" s="39"/>
      <c r="L113" s="39"/>
      <c r="M113" s="39"/>
      <c r="N113" s="39"/>
      <c r="O113" s="39"/>
      <c r="P113" s="39"/>
      <c r="Q113" s="39"/>
    </row>
    <row r="114">
      <c r="D114" s="49"/>
      <c r="K114" s="39"/>
      <c r="L114" s="39"/>
      <c r="M114" s="39"/>
      <c r="N114" s="39"/>
      <c r="O114" s="39"/>
      <c r="P114" s="39"/>
      <c r="Q114" s="39"/>
    </row>
    <row r="115">
      <c r="D115" s="49"/>
      <c r="K115" s="39"/>
      <c r="L115" s="39"/>
      <c r="M115" s="39"/>
      <c r="N115" s="39"/>
      <c r="O115" s="39"/>
      <c r="P115" s="39"/>
      <c r="Q115" s="39"/>
    </row>
    <row r="116">
      <c r="D116" s="49"/>
      <c r="K116" s="39"/>
      <c r="L116" s="39"/>
      <c r="M116" s="39"/>
      <c r="N116" s="39"/>
      <c r="O116" s="39"/>
      <c r="P116" s="39"/>
      <c r="Q116" s="39"/>
    </row>
    <row r="117">
      <c r="D117" s="49"/>
      <c r="K117" s="39"/>
      <c r="L117" s="39"/>
      <c r="M117" s="39"/>
      <c r="N117" s="39"/>
      <c r="O117" s="39"/>
      <c r="P117" s="39"/>
      <c r="Q117" s="39"/>
    </row>
    <row r="118">
      <c r="D118" s="49"/>
      <c r="K118" s="39"/>
      <c r="L118" s="39"/>
      <c r="M118" s="39"/>
      <c r="N118" s="39"/>
      <c r="O118" s="39"/>
      <c r="P118" s="39"/>
      <c r="Q118" s="39"/>
    </row>
    <row r="119">
      <c r="D119" s="49"/>
      <c r="K119" s="39"/>
      <c r="L119" s="39"/>
      <c r="M119" s="39"/>
      <c r="N119" s="39"/>
      <c r="O119" s="39"/>
      <c r="P119" s="39"/>
      <c r="Q119" s="39"/>
    </row>
    <row r="120">
      <c r="D120" s="49"/>
      <c r="K120" s="39"/>
      <c r="L120" s="39"/>
      <c r="M120" s="39"/>
      <c r="N120" s="39"/>
      <c r="O120" s="39"/>
      <c r="P120" s="39"/>
      <c r="Q120" s="39"/>
    </row>
    <row r="121">
      <c r="D121" s="49"/>
      <c r="K121" s="39"/>
      <c r="L121" s="39"/>
      <c r="M121" s="39"/>
      <c r="N121" s="39"/>
      <c r="O121" s="39"/>
      <c r="P121" s="39"/>
      <c r="Q121" s="39"/>
    </row>
    <row r="122">
      <c r="D122" s="49"/>
      <c r="K122" s="39"/>
      <c r="L122" s="39"/>
      <c r="M122" s="39"/>
      <c r="N122" s="39"/>
      <c r="O122" s="39"/>
      <c r="P122" s="39"/>
      <c r="Q122" s="39"/>
    </row>
    <row r="123">
      <c r="D123" s="49"/>
      <c r="K123" s="39"/>
      <c r="L123" s="39"/>
      <c r="M123" s="39"/>
      <c r="N123" s="39"/>
      <c r="O123" s="39"/>
      <c r="P123" s="39"/>
      <c r="Q123" s="39"/>
    </row>
    <row r="124">
      <c r="D124" s="49"/>
      <c r="K124" s="39"/>
      <c r="L124" s="39"/>
      <c r="M124" s="39"/>
      <c r="N124" s="39"/>
      <c r="O124" s="39"/>
      <c r="P124" s="39"/>
      <c r="Q124" s="39"/>
    </row>
    <row r="125">
      <c r="D125" s="49"/>
      <c r="K125" s="39"/>
      <c r="L125" s="39"/>
      <c r="M125" s="39"/>
      <c r="N125" s="39"/>
      <c r="O125" s="39"/>
      <c r="P125" s="39"/>
      <c r="Q125" s="39"/>
    </row>
    <row r="126">
      <c r="D126" s="49"/>
      <c r="K126" s="39"/>
      <c r="L126" s="39"/>
      <c r="M126" s="39"/>
      <c r="N126" s="39"/>
      <c r="O126" s="39"/>
      <c r="P126" s="39"/>
      <c r="Q126" s="39"/>
    </row>
    <row r="127">
      <c r="D127" s="49"/>
      <c r="K127" s="39"/>
      <c r="L127" s="39"/>
      <c r="M127" s="39"/>
      <c r="N127" s="39"/>
      <c r="O127" s="39"/>
      <c r="P127" s="39"/>
      <c r="Q127" s="39"/>
    </row>
    <row r="128">
      <c r="D128" s="49"/>
      <c r="K128" s="39"/>
      <c r="L128" s="39"/>
      <c r="M128" s="39"/>
      <c r="N128" s="39"/>
      <c r="O128" s="39"/>
      <c r="P128" s="39"/>
      <c r="Q128" s="39"/>
    </row>
    <row r="129">
      <c r="D129" s="49"/>
      <c r="K129" s="39"/>
      <c r="L129" s="39"/>
      <c r="M129" s="39"/>
      <c r="N129" s="39"/>
      <c r="O129" s="39"/>
      <c r="P129" s="39"/>
      <c r="Q129" s="39"/>
    </row>
    <row r="130">
      <c r="D130" s="49"/>
      <c r="K130" s="39"/>
      <c r="L130" s="39"/>
      <c r="M130" s="39"/>
      <c r="N130" s="39"/>
      <c r="O130" s="39"/>
      <c r="P130" s="39"/>
      <c r="Q130" s="39"/>
    </row>
    <row r="131">
      <c r="D131" s="49"/>
      <c r="K131" s="39"/>
      <c r="L131" s="39"/>
      <c r="M131" s="39"/>
      <c r="N131" s="39"/>
      <c r="O131" s="39"/>
      <c r="P131" s="39"/>
      <c r="Q131" s="39"/>
    </row>
    <row r="132">
      <c r="D132" s="49"/>
      <c r="K132" s="39"/>
      <c r="L132" s="39"/>
      <c r="M132" s="39"/>
      <c r="N132" s="39"/>
      <c r="O132" s="39"/>
      <c r="P132" s="39"/>
      <c r="Q132" s="39"/>
    </row>
    <row r="133">
      <c r="D133" s="49"/>
      <c r="K133" s="39"/>
      <c r="L133" s="39"/>
      <c r="M133" s="39"/>
      <c r="N133" s="39"/>
      <c r="O133" s="39"/>
      <c r="P133" s="39"/>
      <c r="Q133" s="39"/>
    </row>
    <row r="134">
      <c r="D134" s="49"/>
      <c r="K134" s="39"/>
      <c r="L134" s="39"/>
      <c r="M134" s="39"/>
      <c r="N134" s="39"/>
      <c r="O134" s="39"/>
      <c r="P134" s="39"/>
      <c r="Q134" s="39"/>
    </row>
    <row r="135">
      <c r="D135" s="49"/>
      <c r="K135" s="39"/>
      <c r="L135" s="39"/>
      <c r="M135" s="39"/>
      <c r="N135" s="39"/>
      <c r="O135" s="39"/>
      <c r="P135" s="39"/>
      <c r="Q135" s="39"/>
    </row>
    <row r="136">
      <c r="D136" s="49"/>
      <c r="K136" s="39"/>
      <c r="L136" s="39"/>
      <c r="M136" s="39"/>
      <c r="N136" s="39"/>
      <c r="O136" s="39"/>
      <c r="P136" s="39"/>
      <c r="Q136" s="39"/>
    </row>
    <row r="137">
      <c r="D137" s="49"/>
      <c r="K137" s="39"/>
      <c r="L137" s="39"/>
      <c r="M137" s="39"/>
      <c r="N137" s="39"/>
      <c r="O137" s="39"/>
      <c r="P137" s="39"/>
      <c r="Q137" s="39"/>
    </row>
    <row r="138">
      <c r="D138" s="49"/>
      <c r="K138" s="39"/>
      <c r="L138" s="39"/>
      <c r="M138" s="39"/>
      <c r="N138" s="39"/>
      <c r="O138" s="39"/>
      <c r="P138" s="39"/>
      <c r="Q138" s="39"/>
    </row>
    <row r="139">
      <c r="D139" s="49"/>
      <c r="K139" s="39"/>
      <c r="L139" s="39"/>
      <c r="M139" s="39"/>
      <c r="N139" s="39"/>
      <c r="O139" s="39"/>
      <c r="P139" s="39"/>
      <c r="Q139" s="39"/>
    </row>
    <row r="140">
      <c r="D140" s="49"/>
      <c r="K140" s="39"/>
      <c r="L140" s="39"/>
      <c r="M140" s="39"/>
      <c r="N140" s="39"/>
      <c r="O140" s="39"/>
      <c r="P140" s="39"/>
      <c r="Q140" s="39"/>
    </row>
    <row r="141">
      <c r="D141" s="49"/>
      <c r="K141" s="39"/>
      <c r="L141" s="39"/>
      <c r="M141" s="39"/>
      <c r="N141" s="39"/>
      <c r="O141" s="39"/>
      <c r="P141" s="39"/>
      <c r="Q141" s="39"/>
    </row>
    <row r="142">
      <c r="D142" s="49"/>
      <c r="K142" s="39"/>
      <c r="L142" s="39"/>
      <c r="M142" s="39"/>
      <c r="N142" s="39"/>
      <c r="O142" s="39"/>
      <c r="P142" s="39"/>
      <c r="Q142" s="39"/>
    </row>
    <row r="143">
      <c r="D143" s="49"/>
      <c r="K143" s="39"/>
      <c r="L143" s="39"/>
      <c r="M143" s="39"/>
      <c r="N143" s="39"/>
      <c r="O143" s="39"/>
      <c r="P143" s="39"/>
      <c r="Q143" s="39"/>
    </row>
    <row r="144">
      <c r="D144" s="49"/>
      <c r="K144" s="39"/>
      <c r="L144" s="39"/>
      <c r="M144" s="39"/>
      <c r="N144" s="39"/>
      <c r="O144" s="39"/>
      <c r="P144" s="39"/>
      <c r="Q144" s="39"/>
    </row>
    <row r="145">
      <c r="D145" s="49"/>
      <c r="K145" s="39"/>
      <c r="L145" s="39"/>
      <c r="M145" s="39"/>
      <c r="N145" s="39"/>
      <c r="O145" s="39"/>
      <c r="P145" s="39"/>
      <c r="Q145" s="39"/>
    </row>
    <row r="146">
      <c r="D146" s="49"/>
      <c r="K146" s="39"/>
      <c r="L146" s="39"/>
      <c r="M146" s="39"/>
      <c r="N146" s="39"/>
      <c r="O146" s="39"/>
      <c r="P146" s="39"/>
      <c r="Q146" s="39"/>
    </row>
    <row r="147">
      <c r="D147" s="49"/>
      <c r="K147" s="39"/>
      <c r="L147" s="39"/>
      <c r="M147" s="39"/>
      <c r="N147" s="39"/>
      <c r="O147" s="39"/>
      <c r="P147" s="39"/>
      <c r="Q147" s="39"/>
    </row>
    <row r="148">
      <c r="D148" s="49"/>
      <c r="K148" s="39"/>
      <c r="L148" s="39"/>
      <c r="M148" s="39"/>
      <c r="N148" s="39"/>
      <c r="O148" s="39"/>
      <c r="P148" s="39"/>
      <c r="Q148" s="39"/>
    </row>
    <row r="149">
      <c r="D149" s="49"/>
      <c r="K149" s="39"/>
      <c r="L149" s="39"/>
      <c r="M149" s="39"/>
      <c r="N149" s="39"/>
      <c r="O149" s="39"/>
      <c r="P149" s="39"/>
      <c r="Q149" s="39"/>
    </row>
    <row r="150">
      <c r="D150" s="49"/>
      <c r="K150" s="39"/>
      <c r="L150" s="39"/>
      <c r="M150" s="39"/>
      <c r="N150" s="39"/>
      <c r="O150" s="39"/>
      <c r="P150" s="39"/>
      <c r="Q150" s="39"/>
    </row>
    <row r="151">
      <c r="D151" s="49"/>
      <c r="K151" s="39"/>
      <c r="L151" s="39"/>
      <c r="M151" s="39"/>
      <c r="N151" s="39"/>
      <c r="O151" s="39"/>
      <c r="P151" s="39"/>
      <c r="Q151" s="39"/>
    </row>
    <row r="152">
      <c r="D152" s="49"/>
      <c r="K152" s="39"/>
      <c r="L152" s="39"/>
      <c r="M152" s="39"/>
      <c r="N152" s="39"/>
      <c r="O152" s="39"/>
      <c r="P152" s="39"/>
      <c r="Q152" s="39"/>
    </row>
    <row r="153">
      <c r="D153" s="49"/>
      <c r="K153" s="39"/>
      <c r="L153" s="39"/>
      <c r="M153" s="39"/>
      <c r="N153" s="39"/>
      <c r="O153" s="39"/>
      <c r="P153" s="39"/>
      <c r="Q153" s="39"/>
    </row>
    <row r="154">
      <c r="D154" s="49"/>
      <c r="K154" s="39"/>
      <c r="L154" s="39"/>
      <c r="M154" s="39"/>
      <c r="N154" s="39"/>
      <c r="O154" s="39"/>
      <c r="P154" s="39"/>
      <c r="Q154" s="39"/>
    </row>
    <row r="155">
      <c r="D155" s="49"/>
      <c r="K155" s="39"/>
      <c r="L155" s="39"/>
      <c r="M155" s="39"/>
      <c r="N155" s="39"/>
      <c r="O155" s="39"/>
      <c r="P155" s="39"/>
      <c r="Q155" s="39"/>
    </row>
    <row r="156">
      <c r="D156" s="49"/>
      <c r="K156" s="39"/>
      <c r="L156" s="39"/>
      <c r="M156" s="39"/>
      <c r="N156" s="39"/>
      <c r="O156" s="39"/>
      <c r="P156" s="39"/>
      <c r="Q156" s="39"/>
    </row>
    <row r="157">
      <c r="D157" s="49"/>
      <c r="K157" s="39"/>
      <c r="L157" s="39"/>
      <c r="M157" s="39"/>
      <c r="N157" s="39"/>
      <c r="O157" s="39"/>
      <c r="P157" s="39"/>
      <c r="Q157" s="39"/>
    </row>
    <row r="158">
      <c r="D158" s="49"/>
      <c r="K158" s="39"/>
      <c r="L158" s="39"/>
      <c r="M158" s="39"/>
      <c r="N158" s="39"/>
      <c r="O158" s="39"/>
      <c r="P158" s="39"/>
      <c r="Q158" s="39"/>
    </row>
    <row r="159">
      <c r="D159" s="49"/>
      <c r="K159" s="39"/>
      <c r="L159" s="39"/>
      <c r="M159" s="39"/>
      <c r="N159" s="39"/>
      <c r="O159" s="39"/>
      <c r="P159" s="39"/>
      <c r="Q159" s="39"/>
    </row>
    <row r="160">
      <c r="D160" s="49"/>
      <c r="K160" s="39"/>
      <c r="L160" s="39"/>
      <c r="M160" s="39"/>
      <c r="N160" s="39"/>
      <c r="O160" s="39"/>
      <c r="P160" s="39"/>
      <c r="Q160" s="39"/>
    </row>
    <row r="161">
      <c r="D161" s="49"/>
      <c r="K161" s="39"/>
      <c r="L161" s="39"/>
      <c r="M161" s="39"/>
      <c r="N161" s="39"/>
      <c r="O161" s="39"/>
      <c r="P161" s="39"/>
      <c r="Q161" s="39"/>
    </row>
    <row r="162">
      <c r="D162" s="49"/>
      <c r="K162" s="39"/>
      <c r="L162" s="39"/>
      <c r="M162" s="39"/>
      <c r="N162" s="39"/>
      <c r="O162" s="39"/>
      <c r="P162" s="39"/>
      <c r="Q162" s="39"/>
    </row>
    <row r="163">
      <c r="D163" s="49"/>
      <c r="K163" s="39"/>
      <c r="L163" s="39"/>
      <c r="M163" s="39"/>
      <c r="N163" s="39"/>
      <c r="O163" s="39"/>
      <c r="P163" s="39"/>
      <c r="Q163" s="39"/>
    </row>
    <row r="164">
      <c r="D164" s="49"/>
      <c r="K164" s="39"/>
      <c r="L164" s="39"/>
      <c r="M164" s="39"/>
      <c r="N164" s="39"/>
      <c r="O164" s="39"/>
      <c r="P164" s="39"/>
      <c r="Q164" s="39"/>
    </row>
    <row r="165">
      <c r="D165" s="49"/>
      <c r="K165" s="39"/>
      <c r="L165" s="39"/>
      <c r="M165" s="39"/>
      <c r="N165" s="39"/>
      <c r="O165" s="39"/>
      <c r="P165" s="39"/>
      <c r="Q165" s="39"/>
    </row>
    <row r="166">
      <c r="D166" s="49"/>
      <c r="K166" s="39"/>
      <c r="L166" s="39"/>
      <c r="M166" s="39"/>
      <c r="N166" s="39"/>
      <c r="O166" s="39"/>
      <c r="P166" s="39"/>
      <c r="Q166" s="39"/>
    </row>
    <row r="167">
      <c r="D167" s="49"/>
      <c r="K167" s="39"/>
      <c r="L167" s="39"/>
      <c r="M167" s="39"/>
      <c r="N167" s="39"/>
      <c r="O167" s="39"/>
      <c r="P167" s="39"/>
      <c r="Q167" s="39"/>
    </row>
    <row r="168">
      <c r="D168" s="49"/>
      <c r="K168" s="39"/>
      <c r="L168" s="39"/>
      <c r="M168" s="39"/>
      <c r="N168" s="39"/>
      <c r="O168" s="39"/>
      <c r="P168" s="39"/>
      <c r="Q168" s="39"/>
    </row>
    <row r="169">
      <c r="D169" s="49"/>
      <c r="K169" s="39"/>
      <c r="L169" s="39"/>
      <c r="M169" s="39"/>
      <c r="N169" s="39"/>
      <c r="O169" s="39"/>
      <c r="P169" s="39"/>
      <c r="Q169" s="39"/>
    </row>
    <row r="170">
      <c r="D170" s="49"/>
      <c r="K170" s="39"/>
      <c r="L170" s="39"/>
      <c r="M170" s="39"/>
      <c r="N170" s="39"/>
      <c r="O170" s="39"/>
      <c r="P170" s="39"/>
      <c r="Q170" s="39"/>
    </row>
    <row r="171">
      <c r="D171" s="49"/>
      <c r="K171" s="39"/>
      <c r="L171" s="39"/>
      <c r="M171" s="39"/>
      <c r="N171" s="39"/>
      <c r="O171" s="39"/>
      <c r="P171" s="39"/>
      <c r="Q171" s="39"/>
    </row>
    <row r="172">
      <c r="D172" s="49"/>
      <c r="K172" s="39"/>
      <c r="L172" s="39"/>
      <c r="M172" s="39"/>
      <c r="N172" s="39"/>
      <c r="O172" s="39"/>
      <c r="P172" s="39"/>
      <c r="Q172" s="39"/>
    </row>
    <row r="173">
      <c r="D173" s="49"/>
      <c r="K173" s="39"/>
      <c r="L173" s="39"/>
      <c r="M173" s="39"/>
      <c r="N173" s="39"/>
      <c r="O173" s="39"/>
      <c r="P173" s="39"/>
      <c r="Q173" s="39"/>
    </row>
    <row r="174">
      <c r="D174" s="49"/>
      <c r="K174" s="39"/>
      <c r="L174" s="39"/>
      <c r="M174" s="39"/>
      <c r="N174" s="39"/>
      <c r="O174" s="39"/>
      <c r="P174" s="39"/>
      <c r="Q174" s="39"/>
    </row>
    <row r="175">
      <c r="D175" s="49"/>
      <c r="K175" s="39"/>
      <c r="L175" s="39"/>
      <c r="M175" s="39"/>
      <c r="N175" s="39"/>
      <c r="O175" s="39"/>
      <c r="P175" s="39"/>
      <c r="Q175" s="39"/>
    </row>
    <row r="176">
      <c r="D176" s="49"/>
      <c r="K176" s="39"/>
      <c r="L176" s="39"/>
      <c r="M176" s="39"/>
      <c r="N176" s="39"/>
      <c r="O176" s="39"/>
      <c r="P176" s="39"/>
      <c r="Q176" s="39"/>
    </row>
    <row r="177">
      <c r="D177" s="49"/>
      <c r="K177" s="39"/>
      <c r="L177" s="39"/>
      <c r="M177" s="39"/>
      <c r="N177" s="39"/>
      <c r="O177" s="39"/>
      <c r="P177" s="39"/>
      <c r="Q177" s="39"/>
    </row>
    <row r="178">
      <c r="D178" s="49"/>
      <c r="K178" s="39"/>
      <c r="L178" s="39"/>
      <c r="M178" s="39"/>
      <c r="N178" s="39"/>
      <c r="O178" s="39"/>
      <c r="P178" s="39"/>
      <c r="Q178" s="39"/>
    </row>
    <row r="179">
      <c r="D179" s="49"/>
      <c r="K179" s="39"/>
      <c r="L179" s="39"/>
      <c r="M179" s="39"/>
      <c r="N179" s="39"/>
      <c r="O179" s="39"/>
      <c r="P179" s="39"/>
      <c r="Q179" s="39"/>
    </row>
    <row r="180">
      <c r="D180" s="49"/>
      <c r="K180" s="39"/>
      <c r="L180" s="39"/>
      <c r="M180" s="39"/>
      <c r="N180" s="39"/>
      <c r="O180" s="39"/>
      <c r="P180" s="39"/>
      <c r="Q180" s="39"/>
    </row>
    <row r="181">
      <c r="D181" s="49"/>
      <c r="K181" s="39"/>
      <c r="L181" s="39"/>
      <c r="M181" s="39"/>
      <c r="N181" s="39"/>
      <c r="O181" s="39"/>
      <c r="P181" s="39"/>
      <c r="Q181" s="39"/>
    </row>
    <row r="182">
      <c r="D182" s="49"/>
      <c r="K182" s="39"/>
      <c r="L182" s="39"/>
      <c r="M182" s="39"/>
      <c r="N182" s="39"/>
      <c r="O182" s="39"/>
      <c r="P182" s="39"/>
      <c r="Q182" s="39"/>
    </row>
    <row r="183">
      <c r="D183" s="49"/>
      <c r="K183" s="39"/>
      <c r="L183" s="39"/>
      <c r="M183" s="39"/>
      <c r="N183" s="39"/>
      <c r="O183" s="39"/>
      <c r="P183" s="39"/>
      <c r="Q183" s="39"/>
    </row>
    <row r="184">
      <c r="D184" s="49"/>
      <c r="K184" s="39"/>
      <c r="L184" s="39"/>
      <c r="M184" s="39"/>
      <c r="N184" s="39"/>
      <c r="O184" s="39"/>
      <c r="P184" s="39"/>
      <c r="Q184" s="39"/>
    </row>
    <row r="185">
      <c r="D185" s="49"/>
      <c r="K185" s="39"/>
      <c r="L185" s="39"/>
      <c r="M185" s="39"/>
      <c r="N185" s="39"/>
      <c r="O185" s="39"/>
      <c r="P185" s="39"/>
      <c r="Q185" s="39"/>
    </row>
    <row r="186">
      <c r="D186" s="49"/>
      <c r="K186" s="39"/>
      <c r="L186" s="39"/>
      <c r="M186" s="39"/>
      <c r="N186" s="39"/>
      <c r="O186" s="39"/>
      <c r="P186" s="39"/>
      <c r="Q186" s="39"/>
    </row>
    <row r="187">
      <c r="D187" s="49"/>
      <c r="K187" s="39"/>
      <c r="L187" s="39"/>
      <c r="M187" s="39"/>
      <c r="N187" s="39"/>
      <c r="O187" s="39"/>
      <c r="P187" s="39"/>
      <c r="Q187" s="39"/>
    </row>
    <row r="188">
      <c r="D188" s="49"/>
      <c r="K188" s="39"/>
      <c r="L188" s="39"/>
      <c r="M188" s="39"/>
      <c r="N188" s="39"/>
      <c r="O188" s="39"/>
      <c r="P188" s="39"/>
      <c r="Q188" s="39"/>
    </row>
    <row r="189">
      <c r="D189" s="49"/>
      <c r="K189" s="39"/>
      <c r="L189" s="39"/>
      <c r="M189" s="39"/>
      <c r="N189" s="39"/>
      <c r="O189" s="39"/>
      <c r="P189" s="39"/>
      <c r="Q189" s="39"/>
    </row>
    <row r="190">
      <c r="D190" s="49"/>
      <c r="K190" s="39"/>
      <c r="L190" s="39"/>
      <c r="M190" s="39"/>
      <c r="N190" s="39"/>
      <c r="O190" s="39"/>
      <c r="P190" s="39"/>
      <c r="Q190" s="39"/>
    </row>
    <row r="191">
      <c r="D191" s="49"/>
      <c r="K191" s="39"/>
      <c r="L191" s="39"/>
      <c r="M191" s="39"/>
      <c r="N191" s="39"/>
      <c r="O191" s="39"/>
      <c r="P191" s="39"/>
      <c r="Q191" s="39"/>
    </row>
    <row r="192">
      <c r="D192" s="49"/>
      <c r="K192" s="39"/>
      <c r="L192" s="39"/>
      <c r="M192" s="39"/>
      <c r="N192" s="39"/>
      <c r="O192" s="39"/>
      <c r="P192" s="39"/>
      <c r="Q192" s="39"/>
    </row>
    <row r="193">
      <c r="D193" s="49"/>
      <c r="K193" s="39"/>
      <c r="L193" s="39"/>
      <c r="M193" s="39"/>
      <c r="N193" s="39"/>
      <c r="O193" s="39"/>
      <c r="P193" s="39"/>
      <c r="Q193" s="39"/>
    </row>
    <row r="194">
      <c r="D194" s="49"/>
      <c r="K194" s="39"/>
      <c r="L194" s="39"/>
      <c r="M194" s="39"/>
      <c r="N194" s="39"/>
      <c r="O194" s="39"/>
      <c r="P194" s="39"/>
      <c r="Q194" s="39"/>
    </row>
    <row r="195">
      <c r="D195" s="49"/>
      <c r="K195" s="39"/>
      <c r="L195" s="39"/>
      <c r="M195" s="39"/>
      <c r="N195" s="39"/>
      <c r="O195" s="39"/>
      <c r="P195" s="39"/>
      <c r="Q195" s="39"/>
    </row>
    <row r="196">
      <c r="D196" s="49"/>
      <c r="K196" s="39"/>
      <c r="L196" s="39"/>
      <c r="M196" s="39"/>
      <c r="N196" s="39"/>
      <c r="O196" s="39"/>
      <c r="P196" s="39"/>
      <c r="Q196" s="39"/>
    </row>
    <row r="197">
      <c r="D197" s="49"/>
      <c r="K197" s="39"/>
      <c r="L197" s="39"/>
      <c r="M197" s="39"/>
      <c r="N197" s="39"/>
      <c r="O197" s="39"/>
      <c r="P197" s="39"/>
      <c r="Q197" s="39"/>
    </row>
    <row r="198">
      <c r="D198" s="49"/>
      <c r="K198" s="39"/>
      <c r="L198" s="39"/>
      <c r="M198" s="39"/>
      <c r="N198" s="39"/>
      <c r="O198" s="39"/>
      <c r="P198" s="39"/>
      <c r="Q198" s="39"/>
    </row>
    <row r="199">
      <c r="D199" s="49"/>
      <c r="K199" s="39"/>
      <c r="L199" s="39"/>
      <c r="M199" s="39"/>
      <c r="N199" s="39"/>
      <c r="O199" s="39"/>
      <c r="P199" s="39"/>
      <c r="Q199" s="39"/>
    </row>
    <row r="200">
      <c r="D200" s="49"/>
      <c r="K200" s="39"/>
      <c r="L200" s="39"/>
      <c r="M200" s="39"/>
      <c r="N200" s="39"/>
      <c r="O200" s="39"/>
      <c r="P200" s="39"/>
      <c r="Q200" s="39"/>
    </row>
    <row r="201">
      <c r="D201" s="49"/>
      <c r="K201" s="39"/>
      <c r="L201" s="39"/>
      <c r="M201" s="39"/>
      <c r="N201" s="39"/>
      <c r="O201" s="39"/>
      <c r="P201" s="39"/>
      <c r="Q201" s="39"/>
    </row>
    <row r="202">
      <c r="D202" s="49"/>
      <c r="K202" s="39"/>
      <c r="L202" s="39"/>
      <c r="M202" s="39"/>
      <c r="N202" s="39"/>
      <c r="O202" s="39"/>
      <c r="P202" s="39"/>
      <c r="Q202" s="39"/>
    </row>
    <row r="203">
      <c r="D203" s="49"/>
      <c r="K203" s="39"/>
      <c r="L203" s="39"/>
      <c r="M203" s="39"/>
      <c r="N203" s="39"/>
      <c r="O203" s="39"/>
      <c r="P203" s="39"/>
      <c r="Q203" s="39"/>
    </row>
    <row r="204">
      <c r="D204" s="49"/>
      <c r="K204" s="39"/>
      <c r="L204" s="39"/>
      <c r="M204" s="39"/>
      <c r="N204" s="39"/>
      <c r="O204" s="39"/>
      <c r="P204" s="39"/>
      <c r="Q204" s="39"/>
    </row>
    <row r="205">
      <c r="D205" s="49"/>
      <c r="K205" s="39"/>
      <c r="L205" s="39"/>
      <c r="M205" s="39"/>
      <c r="N205" s="39"/>
      <c r="O205" s="39"/>
      <c r="P205" s="39"/>
      <c r="Q205" s="39"/>
    </row>
    <row r="206">
      <c r="D206" s="49"/>
      <c r="K206" s="39"/>
      <c r="L206" s="39"/>
      <c r="M206" s="39"/>
      <c r="N206" s="39"/>
      <c r="O206" s="39"/>
      <c r="P206" s="39"/>
      <c r="Q206" s="39"/>
    </row>
    <row r="207">
      <c r="D207" s="49"/>
      <c r="K207" s="39"/>
      <c r="L207" s="39"/>
      <c r="M207" s="39"/>
      <c r="N207" s="39"/>
      <c r="O207" s="39"/>
      <c r="P207" s="39"/>
      <c r="Q207" s="39"/>
    </row>
    <row r="208">
      <c r="D208" s="49"/>
      <c r="K208" s="39"/>
      <c r="L208" s="39"/>
      <c r="M208" s="39"/>
      <c r="N208" s="39"/>
      <c r="O208" s="39"/>
      <c r="P208" s="39"/>
      <c r="Q208" s="39"/>
    </row>
    <row r="209">
      <c r="D209" s="49"/>
      <c r="K209" s="39"/>
      <c r="L209" s="39"/>
      <c r="M209" s="39"/>
      <c r="N209" s="39"/>
      <c r="O209" s="39"/>
      <c r="P209" s="39"/>
      <c r="Q209" s="39"/>
    </row>
    <row r="210">
      <c r="D210" s="49"/>
      <c r="K210" s="39"/>
      <c r="L210" s="39"/>
      <c r="M210" s="39"/>
      <c r="N210" s="39"/>
      <c r="O210" s="39"/>
      <c r="P210" s="39"/>
      <c r="Q210" s="39"/>
    </row>
    <row r="211">
      <c r="D211" s="49"/>
      <c r="K211" s="39"/>
      <c r="L211" s="39"/>
      <c r="M211" s="39"/>
      <c r="N211" s="39"/>
      <c r="O211" s="39"/>
      <c r="P211" s="39"/>
      <c r="Q211" s="39"/>
    </row>
    <row r="212">
      <c r="D212" s="49"/>
      <c r="K212" s="39"/>
      <c r="L212" s="39"/>
      <c r="M212" s="39"/>
      <c r="N212" s="39"/>
      <c r="O212" s="39"/>
      <c r="P212" s="39"/>
      <c r="Q212" s="39"/>
    </row>
    <row r="213">
      <c r="D213" s="49"/>
      <c r="K213" s="39"/>
      <c r="L213" s="39"/>
      <c r="M213" s="39"/>
      <c r="N213" s="39"/>
      <c r="O213" s="39"/>
      <c r="P213" s="39"/>
      <c r="Q213" s="39"/>
    </row>
    <row r="214">
      <c r="D214" s="49"/>
      <c r="K214" s="39"/>
      <c r="L214" s="39"/>
      <c r="M214" s="39"/>
      <c r="N214" s="39"/>
      <c r="O214" s="39"/>
      <c r="P214" s="39"/>
      <c r="Q214" s="39"/>
    </row>
    <row r="215">
      <c r="D215" s="49"/>
      <c r="K215" s="39"/>
      <c r="L215" s="39"/>
      <c r="M215" s="39"/>
      <c r="N215" s="39"/>
      <c r="O215" s="39"/>
      <c r="P215" s="39"/>
      <c r="Q215" s="39"/>
    </row>
    <row r="216">
      <c r="D216" s="49"/>
      <c r="K216" s="39"/>
      <c r="L216" s="39"/>
      <c r="M216" s="39"/>
      <c r="N216" s="39"/>
      <c r="O216" s="39"/>
      <c r="P216" s="39"/>
      <c r="Q216" s="39"/>
    </row>
    <row r="217">
      <c r="D217" s="49"/>
      <c r="K217" s="39"/>
      <c r="L217" s="39"/>
      <c r="M217" s="39"/>
      <c r="N217" s="39"/>
      <c r="O217" s="39"/>
      <c r="P217" s="39"/>
      <c r="Q217" s="39"/>
    </row>
    <row r="218">
      <c r="D218" s="49"/>
      <c r="K218" s="39"/>
      <c r="L218" s="39"/>
      <c r="M218" s="39"/>
      <c r="N218" s="39"/>
      <c r="O218" s="39"/>
      <c r="P218" s="39"/>
      <c r="Q218" s="39"/>
    </row>
    <row r="219">
      <c r="D219" s="49"/>
      <c r="K219" s="39"/>
      <c r="L219" s="39"/>
      <c r="M219" s="39"/>
      <c r="N219" s="39"/>
      <c r="O219" s="39"/>
      <c r="P219" s="39"/>
      <c r="Q219" s="39"/>
    </row>
    <row r="220">
      <c r="D220" s="49"/>
      <c r="K220" s="39"/>
      <c r="L220" s="39"/>
      <c r="M220" s="39"/>
      <c r="N220" s="39"/>
      <c r="O220" s="39"/>
      <c r="P220" s="39"/>
      <c r="Q220" s="39"/>
    </row>
    <row r="221">
      <c r="D221" s="49"/>
      <c r="K221" s="39"/>
      <c r="L221" s="39"/>
      <c r="M221" s="39"/>
      <c r="N221" s="39"/>
      <c r="O221" s="39"/>
      <c r="P221" s="39"/>
      <c r="Q221" s="39"/>
    </row>
    <row r="222">
      <c r="D222" s="49"/>
      <c r="K222" s="39"/>
      <c r="L222" s="39"/>
      <c r="M222" s="39"/>
      <c r="N222" s="39"/>
      <c r="O222" s="39"/>
      <c r="P222" s="39"/>
      <c r="Q222" s="39"/>
    </row>
    <row r="223">
      <c r="D223" s="49"/>
      <c r="K223" s="39"/>
      <c r="L223" s="39"/>
      <c r="M223" s="39"/>
      <c r="N223" s="39"/>
      <c r="O223" s="39"/>
      <c r="P223" s="39"/>
      <c r="Q223" s="39"/>
    </row>
    <row r="224">
      <c r="D224" s="49"/>
      <c r="K224" s="39"/>
      <c r="L224" s="39"/>
      <c r="M224" s="39"/>
      <c r="N224" s="39"/>
      <c r="O224" s="39"/>
      <c r="P224" s="39"/>
      <c r="Q224" s="39"/>
    </row>
    <row r="225">
      <c r="D225" s="49"/>
      <c r="K225" s="39"/>
      <c r="L225" s="39"/>
      <c r="M225" s="39"/>
      <c r="N225" s="39"/>
      <c r="O225" s="39"/>
      <c r="P225" s="39"/>
      <c r="Q225" s="39"/>
    </row>
    <row r="226">
      <c r="D226" s="49"/>
      <c r="K226" s="39"/>
      <c r="L226" s="39"/>
      <c r="M226" s="39"/>
      <c r="N226" s="39"/>
      <c r="O226" s="39"/>
      <c r="P226" s="39"/>
      <c r="Q226" s="39"/>
    </row>
    <row r="227">
      <c r="D227" s="49"/>
      <c r="K227" s="39"/>
      <c r="L227" s="39"/>
      <c r="M227" s="39"/>
      <c r="N227" s="39"/>
      <c r="O227" s="39"/>
      <c r="P227" s="39"/>
      <c r="Q227" s="39"/>
    </row>
    <row r="228">
      <c r="D228" s="49"/>
      <c r="K228" s="39"/>
      <c r="L228" s="39"/>
      <c r="M228" s="39"/>
      <c r="N228" s="39"/>
      <c r="O228" s="39"/>
      <c r="P228" s="39"/>
      <c r="Q228" s="39"/>
    </row>
    <row r="229">
      <c r="D229" s="49"/>
      <c r="K229" s="39"/>
      <c r="L229" s="39"/>
      <c r="M229" s="39"/>
      <c r="N229" s="39"/>
      <c r="O229" s="39"/>
      <c r="P229" s="39"/>
      <c r="Q229" s="39"/>
    </row>
    <row r="230">
      <c r="D230" s="49"/>
      <c r="K230" s="39"/>
      <c r="L230" s="39"/>
      <c r="M230" s="39"/>
      <c r="N230" s="39"/>
      <c r="O230" s="39"/>
      <c r="P230" s="39"/>
      <c r="Q230" s="39"/>
    </row>
    <row r="231">
      <c r="D231" s="49"/>
      <c r="K231" s="39"/>
      <c r="L231" s="39"/>
      <c r="M231" s="39"/>
      <c r="N231" s="39"/>
      <c r="O231" s="39"/>
      <c r="P231" s="39"/>
      <c r="Q231" s="39"/>
    </row>
    <row r="232">
      <c r="D232" s="49"/>
      <c r="K232" s="39"/>
      <c r="L232" s="39"/>
      <c r="M232" s="39"/>
      <c r="N232" s="39"/>
      <c r="O232" s="39"/>
      <c r="P232" s="39"/>
      <c r="Q232" s="39"/>
    </row>
    <row r="233">
      <c r="D233" s="49"/>
      <c r="K233" s="39"/>
      <c r="L233" s="39"/>
      <c r="M233" s="39"/>
      <c r="N233" s="39"/>
      <c r="O233" s="39"/>
      <c r="P233" s="39"/>
      <c r="Q233" s="39"/>
    </row>
    <row r="234">
      <c r="D234" s="49"/>
      <c r="K234" s="39"/>
      <c r="L234" s="39"/>
      <c r="M234" s="39"/>
      <c r="N234" s="39"/>
      <c r="O234" s="39"/>
      <c r="P234" s="39"/>
      <c r="Q234" s="39"/>
    </row>
    <row r="235">
      <c r="D235" s="49"/>
      <c r="K235" s="39"/>
      <c r="L235" s="39"/>
      <c r="M235" s="39"/>
      <c r="N235" s="39"/>
      <c r="O235" s="39"/>
      <c r="P235" s="39"/>
      <c r="Q235" s="39"/>
    </row>
    <row r="236">
      <c r="D236" s="49"/>
      <c r="K236" s="39"/>
      <c r="L236" s="39"/>
      <c r="M236" s="39"/>
      <c r="N236" s="39"/>
      <c r="O236" s="39"/>
      <c r="P236" s="39"/>
      <c r="Q236" s="39"/>
    </row>
    <row r="237">
      <c r="D237" s="49"/>
      <c r="K237" s="39"/>
      <c r="L237" s="39"/>
      <c r="M237" s="39"/>
      <c r="N237" s="39"/>
      <c r="O237" s="39"/>
      <c r="P237" s="39"/>
      <c r="Q237" s="39"/>
    </row>
    <row r="238">
      <c r="D238" s="49"/>
      <c r="K238" s="39"/>
      <c r="L238" s="39"/>
      <c r="M238" s="39"/>
      <c r="N238" s="39"/>
      <c r="O238" s="39"/>
      <c r="P238" s="39"/>
      <c r="Q238" s="39"/>
    </row>
    <row r="239">
      <c r="D239" s="49"/>
      <c r="K239" s="39"/>
      <c r="L239" s="39"/>
      <c r="M239" s="39"/>
      <c r="N239" s="39"/>
      <c r="O239" s="39"/>
      <c r="P239" s="39"/>
      <c r="Q239" s="39"/>
    </row>
    <row r="240">
      <c r="D240" s="49"/>
      <c r="K240" s="39"/>
      <c r="L240" s="39"/>
      <c r="M240" s="39"/>
      <c r="N240" s="39"/>
      <c r="O240" s="39"/>
      <c r="P240" s="39"/>
      <c r="Q240" s="39"/>
    </row>
    <row r="241">
      <c r="D241" s="49"/>
      <c r="K241" s="39"/>
      <c r="L241" s="39"/>
      <c r="M241" s="39"/>
      <c r="N241" s="39"/>
      <c r="O241" s="39"/>
      <c r="P241" s="39"/>
      <c r="Q241" s="39"/>
    </row>
    <row r="242">
      <c r="D242" s="49"/>
      <c r="K242" s="39"/>
      <c r="L242" s="39"/>
      <c r="M242" s="39"/>
      <c r="N242" s="39"/>
      <c r="O242" s="39"/>
      <c r="P242" s="39"/>
      <c r="Q242" s="39"/>
    </row>
    <row r="243">
      <c r="D243" s="49"/>
      <c r="K243" s="39"/>
      <c r="L243" s="39"/>
      <c r="M243" s="39"/>
      <c r="N243" s="39"/>
      <c r="O243" s="39"/>
      <c r="P243" s="39"/>
      <c r="Q243" s="39"/>
    </row>
    <row r="244">
      <c r="D244" s="49"/>
      <c r="K244" s="39"/>
      <c r="L244" s="39"/>
      <c r="M244" s="39"/>
      <c r="N244" s="39"/>
      <c r="O244" s="39"/>
      <c r="P244" s="39"/>
      <c r="Q244" s="39"/>
    </row>
    <row r="245">
      <c r="D245" s="49"/>
      <c r="K245" s="39"/>
      <c r="L245" s="39"/>
      <c r="M245" s="39"/>
      <c r="N245" s="39"/>
      <c r="O245" s="39"/>
      <c r="P245" s="39"/>
      <c r="Q245" s="39"/>
    </row>
    <row r="246">
      <c r="D246" s="49"/>
      <c r="K246" s="39"/>
      <c r="L246" s="39"/>
      <c r="M246" s="39"/>
      <c r="N246" s="39"/>
      <c r="O246" s="39"/>
      <c r="P246" s="39"/>
      <c r="Q246" s="39"/>
    </row>
    <row r="247">
      <c r="D247" s="49"/>
      <c r="K247" s="39"/>
      <c r="L247" s="39"/>
      <c r="M247" s="39"/>
      <c r="N247" s="39"/>
      <c r="O247" s="39"/>
      <c r="P247" s="39"/>
      <c r="Q247" s="39"/>
    </row>
    <row r="248">
      <c r="D248" s="49"/>
      <c r="K248" s="39"/>
      <c r="L248" s="39"/>
      <c r="M248" s="39"/>
      <c r="N248" s="39"/>
      <c r="O248" s="39"/>
      <c r="P248" s="39"/>
      <c r="Q248" s="39"/>
    </row>
    <row r="249">
      <c r="D249" s="49"/>
      <c r="K249" s="39"/>
      <c r="L249" s="39"/>
      <c r="M249" s="39"/>
      <c r="N249" s="39"/>
      <c r="O249" s="39"/>
      <c r="P249" s="39"/>
      <c r="Q249" s="39"/>
    </row>
    <row r="250">
      <c r="D250" s="49"/>
      <c r="K250" s="39"/>
      <c r="L250" s="39"/>
      <c r="M250" s="39"/>
      <c r="N250" s="39"/>
      <c r="O250" s="39"/>
      <c r="P250" s="39"/>
      <c r="Q250" s="39"/>
    </row>
    <row r="251">
      <c r="D251" s="49"/>
      <c r="K251" s="39"/>
      <c r="L251" s="39"/>
      <c r="M251" s="39"/>
      <c r="N251" s="39"/>
      <c r="O251" s="39"/>
      <c r="P251" s="39"/>
      <c r="Q251" s="39"/>
    </row>
    <row r="252">
      <c r="D252" s="49"/>
      <c r="K252" s="39"/>
      <c r="L252" s="39"/>
      <c r="M252" s="39"/>
      <c r="N252" s="39"/>
      <c r="O252" s="39"/>
      <c r="P252" s="39"/>
      <c r="Q252" s="39"/>
    </row>
    <row r="253">
      <c r="D253" s="49"/>
      <c r="K253" s="39"/>
      <c r="L253" s="39"/>
      <c r="M253" s="39"/>
      <c r="N253" s="39"/>
      <c r="O253" s="39"/>
      <c r="P253" s="39"/>
      <c r="Q253" s="39"/>
    </row>
    <row r="254">
      <c r="D254" s="49"/>
      <c r="K254" s="39"/>
      <c r="L254" s="39"/>
      <c r="M254" s="39"/>
      <c r="N254" s="39"/>
      <c r="O254" s="39"/>
      <c r="P254" s="39"/>
      <c r="Q254" s="39"/>
    </row>
    <row r="255">
      <c r="D255" s="49"/>
      <c r="K255" s="39"/>
      <c r="L255" s="39"/>
      <c r="M255" s="39"/>
      <c r="N255" s="39"/>
      <c r="O255" s="39"/>
      <c r="P255" s="39"/>
      <c r="Q255" s="39"/>
    </row>
    <row r="256">
      <c r="D256" s="49"/>
      <c r="K256" s="39"/>
      <c r="L256" s="39"/>
      <c r="M256" s="39"/>
      <c r="N256" s="39"/>
      <c r="O256" s="39"/>
      <c r="P256" s="39"/>
      <c r="Q256" s="39"/>
    </row>
    <row r="257">
      <c r="D257" s="49"/>
      <c r="K257" s="39"/>
      <c r="L257" s="39"/>
      <c r="M257" s="39"/>
      <c r="N257" s="39"/>
      <c r="O257" s="39"/>
      <c r="P257" s="39"/>
      <c r="Q257" s="39"/>
    </row>
    <row r="258">
      <c r="D258" s="49"/>
      <c r="K258" s="39"/>
      <c r="L258" s="39"/>
      <c r="M258" s="39"/>
      <c r="N258" s="39"/>
      <c r="O258" s="39"/>
      <c r="P258" s="39"/>
      <c r="Q258" s="39"/>
    </row>
    <row r="259">
      <c r="D259" s="49"/>
      <c r="K259" s="39"/>
      <c r="L259" s="39"/>
      <c r="M259" s="39"/>
      <c r="N259" s="39"/>
      <c r="O259" s="39"/>
      <c r="P259" s="39"/>
      <c r="Q259" s="39"/>
    </row>
    <row r="260">
      <c r="D260" s="49"/>
      <c r="K260" s="39"/>
      <c r="L260" s="39"/>
      <c r="M260" s="39"/>
      <c r="N260" s="39"/>
      <c r="O260" s="39"/>
      <c r="P260" s="39"/>
      <c r="Q260" s="39"/>
    </row>
    <row r="261">
      <c r="D261" s="49"/>
      <c r="K261" s="39"/>
      <c r="L261" s="39"/>
      <c r="M261" s="39"/>
      <c r="N261" s="39"/>
      <c r="O261" s="39"/>
      <c r="P261" s="39"/>
      <c r="Q261" s="39"/>
    </row>
    <row r="262">
      <c r="D262" s="49"/>
      <c r="K262" s="39"/>
      <c r="L262" s="39"/>
      <c r="M262" s="39"/>
      <c r="N262" s="39"/>
      <c r="O262" s="39"/>
      <c r="P262" s="39"/>
      <c r="Q262" s="39"/>
    </row>
    <row r="263">
      <c r="D263" s="49"/>
      <c r="K263" s="39"/>
      <c r="L263" s="39"/>
      <c r="M263" s="39"/>
      <c r="N263" s="39"/>
      <c r="O263" s="39"/>
      <c r="P263" s="39"/>
      <c r="Q263" s="39"/>
    </row>
    <row r="264">
      <c r="D264" s="49"/>
      <c r="K264" s="39"/>
      <c r="L264" s="39"/>
      <c r="M264" s="39"/>
      <c r="N264" s="39"/>
      <c r="O264" s="39"/>
      <c r="P264" s="39"/>
      <c r="Q264" s="39"/>
    </row>
    <row r="265">
      <c r="D265" s="49"/>
      <c r="K265" s="39"/>
      <c r="L265" s="39"/>
      <c r="M265" s="39"/>
      <c r="N265" s="39"/>
      <c r="O265" s="39"/>
      <c r="P265" s="39"/>
      <c r="Q265" s="39"/>
    </row>
    <row r="266">
      <c r="D266" s="49"/>
      <c r="K266" s="39"/>
      <c r="L266" s="39"/>
      <c r="M266" s="39"/>
      <c r="N266" s="39"/>
      <c r="O266" s="39"/>
      <c r="P266" s="39"/>
      <c r="Q266" s="39"/>
    </row>
    <row r="267">
      <c r="D267" s="49"/>
      <c r="K267" s="39"/>
      <c r="L267" s="39"/>
      <c r="M267" s="39"/>
      <c r="N267" s="39"/>
      <c r="O267" s="39"/>
      <c r="P267" s="39"/>
      <c r="Q267" s="39"/>
    </row>
    <row r="268">
      <c r="D268" s="49"/>
      <c r="K268" s="39"/>
      <c r="L268" s="39"/>
      <c r="M268" s="39"/>
      <c r="N268" s="39"/>
      <c r="O268" s="39"/>
      <c r="P268" s="39"/>
      <c r="Q268" s="39"/>
    </row>
    <row r="269">
      <c r="D269" s="49"/>
      <c r="K269" s="39"/>
      <c r="L269" s="39"/>
      <c r="M269" s="39"/>
      <c r="N269" s="39"/>
      <c r="O269" s="39"/>
      <c r="P269" s="39"/>
      <c r="Q269" s="39"/>
    </row>
    <row r="270">
      <c r="D270" s="49"/>
      <c r="K270" s="39"/>
      <c r="L270" s="39"/>
      <c r="M270" s="39"/>
      <c r="N270" s="39"/>
      <c r="O270" s="39"/>
      <c r="P270" s="39"/>
      <c r="Q270" s="39"/>
    </row>
    <row r="271">
      <c r="D271" s="49"/>
      <c r="K271" s="39"/>
      <c r="L271" s="39"/>
      <c r="M271" s="39"/>
      <c r="N271" s="39"/>
      <c r="O271" s="39"/>
      <c r="P271" s="39"/>
      <c r="Q271" s="39"/>
    </row>
    <row r="272">
      <c r="D272" s="49"/>
      <c r="K272" s="39"/>
      <c r="L272" s="39"/>
      <c r="M272" s="39"/>
      <c r="N272" s="39"/>
      <c r="O272" s="39"/>
      <c r="P272" s="39"/>
      <c r="Q272" s="39"/>
    </row>
    <row r="273">
      <c r="D273" s="49"/>
      <c r="K273" s="39"/>
      <c r="L273" s="39"/>
      <c r="M273" s="39"/>
      <c r="N273" s="39"/>
      <c r="O273" s="39"/>
      <c r="P273" s="39"/>
      <c r="Q273" s="39"/>
    </row>
    <row r="274">
      <c r="D274" s="49"/>
      <c r="K274" s="39"/>
      <c r="L274" s="39"/>
      <c r="M274" s="39"/>
      <c r="N274" s="39"/>
      <c r="O274" s="39"/>
      <c r="P274" s="39"/>
      <c r="Q274" s="39"/>
    </row>
    <row r="275">
      <c r="D275" s="49"/>
      <c r="K275" s="39"/>
      <c r="L275" s="39"/>
      <c r="M275" s="39"/>
      <c r="N275" s="39"/>
      <c r="O275" s="39"/>
      <c r="P275" s="39"/>
      <c r="Q275" s="39"/>
    </row>
    <row r="276">
      <c r="D276" s="49"/>
      <c r="K276" s="39"/>
      <c r="L276" s="39"/>
      <c r="M276" s="39"/>
      <c r="N276" s="39"/>
      <c r="O276" s="39"/>
      <c r="P276" s="39"/>
      <c r="Q276" s="39"/>
    </row>
    <row r="277">
      <c r="D277" s="49"/>
      <c r="K277" s="39"/>
      <c r="L277" s="39"/>
      <c r="M277" s="39"/>
      <c r="N277" s="39"/>
      <c r="O277" s="39"/>
      <c r="P277" s="39"/>
      <c r="Q277" s="39"/>
    </row>
    <row r="278">
      <c r="D278" s="49"/>
      <c r="K278" s="39"/>
      <c r="L278" s="39"/>
      <c r="M278" s="39"/>
      <c r="N278" s="39"/>
      <c r="O278" s="39"/>
      <c r="P278" s="39"/>
      <c r="Q278" s="39"/>
    </row>
    <row r="279">
      <c r="D279" s="49"/>
      <c r="K279" s="39"/>
      <c r="L279" s="39"/>
      <c r="M279" s="39"/>
      <c r="N279" s="39"/>
      <c r="O279" s="39"/>
      <c r="P279" s="39"/>
      <c r="Q279" s="39"/>
    </row>
    <row r="280">
      <c r="D280" s="49"/>
      <c r="K280" s="39"/>
      <c r="L280" s="39"/>
      <c r="M280" s="39"/>
      <c r="N280" s="39"/>
      <c r="O280" s="39"/>
      <c r="P280" s="39"/>
      <c r="Q280" s="39"/>
    </row>
    <row r="281">
      <c r="D281" s="49"/>
      <c r="K281" s="39"/>
      <c r="L281" s="39"/>
      <c r="M281" s="39"/>
      <c r="N281" s="39"/>
      <c r="O281" s="39"/>
      <c r="P281" s="39"/>
      <c r="Q281" s="39"/>
    </row>
    <row r="282">
      <c r="D282" s="49"/>
      <c r="K282" s="39"/>
      <c r="L282" s="39"/>
      <c r="M282" s="39"/>
      <c r="N282" s="39"/>
      <c r="O282" s="39"/>
      <c r="P282" s="39"/>
      <c r="Q282" s="39"/>
    </row>
    <row r="283">
      <c r="D283" s="49"/>
      <c r="K283" s="39"/>
      <c r="L283" s="39"/>
      <c r="M283" s="39"/>
      <c r="N283" s="39"/>
      <c r="O283" s="39"/>
      <c r="P283" s="39"/>
      <c r="Q283" s="39"/>
    </row>
    <row r="284">
      <c r="D284" s="49"/>
      <c r="K284" s="39"/>
      <c r="L284" s="39"/>
      <c r="M284" s="39"/>
      <c r="N284" s="39"/>
      <c r="O284" s="39"/>
      <c r="P284" s="39"/>
      <c r="Q284" s="39"/>
    </row>
    <row r="285">
      <c r="D285" s="49"/>
      <c r="K285" s="39"/>
      <c r="L285" s="39"/>
      <c r="M285" s="39"/>
      <c r="N285" s="39"/>
      <c r="O285" s="39"/>
      <c r="P285" s="39"/>
      <c r="Q285" s="39"/>
    </row>
    <row r="286">
      <c r="D286" s="49"/>
      <c r="K286" s="39"/>
      <c r="L286" s="39"/>
      <c r="M286" s="39"/>
      <c r="N286" s="39"/>
      <c r="O286" s="39"/>
      <c r="P286" s="39"/>
      <c r="Q286" s="39"/>
    </row>
    <row r="287">
      <c r="D287" s="49"/>
      <c r="K287" s="39"/>
      <c r="L287" s="39"/>
      <c r="M287" s="39"/>
      <c r="N287" s="39"/>
      <c r="O287" s="39"/>
      <c r="P287" s="39"/>
      <c r="Q287" s="39"/>
    </row>
    <row r="288">
      <c r="D288" s="49"/>
      <c r="K288" s="39"/>
      <c r="L288" s="39"/>
      <c r="M288" s="39"/>
      <c r="N288" s="39"/>
      <c r="O288" s="39"/>
      <c r="P288" s="39"/>
      <c r="Q288" s="39"/>
    </row>
    <row r="289">
      <c r="D289" s="49"/>
      <c r="K289" s="39"/>
      <c r="L289" s="39"/>
      <c r="M289" s="39"/>
      <c r="N289" s="39"/>
      <c r="O289" s="39"/>
      <c r="P289" s="39"/>
      <c r="Q289" s="39"/>
    </row>
    <row r="290">
      <c r="D290" s="49"/>
      <c r="K290" s="39"/>
      <c r="L290" s="39"/>
      <c r="M290" s="39"/>
      <c r="N290" s="39"/>
      <c r="O290" s="39"/>
      <c r="P290" s="39"/>
      <c r="Q290" s="39"/>
    </row>
    <row r="291">
      <c r="D291" s="49"/>
      <c r="K291" s="39"/>
      <c r="L291" s="39"/>
      <c r="M291" s="39"/>
      <c r="N291" s="39"/>
      <c r="O291" s="39"/>
      <c r="P291" s="39"/>
      <c r="Q291" s="39"/>
    </row>
    <row r="292">
      <c r="D292" s="49"/>
      <c r="K292" s="39"/>
      <c r="L292" s="39"/>
      <c r="M292" s="39"/>
      <c r="N292" s="39"/>
      <c r="O292" s="39"/>
      <c r="P292" s="39"/>
      <c r="Q292" s="39"/>
    </row>
    <row r="293">
      <c r="D293" s="49"/>
      <c r="K293" s="39"/>
      <c r="L293" s="39"/>
      <c r="M293" s="39"/>
      <c r="N293" s="39"/>
      <c r="O293" s="39"/>
      <c r="P293" s="39"/>
      <c r="Q293" s="39"/>
    </row>
    <row r="294">
      <c r="D294" s="49"/>
      <c r="K294" s="39"/>
      <c r="L294" s="39"/>
      <c r="M294" s="39"/>
      <c r="N294" s="39"/>
      <c r="O294" s="39"/>
      <c r="P294" s="39"/>
      <c r="Q294" s="39"/>
    </row>
    <row r="295">
      <c r="D295" s="49"/>
      <c r="K295" s="39"/>
      <c r="L295" s="39"/>
      <c r="M295" s="39"/>
      <c r="N295" s="39"/>
      <c r="O295" s="39"/>
      <c r="P295" s="39"/>
      <c r="Q295" s="39"/>
    </row>
    <row r="296">
      <c r="D296" s="49"/>
      <c r="K296" s="39"/>
      <c r="L296" s="39"/>
      <c r="M296" s="39"/>
      <c r="N296" s="39"/>
      <c r="O296" s="39"/>
      <c r="P296" s="39"/>
      <c r="Q296" s="39"/>
    </row>
    <row r="297">
      <c r="D297" s="49"/>
      <c r="K297" s="39"/>
      <c r="L297" s="39"/>
      <c r="M297" s="39"/>
      <c r="N297" s="39"/>
      <c r="O297" s="39"/>
      <c r="P297" s="39"/>
      <c r="Q297" s="39"/>
    </row>
    <row r="298">
      <c r="D298" s="49"/>
      <c r="K298" s="39"/>
      <c r="L298" s="39"/>
      <c r="M298" s="39"/>
      <c r="N298" s="39"/>
      <c r="O298" s="39"/>
      <c r="P298" s="39"/>
      <c r="Q298" s="39"/>
    </row>
    <row r="299">
      <c r="D299" s="49"/>
      <c r="K299" s="39"/>
      <c r="L299" s="39"/>
      <c r="M299" s="39"/>
      <c r="N299" s="39"/>
      <c r="O299" s="39"/>
      <c r="P299" s="39"/>
      <c r="Q299" s="39"/>
    </row>
    <row r="300">
      <c r="D300" s="49"/>
      <c r="K300" s="39"/>
      <c r="L300" s="39"/>
      <c r="M300" s="39"/>
      <c r="N300" s="39"/>
      <c r="O300" s="39"/>
      <c r="P300" s="39"/>
      <c r="Q300" s="39"/>
    </row>
    <row r="301">
      <c r="D301" s="49"/>
      <c r="K301" s="39"/>
      <c r="L301" s="39"/>
      <c r="M301" s="39"/>
      <c r="N301" s="39"/>
      <c r="O301" s="39"/>
      <c r="P301" s="39"/>
      <c r="Q301" s="39"/>
    </row>
    <row r="302">
      <c r="D302" s="49"/>
      <c r="K302" s="39"/>
      <c r="L302" s="39"/>
      <c r="M302" s="39"/>
      <c r="N302" s="39"/>
      <c r="O302" s="39"/>
      <c r="P302" s="39"/>
      <c r="Q302" s="39"/>
    </row>
    <row r="303">
      <c r="D303" s="49"/>
      <c r="K303" s="39"/>
      <c r="L303" s="39"/>
      <c r="M303" s="39"/>
      <c r="N303" s="39"/>
      <c r="O303" s="39"/>
      <c r="P303" s="39"/>
      <c r="Q303" s="39"/>
    </row>
    <row r="304">
      <c r="D304" s="49"/>
      <c r="K304" s="39"/>
      <c r="L304" s="39"/>
      <c r="M304" s="39"/>
      <c r="N304" s="39"/>
      <c r="O304" s="39"/>
      <c r="P304" s="39"/>
      <c r="Q304" s="39"/>
    </row>
    <row r="305">
      <c r="D305" s="49"/>
      <c r="K305" s="39"/>
      <c r="L305" s="39"/>
      <c r="M305" s="39"/>
      <c r="N305" s="39"/>
      <c r="O305" s="39"/>
      <c r="P305" s="39"/>
      <c r="Q305" s="39"/>
    </row>
    <row r="306">
      <c r="D306" s="49"/>
      <c r="K306" s="39"/>
      <c r="L306" s="39"/>
      <c r="M306" s="39"/>
      <c r="N306" s="39"/>
      <c r="O306" s="39"/>
      <c r="P306" s="39"/>
      <c r="Q306" s="39"/>
    </row>
    <row r="307">
      <c r="D307" s="49"/>
      <c r="K307" s="39"/>
      <c r="L307" s="39"/>
      <c r="M307" s="39"/>
      <c r="N307" s="39"/>
      <c r="O307" s="39"/>
      <c r="P307" s="39"/>
      <c r="Q307" s="39"/>
    </row>
    <row r="308">
      <c r="D308" s="49"/>
      <c r="K308" s="39"/>
      <c r="L308" s="39"/>
      <c r="M308" s="39"/>
      <c r="N308" s="39"/>
      <c r="O308" s="39"/>
      <c r="P308" s="39"/>
      <c r="Q308" s="39"/>
    </row>
    <row r="309">
      <c r="D309" s="49"/>
      <c r="K309" s="39"/>
      <c r="L309" s="39"/>
      <c r="M309" s="39"/>
      <c r="N309" s="39"/>
      <c r="O309" s="39"/>
      <c r="P309" s="39"/>
      <c r="Q309" s="39"/>
    </row>
    <row r="310">
      <c r="D310" s="49"/>
      <c r="K310" s="39"/>
      <c r="L310" s="39"/>
      <c r="M310" s="39"/>
      <c r="N310" s="39"/>
      <c r="O310" s="39"/>
      <c r="P310" s="39"/>
      <c r="Q310" s="39"/>
    </row>
    <row r="311">
      <c r="D311" s="49"/>
      <c r="K311" s="39"/>
      <c r="L311" s="39"/>
      <c r="M311" s="39"/>
      <c r="N311" s="39"/>
      <c r="O311" s="39"/>
      <c r="P311" s="39"/>
      <c r="Q311" s="39"/>
    </row>
    <row r="312">
      <c r="D312" s="49"/>
      <c r="K312" s="39"/>
      <c r="L312" s="39"/>
      <c r="M312" s="39"/>
      <c r="N312" s="39"/>
      <c r="O312" s="39"/>
      <c r="P312" s="39"/>
      <c r="Q312" s="39"/>
    </row>
    <row r="313">
      <c r="D313" s="49"/>
      <c r="K313" s="39"/>
      <c r="L313" s="39"/>
      <c r="M313" s="39"/>
      <c r="N313" s="39"/>
      <c r="O313" s="39"/>
      <c r="P313" s="39"/>
      <c r="Q313" s="39"/>
    </row>
    <row r="314">
      <c r="D314" s="49"/>
      <c r="K314" s="39"/>
      <c r="L314" s="39"/>
      <c r="M314" s="39"/>
      <c r="N314" s="39"/>
      <c r="O314" s="39"/>
      <c r="P314" s="39"/>
      <c r="Q314" s="39"/>
    </row>
    <row r="315">
      <c r="D315" s="49"/>
      <c r="K315" s="39"/>
      <c r="L315" s="39"/>
      <c r="M315" s="39"/>
      <c r="N315" s="39"/>
      <c r="O315" s="39"/>
      <c r="P315" s="39"/>
      <c r="Q315" s="39"/>
    </row>
    <row r="316">
      <c r="D316" s="49"/>
      <c r="K316" s="39"/>
      <c r="L316" s="39"/>
      <c r="M316" s="39"/>
      <c r="N316" s="39"/>
      <c r="O316" s="39"/>
      <c r="P316" s="39"/>
      <c r="Q316" s="39"/>
    </row>
    <row r="317">
      <c r="D317" s="49"/>
      <c r="K317" s="39"/>
      <c r="L317" s="39"/>
      <c r="M317" s="39"/>
      <c r="N317" s="39"/>
      <c r="O317" s="39"/>
      <c r="P317" s="39"/>
      <c r="Q317" s="39"/>
    </row>
    <row r="318">
      <c r="D318" s="49"/>
      <c r="K318" s="39"/>
      <c r="L318" s="39"/>
      <c r="M318" s="39"/>
      <c r="N318" s="39"/>
      <c r="O318" s="39"/>
      <c r="P318" s="39"/>
      <c r="Q318" s="39"/>
    </row>
    <row r="319">
      <c r="D319" s="49"/>
      <c r="K319" s="39"/>
      <c r="L319" s="39"/>
      <c r="M319" s="39"/>
      <c r="N319" s="39"/>
      <c r="O319" s="39"/>
      <c r="P319" s="39"/>
      <c r="Q319" s="39"/>
    </row>
    <row r="320">
      <c r="D320" s="49"/>
      <c r="K320" s="39"/>
      <c r="L320" s="39"/>
      <c r="M320" s="39"/>
      <c r="N320" s="39"/>
      <c r="O320" s="39"/>
      <c r="P320" s="39"/>
      <c r="Q320" s="39"/>
    </row>
    <row r="321">
      <c r="D321" s="49"/>
      <c r="K321" s="39"/>
      <c r="L321" s="39"/>
      <c r="M321" s="39"/>
      <c r="N321" s="39"/>
      <c r="O321" s="39"/>
      <c r="P321" s="39"/>
      <c r="Q321" s="39"/>
    </row>
    <row r="322">
      <c r="D322" s="49"/>
      <c r="K322" s="39"/>
      <c r="L322" s="39"/>
      <c r="M322" s="39"/>
      <c r="N322" s="39"/>
      <c r="O322" s="39"/>
      <c r="P322" s="39"/>
      <c r="Q322" s="39"/>
    </row>
    <row r="323">
      <c r="D323" s="49"/>
      <c r="K323" s="39"/>
      <c r="L323" s="39"/>
      <c r="M323" s="39"/>
      <c r="N323" s="39"/>
      <c r="O323" s="39"/>
      <c r="P323" s="39"/>
      <c r="Q323" s="39"/>
    </row>
    <row r="324">
      <c r="D324" s="49"/>
      <c r="K324" s="39"/>
      <c r="L324" s="39"/>
      <c r="M324" s="39"/>
      <c r="N324" s="39"/>
      <c r="O324" s="39"/>
      <c r="P324" s="39"/>
      <c r="Q324" s="39"/>
    </row>
    <row r="325">
      <c r="D325" s="49"/>
      <c r="K325" s="39"/>
      <c r="L325" s="39"/>
      <c r="M325" s="39"/>
      <c r="N325" s="39"/>
      <c r="O325" s="39"/>
      <c r="P325" s="39"/>
      <c r="Q325" s="39"/>
    </row>
    <row r="326">
      <c r="D326" s="49"/>
      <c r="K326" s="39"/>
      <c r="L326" s="39"/>
      <c r="M326" s="39"/>
      <c r="N326" s="39"/>
      <c r="O326" s="39"/>
      <c r="P326" s="39"/>
      <c r="Q326" s="39"/>
    </row>
    <row r="327">
      <c r="D327" s="49"/>
      <c r="K327" s="39"/>
      <c r="L327" s="39"/>
      <c r="M327" s="39"/>
      <c r="N327" s="39"/>
      <c r="O327" s="39"/>
      <c r="P327" s="39"/>
      <c r="Q327" s="39"/>
    </row>
    <row r="328">
      <c r="D328" s="49"/>
      <c r="K328" s="39"/>
      <c r="L328" s="39"/>
      <c r="M328" s="39"/>
      <c r="N328" s="39"/>
      <c r="O328" s="39"/>
      <c r="P328" s="39"/>
      <c r="Q328" s="39"/>
    </row>
    <row r="329">
      <c r="D329" s="49"/>
      <c r="K329" s="39"/>
      <c r="L329" s="39"/>
      <c r="M329" s="39"/>
      <c r="N329" s="39"/>
      <c r="O329" s="39"/>
      <c r="P329" s="39"/>
      <c r="Q329" s="39"/>
    </row>
    <row r="330">
      <c r="D330" s="49"/>
      <c r="K330" s="39"/>
      <c r="L330" s="39"/>
      <c r="M330" s="39"/>
      <c r="N330" s="39"/>
      <c r="O330" s="39"/>
      <c r="P330" s="39"/>
      <c r="Q330" s="39"/>
    </row>
    <row r="331">
      <c r="D331" s="49"/>
      <c r="K331" s="39"/>
      <c r="L331" s="39"/>
      <c r="M331" s="39"/>
      <c r="N331" s="39"/>
      <c r="O331" s="39"/>
      <c r="P331" s="39"/>
      <c r="Q331" s="39"/>
    </row>
    <row r="332">
      <c r="D332" s="49"/>
      <c r="K332" s="39"/>
      <c r="L332" s="39"/>
      <c r="M332" s="39"/>
      <c r="N332" s="39"/>
      <c r="O332" s="39"/>
      <c r="P332" s="39"/>
      <c r="Q332" s="39"/>
    </row>
    <row r="333">
      <c r="D333" s="49"/>
      <c r="K333" s="39"/>
      <c r="L333" s="39"/>
      <c r="M333" s="39"/>
      <c r="N333" s="39"/>
      <c r="O333" s="39"/>
      <c r="P333" s="39"/>
      <c r="Q333" s="39"/>
    </row>
    <row r="334">
      <c r="D334" s="49"/>
      <c r="K334" s="39"/>
      <c r="L334" s="39"/>
      <c r="M334" s="39"/>
      <c r="N334" s="39"/>
      <c r="O334" s="39"/>
      <c r="P334" s="39"/>
      <c r="Q334" s="39"/>
    </row>
    <row r="335">
      <c r="D335" s="49"/>
      <c r="K335" s="39"/>
      <c r="L335" s="39"/>
      <c r="M335" s="39"/>
      <c r="N335" s="39"/>
      <c r="O335" s="39"/>
      <c r="P335" s="39"/>
      <c r="Q335" s="39"/>
    </row>
    <row r="336">
      <c r="D336" s="49"/>
      <c r="K336" s="39"/>
      <c r="L336" s="39"/>
      <c r="M336" s="39"/>
      <c r="N336" s="39"/>
      <c r="O336" s="39"/>
      <c r="P336" s="39"/>
      <c r="Q336" s="39"/>
    </row>
    <row r="337">
      <c r="D337" s="49"/>
      <c r="K337" s="39"/>
      <c r="L337" s="39"/>
      <c r="M337" s="39"/>
      <c r="N337" s="39"/>
      <c r="O337" s="39"/>
      <c r="P337" s="39"/>
      <c r="Q337" s="39"/>
    </row>
    <row r="338">
      <c r="D338" s="49"/>
      <c r="K338" s="39"/>
      <c r="L338" s="39"/>
      <c r="M338" s="39"/>
      <c r="N338" s="39"/>
      <c r="O338" s="39"/>
      <c r="P338" s="39"/>
      <c r="Q338" s="39"/>
    </row>
    <row r="339">
      <c r="D339" s="49"/>
      <c r="K339" s="39"/>
      <c r="L339" s="39"/>
      <c r="M339" s="39"/>
      <c r="N339" s="39"/>
      <c r="O339" s="39"/>
      <c r="P339" s="39"/>
      <c r="Q339" s="39"/>
    </row>
    <row r="340">
      <c r="D340" s="49"/>
      <c r="K340" s="39"/>
      <c r="L340" s="39"/>
      <c r="M340" s="39"/>
      <c r="N340" s="39"/>
      <c r="O340" s="39"/>
      <c r="P340" s="39"/>
      <c r="Q340" s="39"/>
    </row>
    <row r="341">
      <c r="D341" s="49"/>
      <c r="K341" s="39"/>
      <c r="L341" s="39"/>
      <c r="M341" s="39"/>
      <c r="N341" s="39"/>
      <c r="O341" s="39"/>
      <c r="P341" s="39"/>
      <c r="Q341" s="39"/>
    </row>
    <row r="342">
      <c r="D342" s="49"/>
      <c r="K342" s="39"/>
      <c r="L342" s="39"/>
      <c r="M342" s="39"/>
      <c r="N342" s="39"/>
      <c r="O342" s="39"/>
      <c r="P342" s="39"/>
      <c r="Q342" s="39"/>
    </row>
    <row r="343">
      <c r="D343" s="49"/>
      <c r="K343" s="39"/>
      <c r="L343" s="39"/>
      <c r="M343" s="39"/>
      <c r="N343" s="39"/>
      <c r="O343" s="39"/>
      <c r="P343" s="39"/>
      <c r="Q343" s="39"/>
    </row>
    <row r="344">
      <c r="D344" s="49"/>
      <c r="K344" s="39"/>
      <c r="L344" s="39"/>
      <c r="M344" s="39"/>
      <c r="N344" s="39"/>
      <c r="O344" s="39"/>
      <c r="P344" s="39"/>
      <c r="Q344" s="39"/>
    </row>
    <row r="345">
      <c r="D345" s="49"/>
      <c r="K345" s="39"/>
      <c r="L345" s="39"/>
      <c r="M345" s="39"/>
      <c r="N345" s="39"/>
      <c r="O345" s="39"/>
      <c r="P345" s="39"/>
      <c r="Q345" s="39"/>
    </row>
    <row r="346">
      <c r="D346" s="49"/>
      <c r="K346" s="39"/>
      <c r="L346" s="39"/>
      <c r="M346" s="39"/>
      <c r="N346" s="39"/>
      <c r="O346" s="39"/>
      <c r="P346" s="39"/>
      <c r="Q346" s="39"/>
    </row>
    <row r="347">
      <c r="D347" s="49"/>
      <c r="K347" s="39"/>
      <c r="L347" s="39"/>
      <c r="M347" s="39"/>
      <c r="N347" s="39"/>
      <c r="O347" s="39"/>
      <c r="P347" s="39"/>
      <c r="Q347" s="39"/>
    </row>
    <row r="348">
      <c r="D348" s="49"/>
      <c r="K348" s="39"/>
      <c r="L348" s="39"/>
      <c r="M348" s="39"/>
      <c r="N348" s="39"/>
      <c r="O348" s="39"/>
      <c r="P348" s="39"/>
      <c r="Q348" s="39"/>
    </row>
    <row r="349">
      <c r="D349" s="49"/>
      <c r="K349" s="39"/>
      <c r="L349" s="39"/>
      <c r="M349" s="39"/>
      <c r="N349" s="39"/>
      <c r="O349" s="39"/>
      <c r="P349" s="39"/>
      <c r="Q349" s="39"/>
    </row>
    <row r="350">
      <c r="D350" s="49"/>
      <c r="K350" s="39"/>
      <c r="L350" s="39"/>
      <c r="M350" s="39"/>
      <c r="N350" s="39"/>
      <c r="O350" s="39"/>
      <c r="P350" s="39"/>
      <c r="Q350" s="39"/>
    </row>
    <row r="351">
      <c r="D351" s="49"/>
      <c r="K351" s="39"/>
      <c r="L351" s="39"/>
      <c r="M351" s="39"/>
      <c r="N351" s="39"/>
      <c r="O351" s="39"/>
      <c r="P351" s="39"/>
      <c r="Q351" s="39"/>
    </row>
    <row r="352">
      <c r="D352" s="49"/>
      <c r="K352" s="39"/>
      <c r="L352" s="39"/>
      <c r="M352" s="39"/>
      <c r="N352" s="39"/>
      <c r="O352" s="39"/>
      <c r="P352" s="39"/>
      <c r="Q352" s="39"/>
    </row>
    <row r="353">
      <c r="D353" s="49"/>
      <c r="K353" s="39"/>
      <c r="L353" s="39"/>
      <c r="M353" s="39"/>
      <c r="N353" s="39"/>
      <c r="O353" s="39"/>
      <c r="P353" s="39"/>
      <c r="Q353" s="39"/>
    </row>
    <row r="354">
      <c r="D354" s="49"/>
      <c r="K354" s="39"/>
      <c r="L354" s="39"/>
      <c r="M354" s="39"/>
      <c r="N354" s="39"/>
      <c r="O354" s="39"/>
      <c r="P354" s="39"/>
      <c r="Q354" s="39"/>
    </row>
    <row r="355">
      <c r="D355" s="49"/>
      <c r="K355" s="39"/>
      <c r="L355" s="39"/>
      <c r="M355" s="39"/>
      <c r="N355" s="39"/>
      <c r="O355" s="39"/>
      <c r="P355" s="39"/>
      <c r="Q355" s="39"/>
    </row>
    <row r="356">
      <c r="D356" s="49"/>
      <c r="K356" s="39"/>
      <c r="L356" s="39"/>
      <c r="M356" s="39"/>
      <c r="N356" s="39"/>
      <c r="O356" s="39"/>
      <c r="P356" s="39"/>
      <c r="Q356" s="39"/>
    </row>
    <row r="357">
      <c r="D357" s="49"/>
      <c r="K357" s="39"/>
      <c r="L357" s="39"/>
      <c r="M357" s="39"/>
      <c r="N357" s="39"/>
      <c r="O357" s="39"/>
      <c r="P357" s="39"/>
      <c r="Q357" s="39"/>
    </row>
    <row r="358">
      <c r="D358" s="49"/>
      <c r="K358" s="39"/>
      <c r="L358" s="39"/>
      <c r="M358" s="39"/>
      <c r="N358" s="39"/>
      <c r="O358" s="39"/>
      <c r="P358" s="39"/>
      <c r="Q358" s="39"/>
    </row>
    <row r="359">
      <c r="D359" s="49"/>
      <c r="K359" s="39"/>
      <c r="L359" s="39"/>
      <c r="M359" s="39"/>
      <c r="N359" s="39"/>
      <c r="O359" s="39"/>
      <c r="P359" s="39"/>
      <c r="Q359" s="39"/>
    </row>
    <row r="360">
      <c r="D360" s="49"/>
      <c r="K360" s="39"/>
      <c r="L360" s="39"/>
      <c r="M360" s="39"/>
      <c r="N360" s="39"/>
      <c r="O360" s="39"/>
      <c r="P360" s="39"/>
      <c r="Q360" s="39"/>
    </row>
    <row r="361">
      <c r="D361" s="49"/>
      <c r="K361" s="39"/>
      <c r="L361" s="39"/>
      <c r="M361" s="39"/>
      <c r="N361" s="39"/>
      <c r="O361" s="39"/>
      <c r="P361" s="39"/>
      <c r="Q361" s="39"/>
    </row>
    <row r="362">
      <c r="D362" s="49"/>
      <c r="K362" s="39"/>
      <c r="L362" s="39"/>
      <c r="M362" s="39"/>
      <c r="N362" s="39"/>
      <c r="O362" s="39"/>
      <c r="P362" s="39"/>
      <c r="Q362" s="39"/>
    </row>
    <row r="363">
      <c r="D363" s="49"/>
      <c r="K363" s="39"/>
      <c r="L363" s="39"/>
      <c r="M363" s="39"/>
      <c r="N363" s="39"/>
      <c r="O363" s="39"/>
      <c r="P363" s="39"/>
      <c r="Q363" s="39"/>
    </row>
    <row r="364">
      <c r="D364" s="49"/>
      <c r="K364" s="39"/>
      <c r="L364" s="39"/>
      <c r="M364" s="39"/>
      <c r="N364" s="39"/>
      <c r="O364" s="39"/>
      <c r="P364" s="39"/>
      <c r="Q364" s="39"/>
    </row>
    <row r="365">
      <c r="D365" s="49"/>
      <c r="K365" s="39"/>
      <c r="L365" s="39"/>
      <c r="M365" s="39"/>
      <c r="N365" s="39"/>
      <c r="O365" s="39"/>
      <c r="P365" s="39"/>
      <c r="Q365" s="39"/>
    </row>
    <row r="366">
      <c r="D366" s="49"/>
      <c r="K366" s="39"/>
      <c r="L366" s="39"/>
      <c r="M366" s="39"/>
      <c r="N366" s="39"/>
      <c r="O366" s="39"/>
      <c r="P366" s="39"/>
      <c r="Q366" s="39"/>
    </row>
    <row r="367">
      <c r="D367" s="49"/>
      <c r="K367" s="39"/>
      <c r="L367" s="39"/>
      <c r="M367" s="39"/>
      <c r="N367" s="39"/>
      <c r="O367" s="39"/>
      <c r="P367" s="39"/>
      <c r="Q367" s="39"/>
    </row>
    <row r="368">
      <c r="D368" s="49"/>
      <c r="K368" s="39"/>
      <c r="L368" s="39"/>
      <c r="M368" s="39"/>
      <c r="N368" s="39"/>
      <c r="O368" s="39"/>
      <c r="P368" s="39"/>
      <c r="Q368" s="39"/>
    </row>
    <row r="369">
      <c r="D369" s="49"/>
      <c r="K369" s="39"/>
      <c r="L369" s="39"/>
      <c r="M369" s="39"/>
      <c r="N369" s="39"/>
      <c r="O369" s="39"/>
      <c r="P369" s="39"/>
      <c r="Q369" s="39"/>
    </row>
    <row r="370">
      <c r="D370" s="49"/>
      <c r="K370" s="39"/>
      <c r="L370" s="39"/>
      <c r="M370" s="39"/>
      <c r="N370" s="39"/>
      <c r="O370" s="39"/>
      <c r="P370" s="39"/>
      <c r="Q370" s="39"/>
    </row>
    <row r="371">
      <c r="D371" s="49"/>
      <c r="K371" s="39"/>
      <c r="L371" s="39"/>
      <c r="M371" s="39"/>
      <c r="N371" s="39"/>
      <c r="O371" s="39"/>
      <c r="P371" s="39"/>
      <c r="Q371" s="39"/>
    </row>
    <row r="372">
      <c r="D372" s="49"/>
      <c r="K372" s="39"/>
      <c r="L372" s="39"/>
      <c r="M372" s="39"/>
      <c r="N372" s="39"/>
      <c r="O372" s="39"/>
      <c r="P372" s="39"/>
      <c r="Q372" s="39"/>
    </row>
    <row r="373">
      <c r="D373" s="49"/>
      <c r="K373" s="39"/>
      <c r="L373" s="39"/>
      <c r="M373" s="39"/>
      <c r="N373" s="39"/>
      <c r="O373" s="39"/>
      <c r="P373" s="39"/>
      <c r="Q373" s="39"/>
    </row>
    <row r="374">
      <c r="D374" s="49"/>
      <c r="K374" s="39"/>
      <c r="L374" s="39"/>
      <c r="M374" s="39"/>
      <c r="N374" s="39"/>
      <c r="O374" s="39"/>
      <c r="P374" s="39"/>
      <c r="Q374" s="39"/>
    </row>
    <row r="375">
      <c r="D375" s="49"/>
      <c r="K375" s="39"/>
      <c r="L375" s="39"/>
      <c r="M375" s="39"/>
      <c r="N375" s="39"/>
      <c r="O375" s="39"/>
      <c r="P375" s="39"/>
      <c r="Q375" s="39"/>
    </row>
    <row r="376">
      <c r="D376" s="49"/>
      <c r="K376" s="39"/>
      <c r="L376" s="39"/>
      <c r="M376" s="39"/>
      <c r="N376" s="39"/>
      <c r="O376" s="39"/>
      <c r="P376" s="39"/>
      <c r="Q376" s="39"/>
    </row>
    <row r="377">
      <c r="D377" s="49"/>
      <c r="K377" s="39"/>
      <c r="L377" s="39"/>
      <c r="M377" s="39"/>
      <c r="N377" s="39"/>
      <c r="O377" s="39"/>
      <c r="P377" s="39"/>
      <c r="Q377" s="39"/>
    </row>
    <row r="378">
      <c r="D378" s="49"/>
      <c r="K378" s="39"/>
      <c r="L378" s="39"/>
      <c r="M378" s="39"/>
      <c r="N378" s="39"/>
      <c r="O378" s="39"/>
      <c r="P378" s="39"/>
      <c r="Q378" s="39"/>
    </row>
    <row r="379">
      <c r="D379" s="49"/>
      <c r="K379" s="39"/>
      <c r="L379" s="39"/>
      <c r="M379" s="39"/>
      <c r="N379" s="39"/>
      <c r="O379" s="39"/>
      <c r="P379" s="39"/>
      <c r="Q379" s="39"/>
    </row>
    <row r="380">
      <c r="D380" s="49"/>
      <c r="K380" s="39"/>
      <c r="L380" s="39"/>
      <c r="M380" s="39"/>
      <c r="N380" s="39"/>
      <c r="O380" s="39"/>
      <c r="P380" s="39"/>
      <c r="Q380" s="39"/>
    </row>
    <row r="381">
      <c r="D381" s="49"/>
      <c r="K381" s="39"/>
      <c r="L381" s="39"/>
      <c r="M381" s="39"/>
      <c r="N381" s="39"/>
      <c r="O381" s="39"/>
      <c r="P381" s="39"/>
      <c r="Q381" s="39"/>
    </row>
    <row r="382">
      <c r="D382" s="49"/>
      <c r="K382" s="39"/>
      <c r="L382" s="39"/>
      <c r="M382" s="39"/>
      <c r="N382" s="39"/>
      <c r="O382" s="39"/>
      <c r="P382" s="39"/>
      <c r="Q382" s="39"/>
    </row>
    <row r="383">
      <c r="D383" s="49"/>
      <c r="K383" s="39"/>
      <c r="L383" s="39"/>
      <c r="M383" s="39"/>
      <c r="N383" s="39"/>
      <c r="O383" s="39"/>
      <c r="P383" s="39"/>
      <c r="Q383" s="39"/>
    </row>
    <row r="384">
      <c r="D384" s="49"/>
      <c r="K384" s="39"/>
      <c r="L384" s="39"/>
      <c r="M384" s="39"/>
      <c r="N384" s="39"/>
      <c r="O384" s="39"/>
      <c r="P384" s="39"/>
      <c r="Q384" s="39"/>
    </row>
    <row r="385">
      <c r="D385" s="49"/>
      <c r="K385" s="39"/>
      <c r="L385" s="39"/>
      <c r="M385" s="39"/>
      <c r="N385" s="39"/>
      <c r="O385" s="39"/>
      <c r="P385" s="39"/>
      <c r="Q385" s="39"/>
    </row>
    <row r="386">
      <c r="D386" s="49"/>
      <c r="K386" s="39"/>
      <c r="L386" s="39"/>
      <c r="M386" s="39"/>
      <c r="N386" s="39"/>
      <c r="O386" s="39"/>
      <c r="P386" s="39"/>
      <c r="Q386" s="39"/>
    </row>
    <row r="387">
      <c r="D387" s="49"/>
      <c r="K387" s="39"/>
      <c r="L387" s="39"/>
      <c r="M387" s="39"/>
      <c r="N387" s="39"/>
      <c r="O387" s="39"/>
      <c r="P387" s="39"/>
      <c r="Q387" s="39"/>
    </row>
    <row r="388">
      <c r="D388" s="49"/>
      <c r="K388" s="39"/>
      <c r="L388" s="39"/>
      <c r="M388" s="39"/>
      <c r="N388" s="39"/>
      <c r="O388" s="39"/>
      <c r="P388" s="39"/>
      <c r="Q388" s="39"/>
    </row>
    <row r="389">
      <c r="D389" s="49"/>
      <c r="K389" s="39"/>
      <c r="L389" s="39"/>
      <c r="M389" s="39"/>
      <c r="N389" s="39"/>
      <c r="O389" s="39"/>
      <c r="P389" s="39"/>
      <c r="Q389" s="39"/>
    </row>
    <row r="390">
      <c r="D390" s="49"/>
      <c r="K390" s="39"/>
      <c r="L390" s="39"/>
      <c r="M390" s="39"/>
      <c r="N390" s="39"/>
      <c r="O390" s="39"/>
      <c r="P390" s="39"/>
      <c r="Q390" s="39"/>
    </row>
    <row r="391">
      <c r="D391" s="49"/>
      <c r="K391" s="39"/>
      <c r="L391" s="39"/>
      <c r="M391" s="39"/>
      <c r="N391" s="39"/>
      <c r="O391" s="39"/>
      <c r="P391" s="39"/>
      <c r="Q391" s="39"/>
    </row>
    <row r="392">
      <c r="D392" s="49"/>
      <c r="K392" s="39"/>
      <c r="L392" s="39"/>
      <c r="M392" s="39"/>
      <c r="N392" s="39"/>
      <c r="O392" s="39"/>
      <c r="P392" s="39"/>
      <c r="Q392" s="39"/>
    </row>
    <row r="393">
      <c r="D393" s="49"/>
      <c r="K393" s="39"/>
      <c r="L393" s="39"/>
      <c r="M393" s="39"/>
      <c r="N393" s="39"/>
      <c r="O393" s="39"/>
      <c r="P393" s="39"/>
      <c r="Q393" s="39"/>
    </row>
    <row r="394">
      <c r="D394" s="49"/>
      <c r="K394" s="39"/>
      <c r="L394" s="39"/>
      <c r="M394" s="39"/>
      <c r="N394" s="39"/>
      <c r="O394" s="39"/>
      <c r="P394" s="39"/>
      <c r="Q394" s="39"/>
    </row>
    <row r="395">
      <c r="D395" s="49"/>
      <c r="K395" s="39"/>
      <c r="L395" s="39"/>
      <c r="M395" s="39"/>
      <c r="N395" s="39"/>
      <c r="O395" s="39"/>
      <c r="P395" s="39"/>
      <c r="Q395" s="39"/>
    </row>
    <row r="396">
      <c r="D396" s="49"/>
      <c r="K396" s="39"/>
      <c r="L396" s="39"/>
      <c r="M396" s="39"/>
      <c r="N396" s="39"/>
      <c r="O396" s="39"/>
      <c r="P396" s="39"/>
      <c r="Q396" s="39"/>
    </row>
    <row r="397">
      <c r="D397" s="49"/>
      <c r="K397" s="39"/>
      <c r="L397" s="39"/>
      <c r="M397" s="39"/>
      <c r="N397" s="39"/>
      <c r="O397" s="39"/>
      <c r="P397" s="39"/>
      <c r="Q397" s="39"/>
    </row>
    <row r="398">
      <c r="D398" s="49"/>
      <c r="K398" s="39"/>
      <c r="L398" s="39"/>
      <c r="M398" s="39"/>
      <c r="N398" s="39"/>
      <c r="O398" s="39"/>
      <c r="P398" s="39"/>
      <c r="Q398" s="39"/>
    </row>
    <row r="399">
      <c r="D399" s="49"/>
      <c r="K399" s="39"/>
      <c r="L399" s="39"/>
      <c r="M399" s="39"/>
      <c r="N399" s="39"/>
      <c r="O399" s="39"/>
      <c r="P399" s="39"/>
      <c r="Q399" s="39"/>
    </row>
    <row r="400">
      <c r="D400" s="49"/>
      <c r="K400" s="39"/>
      <c r="L400" s="39"/>
      <c r="M400" s="39"/>
      <c r="N400" s="39"/>
      <c r="O400" s="39"/>
      <c r="P400" s="39"/>
      <c r="Q400" s="39"/>
    </row>
    <row r="401">
      <c r="D401" s="49"/>
      <c r="K401" s="39"/>
      <c r="L401" s="39"/>
      <c r="M401" s="39"/>
      <c r="N401" s="39"/>
      <c r="O401" s="39"/>
      <c r="P401" s="39"/>
      <c r="Q401" s="39"/>
    </row>
    <row r="402">
      <c r="D402" s="49"/>
      <c r="K402" s="39"/>
      <c r="L402" s="39"/>
      <c r="M402" s="39"/>
      <c r="N402" s="39"/>
      <c r="O402" s="39"/>
      <c r="P402" s="39"/>
      <c r="Q402" s="39"/>
    </row>
    <row r="403">
      <c r="D403" s="49"/>
      <c r="K403" s="39"/>
      <c r="L403" s="39"/>
      <c r="M403" s="39"/>
      <c r="N403" s="39"/>
      <c r="O403" s="39"/>
      <c r="P403" s="39"/>
      <c r="Q403" s="39"/>
    </row>
    <row r="404">
      <c r="D404" s="49"/>
      <c r="K404" s="39"/>
      <c r="L404" s="39"/>
      <c r="M404" s="39"/>
      <c r="N404" s="39"/>
      <c r="O404" s="39"/>
      <c r="P404" s="39"/>
      <c r="Q404" s="39"/>
    </row>
    <row r="405">
      <c r="D405" s="49"/>
      <c r="K405" s="39"/>
      <c r="L405" s="39"/>
      <c r="M405" s="39"/>
      <c r="N405" s="39"/>
      <c r="O405" s="39"/>
      <c r="P405" s="39"/>
      <c r="Q405" s="39"/>
    </row>
    <row r="406">
      <c r="D406" s="49"/>
      <c r="K406" s="39"/>
      <c r="L406" s="39"/>
      <c r="M406" s="39"/>
      <c r="N406" s="39"/>
      <c r="O406" s="39"/>
      <c r="P406" s="39"/>
      <c r="Q406" s="39"/>
    </row>
    <row r="407">
      <c r="D407" s="49"/>
      <c r="K407" s="39"/>
      <c r="L407" s="39"/>
      <c r="M407" s="39"/>
      <c r="N407" s="39"/>
      <c r="O407" s="39"/>
      <c r="P407" s="39"/>
      <c r="Q407" s="39"/>
    </row>
    <row r="408">
      <c r="D408" s="49"/>
      <c r="K408" s="39"/>
      <c r="L408" s="39"/>
      <c r="M408" s="39"/>
      <c r="N408" s="39"/>
      <c r="O408" s="39"/>
      <c r="P408" s="39"/>
      <c r="Q408" s="39"/>
    </row>
    <row r="409">
      <c r="D409" s="49"/>
      <c r="K409" s="39"/>
      <c r="L409" s="39"/>
      <c r="M409" s="39"/>
      <c r="N409" s="39"/>
      <c r="O409" s="39"/>
      <c r="P409" s="39"/>
      <c r="Q409" s="39"/>
    </row>
    <row r="410">
      <c r="D410" s="49"/>
      <c r="K410" s="39"/>
      <c r="L410" s="39"/>
      <c r="M410" s="39"/>
      <c r="N410" s="39"/>
      <c r="O410" s="39"/>
      <c r="P410" s="39"/>
      <c r="Q410" s="39"/>
    </row>
    <row r="411">
      <c r="D411" s="49"/>
      <c r="K411" s="39"/>
      <c r="L411" s="39"/>
      <c r="M411" s="39"/>
      <c r="N411" s="39"/>
      <c r="O411" s="39"/>
      <c r="P411" s="39"/>
      <c r="Q411" s="39"/>
    </row>
    <row r="412">
      <c r="D412" s="49"/>
      <c r="K412" s="39"/>
      <c r="L412" s="39"/>
      <c r="M412" s="39"/>
      <c r="N412" s="39"/>
      <c r="O412" s="39"/>
      <c r="P412" s="39"/>
      <c r="Q412" s="39"/>
    </row>
    <row r="413">
      <c r="D413" s="49"/>
      <c r="K413" s="39"/>
      <c r="L413" s="39"/>
      <c r="M413" s="39"/>
      <c r="N413" s="39"/>
      <c r="O413" s="39"/>
      <c r="P413" s="39"/>
      <c r="Q413" s="39"/>
    </row>
    <row r="414">
      <c r="D414" s="49"/>
      <c r="K414" s="39"/>
      <c r="L414" s="39"/>
      <c r="M414" s="39"/>
      <c r="N414" s="39"/>
      <c r="O414" s="39"/>
      <c r="P414" s="39"/>
      <c r="Q414" s="39"/>
    </row>
    <row r="415">
      <c r="D415" s="49"/>
      <c r="K415" s="39"/>
      <c r="L415" s="39"/>
      <c r="M415" s="39"/>
      <c r="N415" s="39"/>
      <c r="O415" s="39"/>
      <c r="P415" s="39"/>
      <c r="Q415" s="39"/>
    </row>
    <row r="416">
      <c r="D416" s="49"/>
      <c r="K416" s="39"/>
      <c r="L416" s="39"/>
      <c r="M416" s="39"/>
      <c r="N416" s="39"/>
      <c r="O416" s="39"/>
      <c r="P416" s="39"/>
      <c r="Q416" s="39"/>
    </row>
    <row r="417">
      <c r="D417" s="49"/>
      <c r="K417" s="39"/>
      <c r="L417" s="39"/>
      <c r="M417" s="39"/>
      <c r="N417" s="39"/>
      <c r="O417" s="39"/>
      <c r="P417" s="39"/>
      <c r="Q417" s="39"/>
    </row>
    <row r="418">
      <c r="D418" s="49"/>
      <c r="K418" s="39"/>
      <c r="L418" s="39"/>
      <c r="M418" s="39"/>
      <c r="N418" s="39"/>
      <c r="O418" s="39"/>
      <c r="P418" s="39"/>
      <c r="Q418" s="39"/>
    </row>
    <row r="419">
      <c r="D419" s="49"/>
      <c r="K419" s="39"/>
      <c r="L419" s="39"/>
      <c r="M419" s="39"/>
      <c r="N419" s="39"/>
      <c r="O419" s="39"/>
      <c r="P419" s="39"/>
      <c r="Q419" s="39"/>
    </row>
    <row r="420">
      <c r="D420" s="49"/>
      <c r="K420" s="39"/>
      <c r="L420" s="39"/>
      <c r="M420" s="39"/>
      <c r="N420" s="39"/>
      <c r="O420" s="39"/>
      <c r="P420" s="39"/>
      <c r="Q420" s="39"/>
    </row>
    <row r="421">
      <c r="D421" s="49"/>
      <c r="K421" s="39"/>
      <c r="L421" s="39"/>
      <c r="M421" s="39"/>
      <c r="N421" s="39"/>
      <c r="O421" s="39"/>
      <c r="P421" s="39"/>
      <c r="Q421" s="39"/>
    </row>
    <row r="422">
      <c r="D422" s="49"/>
      <c r="K422" s="39"/>
      <c r="L422" s="39"/>
      <c r="M422" s="39"/>
      <c r="N422" s="39"/>
      <c r="O422" s="39"/>
      <c r="P422" s="39"/>
      <c r="Q422" s="39"/>
    </row>
    <row r="423">
      <c r="D423" s="49"/>
      <c r="K423" s="39"/>
      <c r="L423" s="39"/>
      <c r="M423" s="39"/>
      <c r="N423" s="39"/>
      <c r="O423" s="39"/>
      <c r="P423" s="39"/>
      <c r="Q423" s="39"/>
    </row>
    <row r="424">
      <c r="D424" s="49"/>
      <c r="K424" s="39"/>
      <c r="L424" s="39"/>
      <c r="M424" s="39"/>
      <c r="N424" s="39"/>
      <c r="O424" s="39"/>
      <c r="P424" s="39"/>
      <c r="Q424" s="39"/>
    </row>
    <row r="425">
      <c r="D425" s="49"/>
      <c r="K425" s="39"/>
      <c r="L425" s="39"/>
      <c r="M425" s="39"/>
      <c r="N425" s="39"/>
      <c r="O425" s="39"/>
      <c r="P425" s="39"/>
      <c r="Q425" s="39"/>
    </row>
    <row r="426">
      <c r="D426" s="49"/>
      <c r="K426" s="39"/>
      <c r="L426" s="39"/>
      <c r="M426" s="39"/>
      <c r="N426" s="39"/>
      <c r="O426" s="39"/>
      <c r="P426" s="39"/>
      <c r="Q426" s="39"/>
    </row>
    <row r="427">
      <c r="D427" s="49"/>
      <c r="K427" s="39"/>
      <c r="L427" s="39"/>
      <c r="M427" s="39"/>
      <c r="N427" s="39"/>
      <c r="O427" s="39"/>
      <c r="P427" s="39"/>
      <c r="Q427" s="39"/>
    </row>
    <row r="428">
      <c r="D428" s="49"/>
      <c r="K428" s="39"/>
      <c r="L428" s="39"/>
      <c r="M428" s="39"/>
      <c r="N428" s="39"/>
      <c r="O428" s="39"/>
      <c r="P428" s="39"/>
      <c r="Q428" s="39"/>
    </row>
    <row r="429">
      <c r="D429" s="49"/>
      <c r="K429" s="39"/>
      <c r="L429" s="39"/>
      <c r="M429" s="39"/>
      <c r="N429" s="39"/>
      <c r="O429" s="39"/>
      <c r="P429" s="39"/>
      <c r="Q429" s="39"/>
    </row>
    <row r="430">
      <c r="D430" s="49"/>
      <c r="K430" s="39"/>
      <c r="L430" s="39"/>
      <c r="M430" s="39"/>
      <c r="N430" s="39"/>
      <c r="O430" s="39"/>
      <c r="P430" s="39"/>
      <c r="Q430" s="39"/>
    </row>
    <row r="431">
      <c r="D431" s="49"/>
      <c r="K431" s="39"/>
      <c r="L431" s="39"/>
      <c r="M431" s="39"/>
      <c r="N431" s="39"/>
      <c r="O431" s="39"/>
      <c r="P431" s="39"/>
      <c r="Q431" s="39"/>
    </row>
    <row r="432">
      <c r="D432" s="49"/>
      <c r="K432" s="39"/>
      <c r="L432" s="39"/>
      <c r="M432" s="39"/>
      <c r="N432" s="39"/>
      <c r="O432" s="39"/>
      <c r="P432" s="39"/>
      <c r="Q432" s="39"/>
    </row>
    <row r="433">
      <c r="D433" s="49"/>
      <c r="K433" s="39"/>
      <c r="L433" s="39"/>
      <c r="M433" s="39"/>
      <c r="N433" s="39"/>
      <c r="O433" s="39"/>
      <c r="P433" s="39"/>
      <c r="Q433" s="39"/>
    </row>
    <row r="434">
      <c r="D434" s="49"/>
      <c r="K434" s="39"/>
      <c r="L434" s="39"/>
      <c r="M434" s="39"/>
      <c r="N434" s="39"/>
      <c r="O434" s="39"/>
      <c r="P434" s="39"/>
      <c r="Q434" s="39"/>
    </row>
    <row r="435">
      <c r="D435" s="49"/>
      <c r="K435" s="39"/>
      <c r="L435" s="39"/>
      <c r="M435" s="39"/>
      <c r="N435" s="39"/>
      <c r="O435" s="39"/>
      <c r="P435" s="39"/>
      <c r="Q435" s="39"/>
    </row>
    <row r="436">
      <c r="D436" s="49"/>
      <c r="K436" s="39"/>
      <c r="L436" s="39"/>
      <c r="M436" s="39"/>
      <c r="N436" s="39"/>
      <c r="O436" s="39"/>
      <c r="P436" s="39"/>
      <c r="Q436" s="39"/>
    </row>
    <row r="437">
      <c r="D437" s="49"/>
      <c r="K437" s="39"/>
      <c r="L437" s="39"/>
      <c r="M437" s="39"/>
      <c r="N437" s="39"/>
      <c r="O437" s="39"/>
      <c r="P437" s="39"/>
      <c r="Q437" s="39"/>
    </row>
    <row r="438">
      <c r="D438" s="49"/>
      <c r="K438" s="39"/>
      <c r="L438" s="39"/>
      <c r="M438" s="39"/>
      <c r="N438" s="39"/>
      <c r="O438" s="39"/>
      <c r="P438" s="39"/>
      <c r="Q438" s="39"/>
    </row>
    <row r="439">
      <c r="D439" s="49"/>
      <c r="K439" s="39"/>
      <c r="L439" s="39"/>
      <c r="M439" s="39"/>
      <c r="N439" s="39"/>
      <c r="O439" s="39"/>
      <c r="P439" s="39"/>
      <c r="Q439" s="39"/>
    </row>
    <row r="440">
      <c r="D440" s="49"/>
      <c r="K440" s="39"/>
      <c r="L440" s="39"/>
      <c r="M440" s="39"/>
      <c r="N440" s="39"/>
      <c r="O440" s="39"/>
      <c r="P440" s="39"/>
      <c r="Q440" s="39"/>
    </row>
    <row r="441">
      <c r="D441" s="49"/>
      <c r="K441" s="39"/>
      <c r="L441" s="39"/>
      <c r="M441" s="39"/>
      <c r="N441" s="39"/>
      <c r="O441" s="39"/>
      <c r="P441" s="39"/>
      <c r="Q441" s="39"/>
    </row>
    <row r="442">
      <c r="D442" s="49"/>
      <c r="K442" s="39"/>
      <c r="L442" s="39"/>
      <c r="M442" s="39"/>
      <c r="N442" s="39"/>
      <c r="O442" s="39"/>
      <c r="P442" s="39"/>
      <c r="Q442" s="39"/>
    </row>
    <row r="443">
      <c r="D443" s="49"/>
      <c r="K443" s="39"/>
      <c r="L443" s="39"/>
      <c r="M443" s="39"/>
      <c r="N443" s="39"/>
      <c r="O443" s="39"/>
      <c r="P443" s="39"/>
      <c r="Q443" s="39"/>
    </row>
    <row r="444">
      <c r="D444" s="49"/>
      <c r="K444" s="39"/>
      <c r="L444" s="39"/>
      <c r="M444" s="39"/>
      <c r="N444" s="39"/>
      <c r="O444" s="39"/>
      <c r="P444" s="39"/>
      <c r="Q444" s="39"/>
    </row>
    <row r="445">
      <c r="D445" s="49"/>
      <c r="K445" s="39"/>
      <c r="L445" s="39"/>
      <c r="M445" s="39"/>
      <c r="N445" s="39"/>
      <c r="O445" s="39"/>
      <c r="P445" s="39"/>
      <c r="Q445" s="39"/>
    </row>
    <row r="446">
      <c r="D446" s="49"/>
      <c r="K446" s="39"/>
      <c r="L446" s="39"/>
      <c r="M446" s="39"/>
      <c r="N446" s="39"/>
      <c r="O446" s="39"/>
      <c r="P446" s="39"/>
      <c r="Q446" s="39"/>
    </row>
    <row r="447">
      <c r="D447" s="49"/>
      <c r="K447" s="39"/>
      <c r="L447" s="39"/>
      <c r="M447" s="39"/>
      <c r="N447" s="39"/>
      <c r="O447" s="39"/>
      <c r="P447" s="39"/>
      <c r="Q447" s="39"/>
    </row>
    <row r="448">
      <c r="D448" s="49"/>
      <c r="K448" s="39"/>
      <c r="L448" s="39"/>
      <c r="M448" s="39"/>
      <c r="N448" s="39"/>
      <c r="O448" s="39"/>
      <c r="P448" s="39"/>
      <c r="Q448" s="39"/>
    </row>
    <row r="449">
      <c r="D449" s="49"/>
      <c r="K449" s="39"/>
      <c r="L449" s="39"/>
      <c r="M449" s="39"/>
      <c r="N449" s="39"/>
      <c r="O449" s="39"/>
      <c r="P449" s="39"/>
      <c r="Q449" s="39"/>
    </row>
    <row r="450">
      <c r="D450" s="49"/>
      <c r="K450" s="39"/>
      <c r="L450" s="39"/>
      <c r="M450" s="39"/>
      <c r="N450" s="39"/>
      <c r="O450" s="39"/>
      <c r="P450" s="39"/>
      <c r="Q450" s="39"/>
    </row>
    <row r="451">
      <c r="D451" s="49"/>
      <c r="K451" s="39"/>
      <c r="L451" s="39"/>
      <c r="M451" s="39"/>
      <c r="N451" s="39"/>
      <c r="O451" s="39"/>
      <c r="P451" s="39"/>
      <c r="Q451" s="39"/>
    </row>
    <row r="452">
      <c r="D452" s="49"/>
      <c r="K452" s="39"/>
      <c r="L452" s="39"/>
      <c r="M452" s="39"/>
      <c r="N452" s="39"/>
      <c r="O452" s="39"/>
      <c r="P452" s="39"/>
      <c r="Q452" s="39"/>
    </row>
    <row r="453">
      <c r="D453" s="49"/>
      <c r="K453" s="39"/>
      <c r="L453" s="39"/>
      <c r="M453" s="39"/>
      <c r="N453" s="39"/>
      <c r="O453" s="39"/>
      <c r="P453" s="39"/>
      <c r="Q453" s="39"/>
    </row>
    <row r="454">
      <c r="D454" s="49"/>
      <c r="K454" s="39"/>
      <c r="L454" s="39"/>
      <c r="M454" s="39"/>
      <c r="N454" s="39"/>
      <c r="O454" s="39"/>
      <c r="P454" s="39"/>
      <c r="Q454" s="39"/>
    </row>
    <row r="455">
      <c r="D455" s="49"/>
      <c r="K455" s="39"/>
      <c r="L455" s="39"/>
      <c r="M455" s="39"/>
      <c r="N455" s="39"/>
      <c r="O455" s="39"/>
      <c r="P455" s="39"/>
      <c r="Q455" s="39"/>
    </row>
    <row r="456">
      <c r="D456" s="49"/>
      <c r="K456" s="39"/>
      <c r="L456" s="39"/>
      <c r="M456" s="39"/>
      <c r="N456" s="39"/>
      <c r="O456" s="39"/>
      <c r="P456" s="39"/>
      <c r="Q456" s="39"/>
    </row>
    <row r="457">
      <c r="D457" s="49"/>
      <c r="K457" s="39"/>
      <c r="L457" s="39"/>
      <c r="M457" s="39"/>
      <c r="N457" s="39"/>
      <c r="O457" s="39"/>
      <c r="P457" s="39"/>
      <c r="Q457" s="39"/>
    </row>
    <row r="458">
      <c r="D458" s="49"/>
      <c r="K458" s="39"/>
      <c r="L458" s="39"/>
      <c r="M458" s="39"/>
      <c r="N458" s="39"/>
      <c r="O458" s="39"/>
      <c r="P458" s="39"/>
      <c r="Q458" s="39"/>
    </row>
    <row r="459">
      <c r="D459" s="49"/>
      <c r="K459" s="39"/>
      <c r="L459" s="39"/>
      <c r="M459" s="39"/>
      <c r="N459" s="39"/>
      <c r="O459" s="39"/>
      <c r="P459" s="39"/>
      <c r="Q459" s="39"/>
    </row>
    <row r="460">
      <c r="D460" s="49"/>
      <c r="K460" s="39"/>
      <c r="L460" s="39"/>
      <c r="M460" s="39"/>
      <c r="N460" s="39"/>
      <c r="O460" s="39"/>
      <c r="P460" s="39"/>
      <c r="Q460" s="39"/>
    </row>
    <row r="461">
      <c r="D461" s="49"/>
      <c r="K461" s="39"/>
      <c r="L461" s="39"/>
      <c r="M461" s="39"/>
      <c r="N461" s="39"/>
      <c r="O461" s="39"/>
      <c r="P461" s="39"/>
      <c r="Q461" s="39"/>
    </row>
    <row r="462">
      <c r="D462" s="49"/>
      <c r="K462" s="39"/>
      <c r="L462" s="39"/>
      <c r="M462" s="39"/>
      <c r="N462" s="39"/>
      <c r="O462" s="39"/>
      <c r="P462" s="39"/>
      <c r="Q462" s="39"/>
    </row>
    <row r="463">
      <c r="D463" s="49"/>
      <c r="K463" s="39"/>
      <c r="L463" s="39"/>
      <c r="M463" s="39"/>
      <c r="N463" s="39"/>
      <c r="O463" s="39"/>
      <c r="P463" s="39"/>
      <c r="Q463" s="39"/>
    </row>
    <row r="464">
      <c r="D464" s="49"/>
      <c r="K464" s="39"/>
      <c r="L464" s="39"/>
      <c r="M464" s="39"/>
      <c r="N464" s="39"/>
      <c r="O464" s="39"/>
      <c r="P464" s="39"/>
      <c r="Q464" s="39"/>
    </row>
    <row r="465">
      <c r="D465" s="49"/>
      <c r="K465" s="39"/>
      <c r="L465" s="39"/>
      <c r="M465" s="39"/>
      <c r="N465" s="39"/>
      <c r="O465" s="39"/>
      <c r="P465" s="39"/>
      <c r="Q465" s="39"/>
    </row>
    <row r="466">
      <c r="D466" s="49"/>
      <c r="K466" s="39"/>
      <c r="L466" s="39"/>
      <c r="M466" s="39"/>
      <c r="N466" s="39"/>
      <c r="O466" s="39"/>
      <c r="P466" s="39"/>
      <c r="Q466" s="39"/>
    </row>
    <row r="467">
      <c r="D467" s="49"/>
      <c r="K467" s="39"/>
      <c r="L467" s="39"/>
      <c r="M467" s="39"/>
      <c r="N467" s="39"/>
      <c r="O467" s="39"/>
      <c r="P467" s="39"/>
      <c r="Q467" s="39"/>
    </row>
    <row r="468">
      <c r="D468" s="49"/>
      <c r="K468" s="39"/>
      <c r="L468" s="39"/>
      <c r="M468" s="39"/>
      <c r="N468" s="39"/>
      <c r="O468" s="39"/>
      <c r="P468" s="39"/>
      <c r="Q468" s="39"/>
    </row>
    <row r="469">
      <c r="D469" s="49"/>
      <c r="K469" s="39"/>
      <c r="L469" s="39"/>
      <c r="M469" s="39"/>
      <c r="N469" s="39"/>
      <c r="O469" s="39"/>
      <c r="P469" s="39"/>
      <c r="Q469" s="39"/>
    </row>
    <row r="470">
      <c r="D470" s="49"/>
      <c r="K470" s="39"/>
      <c r="L470" s="39"/>
      <c r="M470" s="39"/>
      <c r="N470" s="39"/>
      <c r="O470" s="39"/>
      <c r="P470" s="39"/>
      <c r="Q470" s="39"/>
    </row>
    <row r="471">
      <c r="D471" s="49"/>
      <c r="K471" s="39"/>
      <c r="L471" s="39"/>
      <c r="M471" s="39"/>
      <c r="N471" s="39"/>
      <c r="O471" s="39"/>
      <c r="P471" s="39"/>
      <c r="Q471" s="39"/>
    </row>
    <row r="472">
      <c r="D472" s="49"/>
      <c r="K472" s="39"/>
      <c r="L472" s="39"/>
      <c r="M472" s="39"/>
      <c r="N472" s="39"/>
      <c r="O472" s="39"/>
      <c r="P472" s="39"/>
      <c r="Q472" s="39"/>
    </row>
    <row r="473">
      <c r="D473" s="49"/>
      <c r="K473" s="39"/>
      <c r="L473" s="39"/>
      <c r="M473" s="39"/>
      <c r="N473" s="39"/>
      <c r="O473" s="39"/>
      <c r="P473" s="39"/>
      <c r="Q473" s="39"/>
    </row>
    <row r="474">
      <c r="D474" s="49"/>
      <c r="K474" s="39"/>
      <c r="L474" s="39"/>
      <c r="M474" s="39"/>
      <c r="N474" s="39"/>
      <c r="O474" s="39"/>
      <c r="P474" s="39"/>
      <c r="Q474" s="39"/>
    </row>
    <row r="475">
      <c r="D475" s="49"/>
      <c r="K475" s="39"/>
      <c r="L475" s="39"/>
      <c r="M475" s="39"/>
      <c r="N475" s="39"/>
      <c r="O475" s="39"/>
      <c r="P475" s="39"/>
      <c r="Q475" s="39"/>
    </row>
    <row r="476">
      <c r="D476" s="49"/>
      <c r="K476" s="39"/>
      <c r="L476" s="39"/>
      <c r="M476" s="39"/>
      <c r="N476" s="39"/>
      <c r="O476" s="39"/>
      <c r="P476" s="39"/>
      <c r="Q476" s="39"/>
    </row>
    <row r="477">
      <c r="D477" s="49"/>
      <c r="K477" s="39"/>
      <c r="L477" s="39"/>
      <c r="M477" s="39"/>
      <c r="N477" s="39"/>
      <c r="O477" s="39"/>
      <c r="P477" s="39"/>
      <c r="Q477" s="39"/>
    </row>
    <row r="478">
      <c r="D478" s="49"/>
      <c r="K478" s="39"/>
      <c r="L478" s="39"/>
      <c r="M478" s="39"/>
      <c r="N478" s="39"/>
      <c r="O478" s="39"/>
      <c r="P478" s="39"/>
      <c r="Q478" s="39"/>
    </row>
    <row r="479">
      <c r="D479" s="49"/>
      <c r="K479" s="39"/>
      <c r="L479" s="39"/>
      <c r="M479" s="39"/>
      <c r="N479" s="39"/>
      <c r="O479" s="39"/>
      <c r="P479" s="39"/>
      <c r="Q479" s="39"/>
    </row>
    <row r="480">
      <c r="D480" s="49"/>
      <c r="K480" s="39"/>
      <c r="L480" s="39"/>
      <c r="M480" s="39"/>
      <c r="N480" s="39"/>
      <c r="O480" s="39"/>
      <c r="P480" s="39"/>
      <c r="Q480" s="39"/>
    </row>
    <row r="481">
      <c r="D481" s="49"/>
      <c r="K481" s="39"/>
      <c r="L481" s="39"/>
      <c r="M481" s="39"/>
      <c r="N481" s="39"/>
      <c r="O481" s="39"/>
      <c r="P481" s="39"/>
      <c r="Q481" s="39"/>
    </row>
    <row r="482">
      <c r="D482" s="49"/>
      <c r="K482" s="39"/>
      <c r="L482" s="39"/>
      <c r="M482" s="39"/>
      <c r="N482" s="39"/>
      <c r="O482" s="39"/>
      <c r="P482" s="39"/>
      <c r="Q482" s="39"/>
    </row>
    <row r="483">
      <c r="D483" s="49"/>
      <c r="K483" s="39"/>
      <c r="L483" s="39"/>
      <c r="M483" s="39"/>
      <c r="N483" s="39"/>
      <c r="O483" s="39"/>
      <c r="P483" s="39"/>
      <c r="Q483" s="39"/>
    </row>
    <row r="484">
      <c r="D484" s="49"/>
      <c r="K484" s="39"/>
      <c r="L484" s="39"/>
      <c r="M484" s="39"/>
      <c r="N484" s="39"/>
      <c r="O484" s="39"/>
      <c r="P484" s="39"/>
      <c r="Q484" s="39"/>
    </row>
    <row r="485">
      <c r="D485" s="49"/>
      <c r="K485" s="39"/>
      <c r="L485" s="39"/>
      <c r="M485" s="39"/>
      <c r="N485" s="39"/>
      <c r="O485" s="39"/>
      <c r="P485" s="39"/>
      <c r="Q485" s="39"/>
    </row>
    <row r="486">
      <c r="D486" s="49"/>
      <c r="K486" s="39"/>
      <c r="L486" s="39"/>
      <c r="M486" s="39"/>
      <c r="N486" s="39"/>
      <c r="O486" s="39"/>
      <c r="P486" s="39"/>
      <c r="Q486" s="39"/>
    </row>
    <row r="487">
      <c r="D487" s="49"/>
      <c r="K487" s="39"/>
      <c r="L487" s="39"/>
      <c r="M487" s="39"/>
      <c r="N487" s="39"/>
      <c r="O487" s="39"/>
      <c r="P487" s="39"/>
      <c r="Q487" s="39"/>
    </row>
    <row r="488">
      <c r="D488" s="49"/>
      <c r="K488" s="39"/>
      <c r="L488" s="39"/>
      <c r="M488" s="39"/>
      <c r="N488" s="39"/>
      <c r="O488" s="39"/>
      <c r="P488" s="39"/>
      <c r="Q488" s="39"/>
    </row>
    <row r="489">
      <c r="D489" s="49"/>
      <c r="K489" s="39"/>
      <c r="L489" s="39"/>
      <c r="M489" s="39"/>
      <c r="N489" s="39"/>
      <c r="O489" s="39"/>
      <c r="P489" s="39"/>
      <c r="Q489" s="39"/>
    </row>
    <row r="490">
      <c r="D490" s="49"/>
      <c r="K490" s="39"/>
      <c r="L490" s="39"/>
      <c r="M490" s="39"/>
      <c r="N490" s="39"/>
      <c r="O490" s="39"/>
      <c r="P490" s="39"/>
      <c r="Q490" s="39"/>
    </row>
    <row r="491">
      <c r="D491" s="49"/>
      <c r="K491" s="39"/>
      <c r="L491" s="39"/>
      <c r="M491" s="39"/>
      <c r="N491" s="39"/>
      <c r="O491" s="39"/>
      <c r="P491" s="39"/>
      <c r="Q491" s="39"/>
    </row>
    <row r="492">
      <c r="D492" s="49"/>
      <c r="K492" s="39"/>
      <c r="L492" s="39"/>
      <c r="M492" s="39"/>
      <c r="N492" s="39"/>
      <c r="O492" s="39"/>
      <c r="P492" s="39"/>
      <c r="Q492" s="39"/>
    </row>
    <row r="493">
      <c r="D493" s="49"/>
      <c r="K493" s="39"/>
      <c r="L493" s="39"/>
      <c r="M493" s="39"/>
      <c r="N493" s="39"/>
      <c r="O493" s="39"/>
      <c r="P493" s="39"/>
      <c r="Q493" s="39"/>
    </row>
    <row r="494">
      <c r="D494" s="49"/>
      <c r="K494" s="39"/>
      <c r="L494" s="39"/>
      <c r="M494" s="39"/>
      <c r="N494" s="39"/>
      <c r="O494" s="39"/>
      <c r="P494" s="39"/>
      <c r="Q494" s="39"/>
    </row>
    <row r="495">
      <c r="D495" s="49"/>
      <c r="K495" s="39"/>
      <c r="L495" s="39"/>
      <c r="M495" s="39"/>
      <c r="N495" s="39"/>
      <c r="O495" s="39"/>
      <c r="P495" s="39"/>
      <c r="Q495" s="39"/>
    </row>
    <row r="496">
      <c r="D496" s="49"/>
      <c r="K496" s="39"/>
      <c r="L496" s="39"/>
      <c r="M496" s="39"/>
      <c r="N496" s="39"/>
      <c r="O496" s="39"/>
      <c r="P496" s="39"/>
      <c r="Q496" s="39"/>
    </row>
    <row r="497">
      <c r="D497" s="49"/>
      <c r="K497" s="39"/>
      <c r="L497" s="39"/>
      <c r="M497" s="39"/>
      <c r="N497" s="39"/>
      <c r="O497" s="39"/>
      <c r="P497" s="39"/>
      <c r="Q497" s="39"/>
    </row>
    <row r="498">
      <c r="D498" s="49"/>
      <c r="K498" s="39"/>
      <c r="L498" s="39"/>
      <c r="M498" s="39"/>
      <c r="N498" s="39"/>
      <c r="O498" s="39"/>
      <c r="P498" s="39"/>
      <c r="Q498" s="39"/>
    </row>
    <row r="499">
      <c r="D499" s="49"/>
      <c r="K499" s="39"/>
      <c r="L499" s="39"/>
      <c r="M499" s="39"/>
      <c r="N499" s="39"/>
      <c r="O499" s="39"/>
      <c r="P499" s="39"/>
      <c r="Q499" s="39"/>
    </row>
    <row r="500">
      <c r="D500" s="49"/>
      <c r="K500" s="39"/>
      <c r="L500" s="39"/>
      <c r="M500" s="39"/>
      <c r="N500" s="39"/>
      <c r="O500" s="39"/>
      <c r="P500" s="39"/>
      <c r="Q500" s="39"/>
    </row>
    <row r="501">
      <c r="D501" s="49"/>
      <c r="K501" s="39"/>
      <c r="L501" s="39"/>
      <c r="M501" s="39"/>
      <c r="N501" s="39"/>
      <c r="O501" s="39"/>
      <c r="P501" s="39"/>
      <c r="Q501" s="39"/>
    </row>
    <row r="502">
      <c r="D502" s="49"/>
      <c r="K502" s="39"/>
      <c r="L502" s="39"/>
      <c r="M502" s="39"/>
      <c r="N502" s="39"/>
      <c r="O502" s="39"/>
      <c r="P502" s="39"/>
      <c r="Q502" s="39"/>
    </row>
    <row r="503">
      <c r="D503" s="49"/>
      <c r="K503" s="39"/>
      <c r="L503" s="39"/>
      <c r="M503" s="39"/>
      <c r="N503" s="39"/>
      <c r="O503" s="39"/>
      <c r="P503" s="39"/>
      <c r="Q503" s="39"/>
    </row>
    <row r="504">
      <c r="D504" s="49"/>
      <c r="K504" s="39"/>
      <c r="L504" s="39"/>
      <c r="M504" s="39"/>
      <c r="N504" s="39"/>
      <c r="O504" s="39"/>
      <c r="P504" s="39"/>
      <c r="Q504" s="39"/>
    </row>
    <row r="505">
      <c r="D505" s="49"/>
      <c r="K505" s="39"/>
      <c r="L505" s="39"/>
      <c r="M505" s="39"/>
      <c r="N505" s="39"/>
      <c r="O505" s="39"/>
      <c r="P505" s="39"/>
      <c r="Q505" s="39"/>
    </row>
    <row r="506">
      <c r="D506" s="49"/>
      <c r="K506" s="39"/>
      <c r="L506" s="39"/>
      <c r="M506" s="39"/>
      <c r="N506" s="39"/>
      <c r="O506" s="39"/>
      <c r="P506" s="39"/>
      <c r="Q506" s="39"/>
    </row>
    <row r="507">
      <c r="D507" s="49"/>
      <c r="K507" s="39"/>
      <c r="L507" s="39"/>
      <c r="M507" s="39"/>
      <c r="N507" s="39"/>
      <c r="O507" s="39"/>
      <c r="P507" s="39"/>
      <c r="Q507" s="39"/>
    </row>
    <row r="508">
      <c r="D508" s="49"/>
      <c r="K508" s="39"/>
      <c r="L508" s="39"/>
      <c r="M508" s="39"/>
      <c r="N508" s="39"/>
      <c r="O508" s="39"/>
      <c r="P508" s="39"/>
      <c r="Q508" s="39"/>
    </row>
    <row r="509">
      <c r="D509" s="49"/>
      <c r="K509" s="39"/>
      <c r="L509" s="39"/>
      <c r="M509" s="39"/>
      <c r="N509" s="39"/>
      <c r="O509" s="39"/>
      <c r="P509" s="39"/>
      <c r="Q509" s="39"/>
    </row>
    <row r="510">
      <c r="D510" s="49"/>
      <c r="K510" s="39"/>
      <c r="L510" s="39"/>
      <c r="M510" s="39"/>
      <c r="N510" s="39"/>
      <c r="O510" s="39"/>
      <c r="P510" s="39"/>
      <c r="Q510" s="39"/>
    </row>
    <row r="511">
      <c r="D511" s="49"/>
      <c r="K511" s="39"/>
      <c r="L511" s="39"/>
      <c r="M511" s="39"/>
      <c r="N511" s="39"/>
      <c r="O511" s="39"/>
      <c r="P511" s="39"/>
      <c r="Q511" s="39"/>
    </row>
    <row r="512">
      <c r="D512" s="49"/>
      <c r="K512" s="39"/>
      <c r="L512" s="39"/>
      <c r="M512" s="39"/>
      <c r="N512" s="39"/>
      <c r="O512" s="39"/>
      <c r="P512" s="39"/>
      <c r="Q512" s="39"/>
    </row>
    <row r="513">
      <c r="D513" s="49"/>
      <c r="K513" s="39"/>
      <c r="L513" s="39"/>
      <c r="M513" s="39"/>
      <c r="N513" s="39"/>
      <c r="O513" s="39"/>
      <c r="P513" s="39"/>
      <c r="Q513" s="39"/>
    </row>
    <row r="514">
      <c r="D514" s="49"/>
      <c r="K514" s="39"/>
      <c r="L514" s="39"/>
      <c r="M514" s="39"/>
      <c r="N514" s="39"/>
      <c r="O514" s="39"/>
      <c r="P514" s="39"/>
      <c r="Q514" s="39"/>
    </row>
    <row r="515">
      <c r="D515" s="49"/>
      <c r="K515" s="39"/>
      <c r="L515" s="39"/>
      <c r="M515" s="39"/>
      <c r="N515" s="39"/>
      <c r="O515" s="39"/>
      <c r="P515" s="39"/>
      <c r="Q515" s="39"/>
    </row>
    <row r="516">
      <c r="D516" s="49"/>
      <c r="K516" s="39"/>
      <c r="L516" s="39"/>
      <c r="M516" s="39"/>
      <c r="N516" s="39"/>
      <c r="O516" s="39"/>
      <c r="P516" s="39"/>
      <c r="Q516" s="39"/>
    </row>
    <row r="517">
      <c r="D517" s="49"/>
      <c r="K517" s="39"/>
      <c r="L517" s="39"/>
      <c r="M517" s="39"/>
      <c r="N517" s="39"/>
      <c r="O517" s="39"/>
      <c r="P517" s="39"/>
      <c r="Q517" s="39"/>
    </row>
    <row r="518">
      <c r="D518" s="49"/>
      <c r="K518" s="39"/>
      <c r="L518" s="39"/>
      <c r="M518" s="39"/>
      <c r="N518" s="39"/>
      <c r="O518" s="39"/>
      <c r="P518" s="39"/>
      <c r="Q518" s="39"/>
    </row>
    <row r="519">
      <c r="D519" s="49"/>
      <c r="K519" s="39"/>
      <c r="L519" s="39"/>
      <c r="M519" s="39"/>
      <c r="N519" s="39"/>
      <c r="O519" s="39"/>
      <c r="P519" s="39"/>
      <c r="Q519" s="39"/>
    </row>
    <row r="520">
      <c r="D520" s="49"/>
      <c r="K520" s="39"/>
      <c r="L520" s="39"/>
      <c r="M520" s="39"/>
      <c r="N520" s="39"/>
      <c r="O520" s="39"/>
      <c r="P520" s="39"/>
      <c r="Q520" s="39"/>
    </row>
    <row r="521">
      <c r="D521" s="49"/>
      <c r="K521" s="39"/>
      <c r="L521" s="39"/>
      <c r="M521" s="39"/>
      <c r="N521" s="39"/>
      <c r="O521" s="39"/>
      <c r="P521" s="39"/>
      <c r="Q521" s="39"/>
    </row>
    <row r="522">
      <c r="D522" s="49"/>
      <c r="K522" s="39"/>
      <c r="L522" s="39"/>
      <c r="M522" s="39"/>
      <c r="N522" s="39"/>
      <c r="O522" s="39"/>
      <c r="P522" s="39"/>
      <c r="Q522" s="39"/>
    </row>
    <row r="523">
      <c r="D523" s="49"/>
      <c r="K523" s="39"/>
      <c r="L523" s="39"/>
      <c r="M523" s="39"/>
      <c r="N523" s="39"/>
      <c r="O523" s="39"/>
      <c r="P523" s="39"/>
      <c r="Q523" s="39"/>
    </row>
    <row r="524">
      <c r="D524" s="49"/>
      <c r="K524" s="39"/>
      <c r="L524" s="39"/>
      <c r="M524" s="39"/>
      <c r="N524" s="39"/>
      <c r="O524" s="39"/>
      <c r="P524" s="39"/>
      <c r="Q524" s="39"/>
    </row>
    <row r="525">
      <c r="D525" s="49"/>
      <c r="K525" s="39"/>
      <c r="L525" s="39"/>
      <c r="M525" s="39"/>
      <c r="N525" s="39"/>
      <c r="O525" s="39"/>
      <c r="P525" s="39"/>
      <c r="Q525" s="39"/>
    </row>
    <row r="526">
      <c r="D526" s="49"/>
      <c r="K526" s="39"/>
      <c r="L526" s="39"/>
      <c r="M526" s="39"/>
      <c r="N526" s="39"/>
      <c r="O526" s="39"/>
      <c r="P526" s="39"/>
      <c r="Q526" s="39"/>
    </row>
    <row r="527">
      <c r="D527" s="49"/>
      <c r="K527" s="39"/>
      <c r="L527" s="39"/>
      <c r="M527" s="39"/>
      <c r="N527" s="39"/>
      <c r="O527" s="39"/>
      <c r="P527" s="39"/>
      <c r="Q527" s="39"/>
    </row>
    <row r="528">
      <c r="D528" s="49"/>
      <c r="K528" s="39"/>
      <c r="L528" s="39"/>
      <c r="M528" s="39"/>
      <c r="N528" s="39"/>
      <c r="O528" s="39"/>
      <c r="P528" s="39"/>
      <c r="Q528" s="39"/>
    </row>
    <row r="529">
      <c r="D529" s="49"/>
      <c r="K529" s="39"/>
      <c r="L529" s="39"/>
      <c r="M529" s="39"/>
      <c r="N529" s="39"/>
      <c r="O529" s="39"/>
      <c r="P529" s="39"/>
      <c r="Q529" s="39"/>
    </row>
    <row r="530">
      <c r="D530" s="49"/>
      <c r="K530" s="39"/>
      <c r="L530" s="39"/>
      <c r="M530" s="39"/>
      <c r="N530" s="39"/>
      <c r="O530" s="39"/>
      <c r="P530" s="39"/>
      <c r="Q530" s="39"/>
    </row>
    <row r="531">
      <c r="D531" s="49"/>
      <c r="K531" s="39"/>
      <c r="L531" s="39"/>
      <c r="M531" s="39"/>
      <c r="N531" s="39"/>
      <c r="O531" s="39"/>
      <c r="P531" s="39"/>
      <c r="Q531" s="39"/>
    </row>
    <row r="532">
      <c r="D532" s="49"/>
      <c r="K532" s="39"/>
      <c r="L532" s="39"/>
      <c r="M532" s="39"/>
      <c r="N532" s="39"/>
      <c r="O532" s="39"/>
      <c r="P532" s="39"/>
      <c r="Q532" s="39"/>
    </row>
    <row r="533">
      <c r="D533" s="49"/>
      <c r="K533" s="39"/>
      <c r="L533" s="39"/>
      <c r="M533" s="39"/>
      <c r="N533" s="39"/>
      <c r="O533" s="39"/>
      <c r="P533" s="39"/>
      <c r="Q533" s="39"/>
    </row>
    <row r="534">
      <c r="D534" s="49"/>
      <c r="K534" s="39"/>
      <c r="L534" s="39"/>
      <c r="M534" s="39"/>
      <c r="N534" s="39"/>
      <c r="O534" s="39"/>
      <c r="P534" s="39"/>
      <c r="Q534" s="39"/>
    </row>
    <row r="535">
      <c r="D535" s="49"/>
      <c r="K535" s="39"/>
      <c r="L535" s="39"/>
      <c r="M535" s="39"/>
      <c r="N535" s="39"/>
      <c r="O535" s="39"/>
      <c r="P535" s="39"/>
      <c r="Q535" s="39"/>
    </row>
    <row r="536">
      <c r="D536" s="49"/>
      <c r="K536" s="39"/>
      <c r="L536" s="39"/>
      <c r="M536" s="39"/>
      <c r="N536" s="39"/>
      <c r="O536" s="39"/>
      <c r="P536" s="39"/>
      <c r="Q536" s="39"/>
    </row>
    <row r="537">
      <c r="D537" s="49"/>
      <c r="K537" s="39"/>
      <c r="L537" s="39"/>
      <c r="M537" s="39"/>
      <c r="N537" s="39"/>
      <c r="O537" s="39"/>
      <c r="P537" s="39"/>
      <c r="Q537" s="39"/>
    </row>
    <row r="538">
      <c r="D538" s="49"/>
      <c r="K538" s="39"/>
      <c r="L538" s="39"/>
      <c r="M538" s="39"/>
      <c r="N538" s="39"/>
      <c r="O538" s="39"/>
      <c r="P538" s="39"/>
      <c r="Q538" s="39"/>
    </row>
    <row r="539">
      <c r="D539" s="49"/>
      <c r="K539" s="39"/>
      <c r="L539" s="39"/>
      <c r="M539" s="39"/>
      <c r="N539" s="39"/>
      <c r="O539" s="39"/>
      <c r="P539" s="39"/>
      <c r="Q539" s="39"/>
    </row>
    <row r="540">
      <c r="D540" s="49"/>
      <c r="K540" s="39"/>
      <c r="L540" s="39"/>
      <c r="M540" s="39"/>
      <c r="N540" s="39"/>
      <c r="O540" s="39"/>
      <c r="P540" s="39"/>
      <c r="Q540" s="39"/>
    </row>
    <row r="541">
      <c r="D541" s="49"/>
      <c r="K541" s="39"/>
      <c r="L541" s="39"/>
      <c r="M541" s="39"/>
      <c r="N541" s="39"/>
      <c r="O541" s="39"/>
      <c r="P541" s="39"/>
      <c r="Q541" s="39"/>
    </row>
    <row r="542">
      <c r="D542" s="49"/>
      <c r="K542" s="39"/>
      <c r="L542" s="39"/>
      <c r="M542" s="39"/>
      <c r="N542" s="39"/>
      <c r="O542" s="39"/>
      <c r="P542" s="39"/>
      <c r="Q542" s="39"/>
    </row>
    <row r="543">
      <c r="D543" s="49"/>
      <c r="K543" s="39"/>
      <c r="L543" s="39"/>
      <c r="M543" s="39"/>
      <c r="N543" s="39"/>
      <c r="O543" s="39"/>
      <c r="P543" s="39"/>
      <c r="Q543" s="39"/>
    </row>
    <row r="544">
      <c r="D544" s="49"/>
      <c r="K544" s="39"/>
      <c r="L544" s="39"/>
      <c r="M544" s="39"/>
      <c r="N544" s="39"/>
      <c r="O544" s="39"/>
      <c r="P544" s="39"/>
      <c r="Q544" s="39"/>
    </row>
    <row r="545">
      <c r="D545" s="49"/>
      <c r="K545" s="39"/>
      <c r="L545" s="39"/>
      <c r="M545" s="39"/>
      <c r="N545" s="39"/>
      <c r="O545" s="39"/>
      <c r="P545" s="39"/>
      <c r="Q545" s="39"/>
    </row>
    <row r="546">
      <c r="D546" s="49"/>
      <c r="K546" s="39"/>
      <c r="L546" s="39"/>
      <c r="M546" s="39"/>
      <c r="N546" s="39"/>
      <c r="O546" s="39"/>
      <c r="P546" s="39"/>
      <c r="Q546" s="39"/>
    </row>
    <row r="547">
      <c r="D547" s="49"/>
      <c r="K547" s="39"/>
      <c r="L547" s="39"/>
      <c r="M547" s="39"/>
      <c r="N547" s="39"/>
      <c r="O547" s="39"/>
      <c r="P547" s="39"/>
      <c r="Q547" s="39"/>
    </row>
    <row r="548">
      <c r="D548" s="49"/>
      <c r="K548" s="39"/>
      <c r="L548" s="39"/>
      <c r="M548" s="39"/>
      <c r="N548" s="39"/>
      <c r="O548" s="39"/>
      <c r="P548" s="39"/>
      <c r="Q548" s="39"/>
    </row>
    <row r="549">
      <c r="D549" s="49"/>
      <c r="K549" s="39"/>
      <c r="L549" s="39"/>
      <c r="M549" s="39"/>
      <c r="N549" s="39"/>
      <c r="O549" s="39"/>
      <c r="P549" s="39"/>
      <c r="Q549" s="39"/>
    </row>
    <row r="550">
      <c r="D550" s="49"/>
      <c r="K550" s="39"/>
      <c r="L550" s="39"/>
      <c r="M550" s="39"/>
      <c r="N550" s="39"/>
      <c r="O550" s="39"/>
      <c r="P550" s="39"/>
      <c r="Q550" s="39"/>
    </row>
    <row r="551">
      <c r="D551" s="49"/>
      <c r="K551" s="39"/>
      <c r="L551" s="39"/>
      <c r="M551" s="39"/>
      <c r="N551" s="39"/>
      <c r="O551" s="39"/>
      <c r="P551" s="39"/>
      <c r="Q551" s="39"/>
    </row>
    <row r="552">
      <c r="D552" s="49"/>
      <c r="K552" s="39"/>
      <c r="L552" s="39"/>
      <c r="M552" s="39"/>
      <c r="N552" s="39"/>
      <c r="O552" s="39"/>
      <c r="P552" s="39"/>
      <c r="Q552" s="39"/>
    </row>
    <row r="553">
      <c r="D553" s="49"/>
      <c r="K553" s="39"/>
      <c r="L553" s="39"/>
      <c r="M553" s="39"/>
      <c r="N553" s="39"/>
      <c r="O553" s="39"/>
      <c r="P553" s="39"/>
      <c r="Q553" s="39"/>
    </row>
    <row r="554">
      <c r="D554" s="49"/>
      <c r="K554" s="39"/>
      <c r="L554" s="39"/>
      <c r="M554" s="39"/>
      <c r="N554" s="39"/>
      <c r="O554" s="39"/>
      <c r="P554" s="39"/>
      <c r="Q554" s="39"/>
    </row>
    <row r="555">
      <c r="D555" s="49"/>
      <c r="K555" s="39"/>
      <c r="L555" s="39"/>
      <c r="M555" s="39"/>
      <c r="N555" s="39"/>
      <c r="O555" s="39"/>
      <c r="P555" s="39"/>
      <c r="Q555" s="39"/>
    </row>
    <row r="556">
      <c r="D556" s="49"/>
      <c r="K556" s="39"/>
      <c r="L556" s="39"/>
      <c r="M556" s="39"/>
      <c r="N556" s="39"/>
      <c r="O556" s="39"/>
      <c r="P556" s="39"/>
      <c r="Q556" s="39"/>
    </row>
    <row r="557">
      <c r="D557" s="49"/>
      <c r="K557" s="39"/>
      <c r="L557" s="39"/>
      <c r="M557" s="39"/>
      <c r="N557" s="39"/>
      <c r="O557" s="39"/>
      <c r="P557" s="39"/>
      <c r="Q557" s="39"/>
    </row>
    <row r="558">
      <c r="D558" s="49"/>
      <c r="K558" s="39"/>
      <c r="L558" s="39"/>
      <c r="M558" s="39"/>
      <c r="N558" s="39"/>
      <c r="O558" s="39"/>
      <c r="P558" s="39"/>
      <c r="Q558" s="39"/>
    </row>
    <row r="559">
      <c r="D559" s="49"/>
      <c r="K559" s="39"/>
      <c r="L559" s="39"/>
      <c r="M559" s="39"/>
      <c r="N559" s="39"/>
      <c r="O559" s="39"/>
      <c r="P559" s="39"/>
      <c r="Q559" s="39"/>
    </row>
    <row r="560">
      <c r="D560" s="49"/>
      <c r="K560" s="39"/>
      <c r="L560" s="39"/>
      <c r="M560" s="39"/>
      <c r="N560" s="39"/>
      <c r="O560" s="39"/>
      <c r="P560" s="39"/>
      <c r="Q560" s="39"/>
    </row>
    <row r="561">
      <c r="D561" s="49"/>
      <c r="K561" s="39"/>
      <c r="L561" s="39"/>
      <c r="M561" s="39"/>
      <c r="N561" s="39"/>
      <c r="O561" s="39"/>
      <c r="P561" s="39"/>
      <c r="Q561" s="39"/>
    </row>
    <row r="562">
      <c r="D562" s="49"/>
      <c r="K562" s="39"/>
      <c r="L562" s="39"/>
      <c r="M562" s="39"/>
      <c r="N562" s="39"/>
      <c r="O562" s="39"/>
      <c r="P562" s="39"/>
      <c r="Q562" s="39"/>
    </row>
    <row r="563">
      <c r="D563" s="49"/>
      <c r="K563" s="39"/>
      <c r="L563" s="39"/>
      <c r="M563" s="39"/>
      <c r="N563" s="39"/>
      <c r="O563" s="39"/>
      <c r="P563" s="39"/>
      <c r="Q563" s="39"/>
    </row>
    <row r="564">
      <c r="D564" s="49"/>
      <c r="K564" s="39"/>
      <c r="L564" s="39"/>
      <c r="M564" s="39"/>
      <c r="N564" s="39"/>
      <c r="O564" s="39"/>
      <c r="P564" s="39"/>
      <c r="Q564" s="39"/>
    </row>
    <row r="565">
      <c r="D565" s="49"/>
      <c r="K565" s="39"/>
      <c r="L565" s="39"/>
      <c r="M565" s="39"/>
      <c r="N565" s="39"/>
      <c r="O565" s="39"/>
      <c r="P565" s="39"/>
      <c r="Q565" s="39"/>
    </row>
    <row r="566">
      <c r="D566" s="49"/>
      <c r="K566" s="39"/>
      <c r="L566" s="39"/>
      <c r="M566" s="39"/>
      <c r="N566" s="39"/>
      <c r="O566" s="39"/>
      <c r="P566" s="39"/>
      <c r="Q566" s="39"/>
    </row>
    <row r="567">
      <c r="D567" s="49"/>
      <c r="K567" s="39"/>
      <c r="L567" s="39"/>
      <c r="M567" s="39"/>
      <c r="N567" s="39"/>
      <c r="O567" s="39"/>
      <c r="P567" s="39"/>
      <c r="Q567" s="39"/>
    </row>
    <row r="568">
      <c r="D568" s="49"/>
      <c r="K568" s="39"/>
      <c r="L568" s="39"/>
      <c r="M568" s="39"/>
      <c r="N568" s="39"/>
      <c r="O568" s="39"/>
      <c r="P568" s="39"/>
      <c r="Q568" s="39"/>
    </row>
    <row r="569">
      <c r="D569" s="49"/>
      <c r="K569" s="39"/>
      <c r="L569" s="39"/>
      <c r="M569" s="39"/>
      <c r="N569" s="39"/>
      <c r="O569" s="39"/>
      <c r="P569" s="39"/>
      <c r="Q569" s="39"/>
    </row>
    <row r="570">
      <c r="D570" s="49"/>
      <c r="K570" s="39"/>
      <c r="L570" s="39"/>
      <c r="M570" s="39"/>
      <c r="N570" s="39"/>
      <c r="O570" s="39"/>
      <c r="P570" s="39"/>
      <c r="Q570" s="39"/>
    </row>
    <row r="571">
      <c r="D571" s="49"/>
      <c r="K571" s="39"/>
      <c r="L571" s="39"/>
      <c r="M571" s="39"/>
      <c r="N571" s="39"/>
      <c r="O571" s="39"/>
      <c r="P571" s="39"/>
      <c r="Q571" s="39"/>
    </row>
    <row r="572">
      <c r="D572" s="49"/>
      <c r="K572" s="39"/>
      <c r="L572" s="39"/>
      <c r="M572" s="39"/>
      <c r="N572" s="39"/>
      <c r="O572" s="39"/>
      <c r="P572" s="39"/>
      <c r="Q572" s="39"/>
    </row>
    <row r="573">
      <c r="D573" s="49"/>
      <c r="K573" s="39"/>
      <c r="L573" s="39"/>
      <c r="M573" s="39"/>
      <c r="N573" s="39"/>
      <c r="O573" s="39"/>
      <c r="P573" s="39"/>
      <c r="Q573" s="39"/>
    </row>
    <row r="574">
      <c r="D574" s="49"/>
      <c r="K574" s="39"/>
      <c r="L574" s="39"/>
      <c r="M574" s="39"/>
      <c r="N574" s="39"/>
      <c r="O574" s="39"/>
      <c r="P574" s="39"/>
      <c r="Q574" s="39"/>
    </row>
    <row r="575">
      <c r="D575" s="49"/>
      <c r="K575" s="39"/>
      <c r="L575" s="39"/>
      <c r="M575" s="39"/>
      <c r="N575" s="39"/>
      <c r="O575" s="39"/>
      <c r="P575" s="39"/>
      <c r="Q575" s="39"/>
    </row>
    <row r="576">
      <c r="D576" s="49"/>
      <c r="K576" s="39"/>
      <c r="L576" s="39"/>
      <c r="M576" s="39"/>
      <c r="N576" s="39"/>
      <c r="O576" s="39"/>
      <c r="P576" s="39"/>
      <c r="Q576" s="39"/>
    </row>
    <row r="577">
      <c r="D577" s="49"/>
      <c r="K577" s="39"/>
      <c r="L577" s="39"/>
      <c r="M577" s="39"/>
      <c r="N577" s="39"/>
      <c r="O577" s="39"/>
      <c r="P577" s="39"/>
      <c r="Q577" s="39"/>
    </row>
    <row r="578">
      <c r="D578" s="49"/>
      <c r="K578" s="39"/>
      <c r="L578" s="39"/>
      <c r="M578" s="39"/>
      <c r="N578" s="39"/>
      <c r="O578" s="39"/>
      <c r="P578" s="39"/>
      <c r="Q578" s="39"/>
    </row>
    <row r="579">
      <c r="D579" s="49"/>
      <c r="K579" s="39"/>
      <c r="L579" s="39"/>
      <c r="M579" s="39"/>
      <c r="N579" s="39"/>
      <c r="O579" s="39"/>
      <c r="P579" s="39"/>
      <c r="Q579" s="39"/>
    </row>
    <row r="580">
      <c r="D580" s="49"/>
      <c r="K580" s="39"/>
      <c r="L580" s="39"/>
      <c r="M580" s="39"/>
      <c r="N580" s="39"/>
      <c r="O580" s="39"/>
      <c r="P580" s="39"/>
      <c r="Q580" s="39"/>
    </row>
    <row r="581">
      <c r="D581" s="49"/>
      <c r="K581" s="39"/>
      <c r="L581" s="39"/>
      <c r="M581" s="39"/>
      <c r="N581" s="39"/>
      <c r="O581" s="39"/>
      <c r="P581" s="39"/>
      <c r="Q581" s="39"/>
    </row>
    <row r="582">
      <c r="D582" s="49"/>
      <c r="K582" s="39"/>
      <c r="L582" s="39"/>
      <c r="M582" s="39"/>
      <c r="N582" s="39"/>
      <c r="O582" s="39"/>
      <c r="P582" s="39"/>
      <c r="Q582" s="39"/>
    </row>
    <row r="583">
      <c r="D583" s="49"/>
      <c r="K583" s="39"/>
      <c r="L583" s="39"/>
      <c r="M583" s="39"/>
      <c r="N583" s="39"/>
      <c r="O583" s="39"/>
      <c r="P583" s="39"/>
      <c r="Q583" s="39"/>
    </row>
    <row r="584">
      <c r="D584" s="49"/>
      <c r="K584" s="39"/>
      <c r="L584" s="39"/>
      <c r="M584" s="39"/>
      <c r="N584" s="39"/>
      <c r="O584" s="39"/>
      <c r="P584" s="39"/>
      <c r="Q584" s="39"/>
    </row>
    <row r="585">
      <c r="D585" s="49"/>
      <c r="K585" s="39"/>
      <c r="L585" s="39"/>
      <c r="M585" s="39"/>
      <c r="N585" s="39"/>
      <c r="O585" s="39"/>
      <c r="P585" s="39"/>
      <c r="Q585" s="39"/>
    </row>
    <row r="586">
      <c r="D586" s="49"/>
      <c r="K586" s="39"/>
      <c r="L586" s="39"/>
      <c r="M586" s="39"/>
      <c r="N586" s="39"/>
      <c r="O586" s="39"/>
      <c r="P586" s="39"/>
      <c r="Q586" s="39"/>
    </row>
    <row r="587">
      <c r="D587" s="49"/>
      <c r="K587" s="39"/>
      <c r="L587" s="39"/>
      <c r="M587" s="39"/>
      <c r="N587" s="39"/>
      <c r="O587" s="39"/>
      <c r="P587" s="39"/>
      <c r="Q587" s="39"/>
    </row>
    <row r="588">
      <c r="D588" s="49"/>
      <c r="K588" s="39"/>
      <c r="L588" s="39"/>
      <c r="M588" s="39"/>
      <c r="N588" s="39"/>
      <c r="O588" s="39"/>
      <c r="P588" s="39"/>
      <c r="Q588" s="39"/>
    </row>
    <row r="589">
      <c r="D589" s="49"/>
      <c r="K589" s="39"/>
      <c r="L589" s="39"/>
      <c r="M589" s="39"/>
      <c r="N589" s="39"/>
      <c r="O589" s="39"/>
      <c r="P589" s="39"/>
      <c r="Q589" s="39"/>
    </row>
    <row r="590">
      <c r="D590" s="49"/>
      <c r="K590" s="39"/>
      <c r="L590" s="39"/>
      <c r="M590" s="39"/>
      <c r="N590" s="39"/>
      <c r="O590" s="39"/>
      <c r="P590" s="39"/>
      <c r="Q590" s="39"/>
    </row>
    <row r="591">
      <c r="D591" s="49"/>
      <c r="K591" s="39"/>
      <c r="L591" s="39"/>
      <c r="M591" s="39"/>
      <c r="N591" s="39"/>
      <c r="O591" s="39"/>
      <c r="P591" s="39"/>
      <c r="Q591" s="39"/>
    </row>
    <row r="592">
      <c r="D592" s="49"/>
      <c r="K592" s="39"/>
      <c r="L592" s="39"/>
      <c r="M592" s="39"/>
      <c r="N592" s="39"/>
      <c r="O592" s="39"/>
      <c r="P592" s="39"/>
      <c r="Q592" s="39"/>
    </row>
    <row r="593">
      <c r="D593" s="49"/>
      <c r="K593" s="39"/>
      <c r="L593" s="39"/>
      <c r="M593" s="39"/>
      <c r="N593" s="39"/>
      <c r="O593" s="39"/>
      <c r="P593" s="39"/>
      <c r="Q593" s="39"/>
    </row>
    <row r="594">
      <c r="D594" s="49"/>
      <c r="K594" s="39"/>
      <c r="L594" s="39"/>
      <c r="M594" s="39"/>
      <c r="N594" s="39"/>
      <c r="O594" s="39"/>
      <c r="P594" s="39"/>
      <c r="Q594" s="39"/>
    </row>
    <row r="595">
      <c r="D595" s="49"/>
      <c r="K595" s="39"/>
      <c r="L595" s="39"/>
      <c r="M595" s="39"/>
      <c r="N595" s="39"/>
      <c r="O595" s="39"/>
      <c r="P595" s="39"/>
      <c r="Q595" s="39"/>
    </row>
    <row r="596">
      <c r="D596" s="49"/>
      <c r="K596" s="39"/>
      <c r="L596" s="39"/>
      <c r="M596" s="39"/>
      <c r="N596" s="39"/>
      <c r="O596" s="39"/>
      <c r="P596" s="39"/>
      <c r="Q596" s="39"/>
    </row>
    <row r="597">
      <c r="D597" s="49"/>
      <c r="K597" s="39"/>
      <c r="L597" s="39"/>
      <c r="M597" s="39"/>
      <c r="N597" s="39"/>
      <c r="O597" s="39"/>
      <c r="P597" s="39"/>
      <c r="Q597" s="39"/>
    </row>
    <row r="598">
      <c r="D598" s="49"/>
      <c r="K598" s="39"/>
      <c r="L598" s="39"/>
      <c r="M598" s="39"/>
      <c r="N598" s="39"/>
      <c r="O598" s="39"/>
      <c r="P598" s="39"/>
      <c r="Q598" s="39"/>
    </row>
    <row r="599">
      <c r="D599" s="49"/>
      <c r="K599" s="39"/>
      <c r="L599" s="39"/>
      <c r="M599" s="39"/>
      <c r="N599" s="39"/>
      <c r="O599" s="39"/>
      <c r="P599" s="39"/>
      <c r="Q599" s="39"/>
    </row>
    <row r="600">
      <c r="D600" s="49"/>
      <c r="K600" s="39"/>
      <c r="L600" s="39"/>
      <c r="M600" s="39"/>
      <c r="N600" s="39"/>
      <c r="O600" s="39"/>
      <c r="P600" s="39"/>
      <c r="Q600" s="39"/>
    </row>
    <row r="601">
      <c r="D601" s="49"/>
      <c r="K601" s="39"/>
      <c r="L601" s="39"/>
      <c r="M601" s="39"/>
      <c r="N601" s="39"/>
      <c r="O601" s="39"/>
      <c r="P601" s="39"/>
      <c r="Q601" s="39"/>
    </row>
    <row r="602">
      <c r="D602" s="49"/>
      <c r="K602" s="39"/>
      <c r="L602" s="39"/>
      <c r="M602" s="39"/>
      <c r="N602" s="39"/>
      <c r="O602" s="39"/>
      <c r="P602" s="39"/>
      <c r="Q602" s="39"/>
    </row>
    <row r="603">
      <c r="D603" s="49"/>
      <c r="K603" s="39"/>
      <c r="L603" s="39"/>
      <c r="M603" s="39"/>
      <c r="N603" s="39"/>
      <c r="O603" s="39"/>
      <c r="P603" s="39"/>
      <c r="Q603" s="39"/>
    </row>
    <row r="604">
      <c r="D604" s="49"/>
      <c r="K604" s="39"/>
      <c r="L604" s="39"/>
      <c r="M604" s="39"/>
      <c r="N604" s="39"/>
      <c r="O604" s="39"/>
      <c r="P604" s="39"/>
      <c r="Q604" s="39"/>
    </row>
    <row r="605">
      <c r="D605" s="49"/>
      <c r="K605" s="39"/>
      <c r="L605" s="39"/>
      <c r="M605" s="39"/>
      <c r="N605" s="39"/>
      <c r="O605" s="39"/>
      <c r="P605" s="39"/>
      <c r="Q605" s="39"/>
    </row>
    <row r="606">
      <c r="D606" s="49"/>
      <c r="K606" s="39"/>
      <c r="L606" s="39"/>
      <c r="M606" s="39"/>
      <c r="N606" s="39"/>
      <c r="O606" s="39"/>
      <c r="P606" s="39"/>
      <c r="Q606" s="39"/>
    </row>
    <row r="607">
      <c r="D607" s="49"/>
      <c r="K607" s="39"/>
      <c r="L607" s="39"/>
      <c r="M607" s="39"/>
      <c r="N607" s="39"/>
      <c r="O607" s="39"/>
      <c r="P607" s="39"/>
      <c r="Q607" s="39"/>
    </row>
    <row r="608">
      <c r="D608" s="49"/>
      <c r="K608" s="39"/>
      <c r="L608" s="39"/>
      <c r="M608" s="39"/>
      <c r="N608" s="39"/>
      <c r="O608" s="39"/>
      <c r="P608" s="39"/>
      <c r="Q608" s="39"/>
    </row>
    <row r="609">
      <c r="D609" s="49"/>
      <c r="K609" s="39"/>
      <c r="L609" s="39"/>
      <c r="M609" s="39"/>
      <c r="N609" s="39"/>
      <c r="O609" s="39"/>
      <c r="P609" s="39"/>
      <c r="Q609" s="39"/>
    </row>
    <row r="610">
      <c r="D610" s="49"/>
      <c r="K610" s="39"/>
      <c r="L610" s="39"/>
      <c r="M610" s="39"/>
      <c r="N610" s="39"/>
      <c r="O610" s="39"/>
      <c r="P610" s="39"/>
      <c r="Q610" s="39"/>
    </row>
    <row r="611">
      <c r="D611" s="49"/>
      <c r="K611" s="39"/>
      <c r="L611" s="39"/>
      <c r="M611" s="39"/>
      <c r="N611" s="39"/>
      <c r="O611" s="39"/>
      <c r="P611" s="39"/>
      <c r="Q611" s="39"/>
    </row>
    <row r="612">
      <c r="D612" s="49"/>
      <c r="K612" s="39"/>
      <c r="L612" s="39"/>
      <c r="M612" s="39"/>
      <c r="N612" s="39"/>
      <c r="O612" s="39"/>
      <c r="P612" s="39"/>
      <c r="Q612" s="39"/>
    </row>
    <row r="613">
      <c r="D613" s="49"/>
      <c r="K613" s="39"/>
      <c r="L613" s="39"/>
      <c r="M613" s="39"/>
      <c r="N613" s="39"/>
      <c r="O613" s="39"/>
      <c r="P613" s="39"/>
      <c r="Q613" s="39"/>
    </row>
    <row r="614">
      <c r="D614" s="49"/>
      <c r="K614" s="39"/>
      <c r="L614" s="39"/>
      <c r="M614" s="39"/>
      <c r="N614" s="39"/>
      <c r="O614" s="39"/>
      <c r="P614" s="39"/>
      <c r="Q614" s="39"/>
    </row>
    <row r="615">
      <c r="D615" s="49"/>
      <c r="K615" s="39"/>
      <c r="L615" s="39"/>
      <c r="M615" s="39"/>
      <c r="N615" s="39"/>
      <c r="O615" s="39"/>
      <c r="P615" s="39"/>
      <c r="Q615" s="39"/>
    </row>
    <row r="616">
      <c r="D616" s="49"/>
      <c r="K616" s="39"/>
      <c r="L616" s="39"/>
      <c r="M616" s="39"/>
      <c r="N616" s="39"/>
      <c r="O616" s="39"/>
      <c r="P616" s="39"/>
      <c r="Q616" s="39"/>
    </row>
    <row r="617">
      <c r="D617" s="49"/>
      <c r="K617" s="39"/>
      <c r="L617" s="39"/>
      <c r="M617" s="39"/>
      <c r="N617" s="39"/>
      <c r="O617" s="39"/>
      <c r="P617" s="39"/>
      <c r="Q617" s="39"/>
    </row>
    <row r="618">
      <c r="D618" s="49"/>
      <c r="K618" s="39"/>
      <c r="L618" s="39"/>
      <c r="M618" s="39"/>
      <c r="N618" s="39"/>
      <c r="O618" s="39"/>
      <c r="P618" s="39"/>
      <c r="Q618" s="39"/>
    </row>
    <row r="619">
      <c r="D619" s="49"/>
      <c r="K619" s="39"/>
      <c r="L619" s="39"/>
      <c r="M619" s="39"/>
      <c r="N619" s="39"/>
      <c r="O619" s="39"/>
      <c r="P619" s="39"/>
      <c r="Q619" s="39"/>
    </row>
    <row r="620">
      <c r="D620" s="49"/>
      <c r="K620" s="39"/>
      <c r="L620" s="39"/>
      <c r="M620" s="39"/>
      <c r="N620" s="39"/>
      <c r="O620" s="39"/>
      <c r="P620" s="39"/>
      <c r="Q620" s="39"/>
    </row>
    <row r="621">
      <c r="D621" s="49"/>
      <c r="K621" s="39"/>
      <c r="L621" s="39"/>
      <c r="M621" s="39"/>
      <c r="N621" s="39"/>
      <c r="O621" s="39"/>
      <c r="P621" s="39"/>
      <c r="Q621" s="39"/>
    </row>
    <row r="622">
      <c r="D622" s="49"/>
      <c r="K622" s="39"/>
      <c r="L622" s="39"/>
      <c r="M622" s="39"/>
      <c r="N622" s="39"/>
      <c r="O622" s="39"/>
      <c r="P622" s="39"/>
      <c r="Q622" s="39"/>
    </row>
    <row r="623">
      <c r="D623" s="49"/>
      <c r="K623" s="39"/>
      <c r="L623" s="39"/>
      <c r="M623" s="39"/>
      <c r="N623" s="39"/>
      <c r="O623" s="39"/>
      <c r="P623" s="39"/>
      <c r="Q623" s="39"/>
    </row>
    <row r="624">
      <c r="D624" s="49"/>
      <c r="K624" s="39"/>
      <c r="L624" s="39"/>
      <c r="M624" s="39"/>
      <c r="N624" s="39"/>
      <c r="O624" s="39"/>
      <c r="P624" s="39"/>
      <c r="Q624" s="39"/>
    </row>
    <row r="625">
      <c r="D625" s="49"/>
      <c r="K625" s="39"/>
      <c r="L625" s="39"/>
      <c r="M625" s="39"/>
      <c r="N625" s="39"/>
      <c r="O625" s="39"/>
      <c r="P625" s="39"/>
      <c r="Q625" s="39"/>
    </row>
    <row r="626">
      <c r="D626" s="49"/>
      <c r="K626" s="39"/>
      <c r="L626" s="39"/>
      <c r="M626" s="39"/>
      <c r="N626" s="39"/>
      <c r="O626" s="39"/>
      <c r="P626" s="39"/>
      <c r="Q626" s="39"/>
    </row>
    <row r="627">
      <c r="D627" s="49"/>
      <c r="K627" s="39"/>
      <c r="L627" s="39"/>
      <c r="M627" s="39"/>
      <c r="N627" s="39"/>
      <c r="O627" s="39"/>
      <c r="P627" s="39"/>
      <c r="Q627" s="39"/>
    </row>
    <row r="628">
      <c r="D628" s="49"/>
      <c r="K628" s="39"/>
      <c r="L628" s="39"/>
      <c r="M628" s="39"/>
      <c r="N628" s="39"/>
      <c r="O628" s="39"/>
      <c r="P628" s="39"/>
      <c r="Q628" s="39"/>
    </row>
    <row r="629">
      <c r="D629" s="49"/>
      <c r="K629" s="39"/>
      <c r="L629" s="39"/>
      <c r="M629" s="39"/>
      <c r="N629" s="39"/>
      <c r="O629" s="39"/>
      <c r="P629" s="39"/>
      <c r="Q629" s="39"/>
    </row>
    <row r="630">
      <c r="D630" s="49"/>
      <c r="K630" s="39"/>
      <c r="L630" s="39"/>
      <c r="M630" s="39"/>
      <c r="N630" s="39"/>
      <c r="O630" s="39"/>
      <c r="P630" s="39"/>
      <c r="Q630" s="39"/>
    </row>
    <row r="631">
      <c r="D631" s="49"/>
      <c r="K631" s="39"/>
      <c r="L631" s="39"/>
      <c r="M631" s="39"/>
      <c r="N631" s="39"/>
      <c r="O631" s="39"/>
      <c r="P631" s="39"/>
      <c r="Q631" s="39"/>
    </row>
    <row r="632">
      <c r="D632" s="49"/>
      <c r="K632" s="39"/>
      <c r="L632" s="39"/>
      <c r="M632" s="39"/>
      <c r="N632" s="39"/>
      <c r="O632" s="39"/>
      <c r="P632" s="39"/>
      <c r="Q632" s="39"/>
    </row>
    <row r="633">
      <c r="D633" s="49"/>
      <c r="K633" s="39"/>
      <c r="L633" s="39"/>
      <c r="M633" s="39"/>
      <c r="N633" s="39"/>
      <c r="O633" s="39"/>
      <c r="P633" s="39"/>
      <c r="Q633" s="39"/>
    </row>
    <row r="634">
      <c r="D634" s="49"/>
      <c r="K634" s="39"/>
      <c r="L634" s="39"/>
      <c r="M634" s="39"/>
      <c r="N634" s="39"/>
      <c r="O634" s="39"/>
      <c r="P634" s="39"/>
      <c r="Q634" s="39"/>
    </row>
    <row r="635">
      <c r="D635" s="49"/>
      <c r="K635" s="39"/>
      <c r="L635" s="39"/>
      <c r="M635" s="39"/>
      <c r="N635" s="39"/>
      <c r="O635" s="39"/>
      <c r="P635" s="39"/>
      <c r="Q635" s="39"/>
    </row>
    <row r="636">
      <c r="D636" s="49"/>
      <c r="K636" s="39"/>
      <c r="L636" s="39"/>
      <c r="M636" s="39"/>
      <c r="N636" s="39"/>
      <c r="O636" s="39"/>
      <c r="P636" s="39"/>
      <c r="Q636" s="39"/>
    </row>
    <row r="637">
      <c r="D637" s="49"/>
      <c r="K637" s="39"/>
      <c r="L637" s="39"/>
      <c r="M637" s="39"/>
      <c r="N637" s="39"/>
      <c r="O637" s="39"/>
      <c r="P637" s="39"/>
      <c r="Q637" s="39"/>
    </row>
    <row r="638">
      <c r="D638" s="49"/>
      <c r="K638" s="39"/>
      <c r="L638" s="39"/>
      <c r="M638" s="39"/>
      <c r="N638" s="39"/>
      <c r="O638" s="39"/>
      <c r="P638" s="39"/>
      <c r="Q638" s="39"/>
    </row>
    <row r="639">
      <c r="D639" s="49"/>
      <c r="K639" s="39"/>
      <c r="L639" s="39"/>
      <c r="M639" s="39"/>
      <c r="N639" s="39"/>
      <c r="O639" s="39"/>
      <c r="P639" s="39"/>
      <c r="Q639" s="39"/>
    </row>
    <row r="640">
      <c r="D640" s="49"/>
      <c r="K640" s="39"/>
      <c r="L640" s="39"/>
      <c r="M640" s="39"/>
      <c r="N640" s="39"/>
      <c r="O640" s="39"/>
      <c r="P640" s="39"/>
      <c r="Q640" s="39"/>
    </row>
    <row r="641">
      <c r="D641" s="49"/>
      <c r="K641" s="39"/>
      <c r="L641" s="39"/>
      <c r="M641" s="39"/>
      <c r="N641" s="39"/>
      <c r="O641" s="39"/>
      <c r="P641" s="39"/>
      <c r="Q641" s="39"/>
    </row>
    <row r="642">
      <c r="D642" s="49"/>
      <c r="K642" s="39"/>
      <c r="L642" s="39"/>
      <c r="M642" s="39"/>
      <c r="N642" s="39"/>
      <c r="O642" s="39"/>
      <c r="P642" s="39"/>
      <c r="Q642" s="39"/>
    </row>
    <row r="643">
      <c r="D643" s="49"/>
      <c r="K643" s="39"/>
      <c r="L643" s="39"/>
      <c r="M643" s="39"/>
      <c r="N643" s="39"/>
      <c r="O643" s="39"/>
      <c r="P643" s="39"/>
      <c r="Q643" s="39"/>
    </row>
    <row r="644">
      <c r="D644" s="49"/>
      <c r="K644" s="39"/>
      <c r="L644" s="39"/>
      <c r="M644" s="39"/>
      <c r="N644" s="39"/>
      <c r="O644" s="39"/>
      <c r="P644" s="39"/>
      <c r="Q644" s="39"/>
    </row>
    <row r="645">
      <c r="D645" s="49"/>
      <c r="K645" s="39"/>
      <c r="L645" s="39"/>
      <c r="M645" s="39"/>
      <c r="N645" s="39"/>
      <c r="O645" s="39"/>
      <c r="P645" s="39"/>
      <c r="Q645" s="39"/>
    </row>
    <row r="646">
      <c r="D646" s="49"/>
      <c r="K646" s="39"/>
      <c r="L646" s="39"/>
      <c r="M646" s="39"/>
      <c r="N646" s="39"/>
      <c r="O646" s="39"/>
      <c r="P646" s="39"/>
      <c r="Q646" s="39"/>
    </row>
    <row r="647">
      <c r="D647" s="49"/>
      <c r="K647" s="39"/>
      <c r="L647" s="39"/>
      <c r="M647" s="39"/>
      <c r="N647" s="39"/>
      <c r="O647" s="39"/>
      <c r="P647" s="39"/>
      <c r="Q647" s="39"/>
    </row>
    <row r="648">
      <c r="D648" s="49"/>
      <c r="K648" s="39"/>
      <c r="L648" s="39"/>
      <c r="M648" s="39"/>
      <c r="N648" s="39"/>
      <c r="O648" s="39"/>
      <c r="P648" s="39"/>
      <c r="Q648" s="39"/>
    </row>
    <row r="649">
      <c r="D649" s="49"/>
      <c r="K649" s="39"/>
      <c r="L649" s="39"/>
      <c r="M649" s="39"/>
      <c r="N649" s="39"/>
      <c r="O649" s="39"/>
      <c r="P649" s="39"/>
      <c r="Q649" s="39"/>
    </row>
    <row r="650">
      <c r="D650" s="49"/>
      <c r="K650" s="39"/>
      <c r="L650" s="39"/>
      <c r="M650" s="39"/>
      <c r="N650" s="39"/>
      <c r="O650" s="39"/>
      <c r="P650" s="39"/>
      <c r="Q650" s="39"/>
    </row>
    <row r="651">
      <c r="D651" s="49"/>
      <c r="K651" s="39"/>
      <c r="L651" s="39"/>
      <c r="M651" s="39"/>
      <c r="N651" s="39"/>
      <c r="O651" s="39"/>
      <c r="P651" s="39"/>
      <c r="Q651" s="39"/>
    </row>
    <row r="652">
      <c r="D652" s="49"/>
      <c r="K652" s="39"/>
      <c r="L652" s="39"/>
      <c r="M652" s="39"/>
      <c r="N652" s="39"/>
      <c r="O652" s="39"/>
      <c r="P652" s="39"/>
      <c r="Q652" s="39"/>
    </row>
    <row r="653">
      <c r="D653" s="49"/>
      <c r="K653" s="39"/>
      <c r="L653" s="39"/>
      <c r="M653" s="39"/>
      <c r="N653" s="39"/>
      <c r="O653" s="39"/>
      <c r="P653" s="39"/>
      <c r="Q653" s="39"/>
    </row>
    <row r="654">
      <c r="D654" s="49"/>
      <c r="K654" s="39"/>
      <c r="L654" s="39"/>
      <c r="M654" s="39"/>
      <c r="N654" s="39"/>
      <c r="O654" s="39"/>
      <c r="P654" s="39"/>
      <c r="Q654" s="39"/>
    </row>
    <row r="655">
      <c r="D655" s="49"/>
      <c r="K655" s="39"/>
      <c r="L655" s="39"/>
      <c r="M655" s="39"/>
      <c r="N655" s="39"/>
      <c r="O655" s="39"/>
      <c r="P655" s="39"/>
      <c r="Q655" s="39"/>
    </row>
    <row r="656">
      <c r="D656" s="49"/>
      <c r="K656" s="39"/>
      <c r="L656" s="39"/>
      <c r="M656" s="39"/>
      <c r="N656" s="39"/>
      <c r="O656" s="39"/>
      <c r="P656" s="39"/>
      <c r="Q656" s="39"/>
    </row>
    <row r="657">
      <c r="D657" s="49"/>
      <c r="K657" s="39"/>
      <c r="L657" s="39"/>
      <c r="M657" s="39"/>
      <c r="N657" s="39"/>
      <c r="O657" s="39"/>
      <c r="P657" s="39"/>
      <c r="Q657" s="39"/>
    </row>
    <row r="658">
      <c r="D658" s="49"/>
      <c r="K658" s="39"/>
      <c r="L658" s="39"/>
      <c r="M658" s="39"/>
      <c r="N658" s="39"/>
      <c r="O658" s="39"/>
      <c r="P658" s="39"/>
      <c r="Q658" s="39"/>
    </row>
    <row r="659">
      <c r="D659" s="49"/>
      <c r="K659" s="39"/>
      <c r="L659" s="39"/>
      <c r="M659" s="39"/>
      <c r="N659" s="39"/>
      <c r="O659" s="39"/>
      <c r="P659" s="39"/>
      <c r="Q659" s="39"/>
    </row>
    <row r="660">
      <c r="D660" s="49"/>
      <c r="K660" s="39"/>
      <c r="L660" s="39"/>
      <c r="M660" s="39"/>
      <c r="N660" s="39"/>
      <c r="O660" s="39"/>
      <c r="P660" s="39"/>
      <c r="Q660" s="39"/>
    </row>
    <row r="661">
      <c r="D661" s="49"/>
      <c r="K661" s="39"/>
      <c r="L661" s="39"/>
      <c r="M661" s="39"/>
      <c r="N661" s="39"/>
      <c r="O661" s="39"/>
      <c r="P661" s="39"/>
      <c r="Q661" s="39"/>
    </row>
    <row r="662">
      <c r="D662" s="49"/>
      <c r="K662" s="39"/>
      <c r="L662" s="39"/>
      <c r="M662" s="39"/>
      <c r="N662" s="39"/>
      <c r="O662" s="39"/>
      <c r="P662" s="39"/>
      <c r="Q662" s="39"/>
    </row>
    <row r="663">
      <c r="D663" s="49"/>
      <c r="K663" s="39"/>
      <c r="L663" s="39"/>
      <c r="M663" s="39"/>
      <c r="N663" s="39"/>
      <c r="O663" s="39"/>
      <c r="P663" s="39"/>
      <c r="Q663" s="39"/>
    </row>
    <row r="664">
      <c r="D664" s="49"/>
      <c r="K664" s="39"/>
      <c r="L664" s="39"/>
      <c r="M664" s="39"/>
      <c r="N664" s="39"/>
      <c r="O664" s="39"/>
      <c r="P664" s="39"/>
      <c r="Q664" s="39"/>
    </row>
    <row r="665">
      <c r="D665" s="49"/>
      <c r="K665" s="39"/>
      <c r="L665" s="39"/>
      <c r="M665" s="39"/>
      <c r="N665" s="39"/>
      <c r="O665" s="39"/>
      <c r="P665" s="39"/>
      <c r="Q665" s="39"/>
    </row>
    <row r="666">
      <c r="D666" s="49"/>
      <c r="K666" s="39"/>
      <c r="L666" s="39"/>
      <c r="M666" s="39"/>
      <c r="N666" s="39"/>
      <c r="O666" s="39"/>
      <c r="P666" s="39"/>
      <c r="Q666" s="39"/>
    </row>
    <row r="667">
      <c r="D667" s="49"/>
      <c r="K667" s="39"/>
      <c r="L667" s="39"/>
      <c r="M667" s="39"/>
      <c r="N667" s="39"/>
      <c r="O667" s="39"/>
      <c r="P667" s="39"/>
      <c r="Q667" s="39"/>
    </row>
    <row r="668">
      <c r="D668" s="49"/>
      <c r="K668" s="39"/>
      <c r="L668" s="39"/>
      <c r="M668" s="39"/>
      <c r="N668" s="39"/>
      <c r="O668" s="39"/>
      <c r="P668" s="39"/>
      <c r="Q668" s="39"/>
    </row>
    <row r="669">
      <c r="D669" s="49"/>
      <c r="K669" s="39"/>
      <c r="L669" s="39"/>
      <c r="M669" s="39"/>
      <c r="N669" s="39"/>
      <c r="O669" s="39"/>
      <c r="P669" s="39"/>
      <c r="Q669" s="39"/>
    </row>
    <row r="670">
      <c r="D670" s="49"/>
      <c r="K670" s="39"/>
      <c r="L670" s="39"/>
      <c r="M670" s="39"/>
      <c r="N670" s="39"/>
      <c r="O670" s="39"/>
      <c r="P670" s="39"/>
      <c r="Q670" s="39"/>
    </row>
    <row r="671">
      <c r="D671" s="49"/>
      <c r="K671" s="39"/>
      <c r="L671" s="39"/>
      <c r="M671" s="39"/>
      <c r="N671" s="39"/>
      <c r="O671" s="39"/>
      <c r="P671" s="39"/>
      <c r="Q671" s="39"/>
    </row>
    <row r="672">
      <c r="D672" s="49"/>
      <c r="K672" s="39"/>
      <c r="L672" s="39"/>
      <c r="M672" s="39"/>
      <c r="N672" s="39"/>
      <c r="O672" s="39"/>
      <c r="P672" s="39"/>
      <c r="Q672" s="39"/>
    </row>
    <row r="673">
      <c r="D673" s="49"/>
      <c r="K673" s="39"/>
      <c r="L673" s="39"/>
      <c r="M673" s="39"/>
      <c r="N673" s="39"/>
      <c r="O673" s="39"/>
      <c r="P673" s="39"/>
      <c r="Q673" s="39"/>
    </row>
    <row r="674">
      <c r="D674" s="49"/>
      <c r="K674" s="39"/>
      <c r="L674" s="39"/>
      <c r="M674" s="39"/>
      <c r="N674" s="39"/>
      <c r="O674" s="39"/>
      <c r="P674" s="39"/>
      <c r="Q674" s="39"/>
    </row>
    <row r="675">
      <c r="D675" s="49"/>
      <c r="K675" s="39"/>
      <c r="L675" s="39"/>
      <c r="M675" s="39"/>
      <c r="N675" s="39"/>
      <c r="O675" s="39"/>
      <c r="P675" s="39"/>
      <c r="Q675" s="39"/>
    </row>
    <row r="676">
      <c r="D676" s="49"/>
      <c r="K676" s="39"/>
      <c r="L676" s="39"/>
      <c r="M676" s="39"/>
      <c r="N676" s="39"/>
      <c r="O676" s="39"/>
      <c r="P676" s="39"/>
      <c r="Q676" s="39"/>
    </row>
    <row r="677">
      <c r="D677" s="49"/>
      <c r="K677" s="39"/>
      <c r="L677" s="39"/>
      <c r="M677" s="39"/>
      <c r="N677" s="39"/>
      <c r="O677" s="39"/>
      <c r="P677" s="39"/>
      <c r="Q677" s="39"/>
    </row>
    <row r="678">
      <c r="D678" s="49"/>
      <c r="K678" s="39"/>
      <c r="L678" s="39"/>
      <c r="M678" s="39"/>
      <c r="N678" s="39"/>
      <c r="O678" s="39"/>
      <c r="P678" s="39"/>
      <c r="Q678" s="39"/>
    </row>
    <row r="679">
      <c r="D679" s="49"/>
      <c r="K679" s="39"/>
      <c r="L679" s="39"/>
      <c r="M679" s="39"/>
      <c r="N679" s="39"/>
      <c r="O679" s="39"/>
      <c r="P679" s="39"/>
      <c r="Q679" s="39"/>
    </row>
    <row r="680">
      <c r="D680" s="49"/>
      <c r="K680" s="39"/>
      <c r="L680" s="39"/>
      <c r="M680" s="39"/>
      <c r="N680" s="39"/>
      <c r="O680" s="39"/>
      <c r="P680" s="39"/>
      <c r="Q680" s="39"/>
    </row>
    <row r="681">
      <c r="D681" s="49"/>
      <c r="K681" s="39"/>
      <c r="L681" s="39"/>
      <c r="M681" s="39"/>
      <c r="N681" s="39"/>
      <c r="O681" s="39"/>
      <c r="P681" s="39"/>
      <c r="Q681" s="39"/>
    </row>
    <row r="682">
      <c r="D682" s="49"/>
      <c r="K682" s="39"/>
      <c r="L682" s="39"/>
      <c r="M682" s="39"/>
      <c r="N682" s="39"/>
      <c r="O682" s="39"/>
      <c r="P682" s="39"/>
      <c r="Q682" s="39"/>
    </row>
    <row r="683">
      <c r="D683" s="49"/>
      <c r="K683" s="39"/>
      <c r="L683" s="39"/>
      <c r="M683" s="39"/>
      <c r="N683" s="39"/>
      <c r="O683" s="39"/>
      <c r="P683" s="39"/>
      <c r="Q683" s="39"/>
    </row>
    <row r="684">
      <c r="D684" s="49"/>
      <c r="K684" s="39"/>
      <c r="L684" s="39"/>
      <c r="M684" s="39"/>
      <c r="N684" s="39"/>
      <c r="O684" s="39"/>
      <c r="P684" s="39"/>
      <c r="Q684" s="39"/>
    </row>
    <row r="685">
      <c r="D685" s="49"/>
      <c r="K685" s="39"/>
      <c r="L685" s="39"/>
      <c r="M685" s="39"/>
      <c r="N685" s="39"/>
      <c r="O685" s="39"/>
      <c r="P685" s="39"/>
      <c r="Q685" s="39"/>
    </row>
    <row r="686">
      <c r="D686" s="49"/>
      <c r="K686" s="39"/>
      <c r="L686" s="39"/>
      <c r="M686" s="39"/>
      <c r="N686" s="39"/>
      <c r="O686" s="39"/>
      <c r="P686" s="39"/>
      <c r="Q686" s="39"/>
    </row>
    <row r="687">
      <c r="D687" s="49"/>
      <c r="K687" s="39"/>
      <c r="L687" s="39"/>
      <c r="M687" s="39"/>
      <c r="N687" s="39"/>
      <c r="O687" s="39"/>
      <c r="P687" s="39"/>
      <c r="Q687" s="39"/>
    </row>
    <row r="688">
      <c r="D688" s="49"/>
      <c r="K688" s="39"/>
      <c r="L688" s="39"/>
      <c r="M688" s="39"/>
      <c r="N688" s="39"/>
      <c r="O688" s="39"/>
      <c r="P688" s="39"/>
      <c r="Q688" s="39"/>
    </row>
    <row r="689">
      <c r="D689" s="49"/>
      <c r="K689" s="39"/>
      <c r="L689" s="39"/>
      <c r="M689" s="39"/>
      <c r="N689" s="39"/>
      <c r="O689" s="39"/>
      <c r="P689" s="39"/>
      <c r="Q689" s="39"/>
    </row>
    <row r="690">
      <c r="D690" s="49"/>
      <c r="K690" s="39"/>
      <c r="L690" s="39"/>
      <c r="M690" s="39"/>
      <c r="N690" s="39"/>
      <c r="O690" s="39"/>
      <c r="P690" s="39"/>
      <c r="Q690" s="39"/>
    </row>
    <row r="691">
      <c r="D691" s="49"/>
      <c r="K691" s="39"/>
      <c r="L691" s="39"/>
      <c r="M691" s="39"/>
      <c r="N691" s="39"/>
      <c r="O691" s="39"/>
      <c r="P691" s="39"/>
      <c r="Q691" s="39"/>
    </row>
    <row r="692">
      <c r="D692" s="49"/>
      <c r="K692" s="39"/>
      <c r="L692" s="39"/>
      <c r="M692" s="39"/>
      <c r="N692" s="39"/>
      <c r="O692" s="39"/>
      <c r="P692" s="39"/>
      <c r="Q692" s="39"/>
    </row>
    <row r="693">
      <c r="D693" s="49"/>
      <c r="K693" s="39"/>
      <c r="L693" s="39"/>
      <c r="M693" s="39"/>
      <c r="N693" s="39"/>
      <c r="O693" s="39"/>
      <c r="P693" s="39"/>
      <c r="Q693" s="39"/>
    </row>
    <row r="694">
      <c r="D694" s="49"/>
      <c r="K694" s="39"/>
      <c r="L694" s="39"/>
      <c r="M694" s="39"/>
      <c r="N694" s="39"/>
      <c r="O694" s="39"/>
      <c r="P694" s="39"/>
      <c r="Q694" s="39"/>
    </row>
    <row r="695">
      <c r="D695" s="49"/>
      <c r="K695" s="39"/>
      <c r="L695" s="39"/>
      <c r="M695" s="39"/>
      <c r="N695" s="39"/>
      <c r="O695" s="39"/>
      <c r="P695" s="39"/>
      <c r="Q695" s="39"/>
    </row>
    <row r="696">
      <c r="D696" s="49"/>
      <c r="K696" s="39"/>
      <c r="L696" s="39"/>
      <c r="M696" s="39"/>
      <c r="N696" s="39"/>
      <c r="O696" s="39"/>
      <c r="P696" s="39"/>
      <c r="Q696" s="39"/>
    </row>
    <row r="697">
      <c r="D697" s="49"/>
      <c r="K697" s="39"/>
      <c r="L697" s="39"/>
      <c r="M697" s="39"/>
      <c r="N697" s="39"/>
      <c r="O697" s="39"/>
      <c r="P697" s="39"/>
      <c r="Q697" s="39"/>
    </row>
    <row r="698">
      <c r="D698" s="49"/>
      <c r="K698" s="39"/>
      <c r="L698" s="39"/>
      <c r="M698" s="39"/>
      <c r="N698" s="39"/>
      <c r="O698" s="39"/>
      <c r="P698" s="39"/>
      <c r="Q698" s="39"/>
    </row>
    <row r="699">
      <c r="D699" s="49"/>
      <c r="K699" s="39"/>
      <c r="L699" s="39"/>
      <c r="M699" s="39"/>
      <c r="N699" s="39"/>
      <c r="O699" s="39"/>
      <c r="P699" s="39"/>
      <c r="Q699" s="39"/>
    </row>
    <row r="700">
      <c r="D700" s="49"/>
      <c r="K700" s="39"/>
      <c r="L700" s="39"/>
      <c r="M700" s="39"/>
      <c r="N700" s="39"/>
      <c r="O700" s="39"/>
      <c r="P700" s="39"/>
      <c r="Q700" s="39"/>
    </row>
    <row r="701">
      <c r="D701" s="49"/>
      <c r="K701" s="39"/>
      <c r="L701" s="39"/>
      <c r="M701" s="39"/>
      <c r="N701" s="39"/>
      <c r="O701" s="39"/>
      <c r="P701" s="39"/>
      <c r="Q701" s="39"/>
    </row>
    <row r="702">
      <c r="D702" s="49"/>
      <c r="K702" s="39"/>
      <c r="L702" s="39"/>
      <c r="M702" s="39"/>
      <c r="N702" s="39"/>
      <c r="O702" s="39"/>
      <c r="P702" s="39"/>
      <c r="Q702" s="39"/>
    </row>
    <row r="703">
      <c r="D703" s="49"/>
      <c r="K703" s="39"/>
      <c r="L703" s="39"/>
      <c r="M703" s="39"/>
      <c r="N703" s="39"/>
      <c r="O703" s="39"/>
      <c r="P703" s="39"/>
      <c r="Q703" s="39"/>
    </row>
    <row r="704">
      <c r="D704" s="49"/>
      <c r="K704" s="39"/>
      <c r="L704" s="39"/>
      <c r="M704" s="39"/>
      <c r="N704" s="39"/>
      <c r="O704" s="39"/>
      <c r="P704" s="39"/>
      <c r="Q704" s="39"/>
    </row>
    <row r="705">
      <c r="D705" s="49"/>
      <c r="K705" s="39"/>
      <c r="L705" s="39"/>
      <c r="M705" s="39"/>
      <c r="N705" s="39"/>
      <c r="O705" s="39"/>
      <c r="P705" s="39"/>
      <c r="Q705" s="39"/>
    </row>
    <row r="706">
      <c r="D706" s="49"/>
      <c r="K706" s="39"/>
      <c r="L706" s="39"/>
      <c r="M706" s="39"/>
      <c r="N706" s="39"/>
      <c r="O706" s="39"/>
      <c r="P706" s="39"/>
      <c r="Q706" s="39"/>
    </row>
    <row r="707">
      <c r="D707" s="49"/>
      <c r="K707" s="39"/>
      <c r="L707" s="39"/>
      <c r="M707" s="39"/>
      <c r="N707" s="39"/>
      <c r="O707" s="39"/>
      <c r="P707" s="39"/>
      <c r="Q707" s="39"/>
    </row>
    <row r="708">
      <c r="D708" s="49"/>
      <c r="K708" s="39"/>
      <c r="L708" s="39"/>
      <c r="M708" s="39"/>
      <c r="N708" s="39"/>
      <c r="O708" s="39"/>
      <c r="P708" s="39"/>
      <c r="Q708" s="39"/>
    </row>
    <row r="709">
      <c r="D709" s="49"/>
      <c r="K709" s="39"/>
      <c r="L709" s="39"/>
      <c r="M709" s="39"/>
      <c r="N709" s="39"/>
      <c r="O709" s="39"/>
      <c r="P709" s="39"/>
      <c r="Q709" s="39"/>
    </row>
    <row r="710">
      <c r="D710" s="49"/>
      <c r="K710" s="39"/>
      <c r="L710" s="39"/>
      <c r="M710" s="39"/>
      <c r="N710" s="39"/>
      <c r="O710" s="39"/>
      <c r="P710" s="39"/>
      <c r="Q710" s="39"/>
    </row>
    <row r="711">
      <c r="D711" s="49"/>
      <c r="K711" s="39"/>
      <c r="L711" s="39"/>
      <c r="M711" s="39"/>
      <c r="N711" s="39"/>
      <c r="O711" s="39"/>
      <c r="P711" s="39"/>
      <c r="Q711" s="39"/>
    </row>
    <row r="712">
      <c r="D712" s="49"/>
      <c r="K712" s="39"/>
      <c r="L712" s="39"/>
      <c r="M712" s="39"/>
      <c r="N712" s="39"/>
      <c r="O712" s="39"/>
      <c r="P712" s="39"/>
      <c r="Q712" s="39"/>
    </row>
    <row r="713">
      <c r="D713" s="49"/>
      <c r="K713" s="39"/>
      <c r="L713" s="39"/>
      <c r="M713" s="39"/>
      <c r="N713" s="39"/>
      <c r="O713" s="39"/>
      <c r="P713" s="39"/>
      <c r="Q713" s="39"/>
    </row>
    <row r="714">
      <c r="D714" s="49"/>
      <c r="K714" s="39"/>
      <c r="L714" s="39"/>
      <c r="M714" s="39"/>
      <c r="N714" s="39"/>
      <c r="O714" s="39"/>
      <c r="P714" s="39"/>
      <c r="Q714" s="39"/>
    </row>
    <row r="715">
      <c r="D715" s="49"/>
      <c r="K715" s="39"/>
      <c r="L715" s="39"/>
      <c r="M715" s="39"/>
      <c r="N715" s="39"/>
      <c r="O715" s="39"/>
      <c r="P715" s="39"/>
      <c r="Q715" s="39"/>
    </row>
    <row r="716">
      <c r="D716" s="49"/>
      <c r="K716" s="39"/>
      <c r="L716" s="39"/>
      <c r="M716" s="39"/>
      <c r="N716" s="39"/>
      <c r="O716" s="39"/>
      <c r="P716" s="39"/>
      <c r="Q716" s="39"/>
    </row>
    <row r="717">
      <c r="D717" s="49"/>
      <c r="K717" s="39"/>
      <c r="L717" s="39"/>
      <c r="M717" s="39"/>
      <c r="N717" s="39"/>
      <c r="O717" s="39"/>
      <c r="P717" s="39"/>
      <c r="Q717" s="39"/>
    </row>
    <row r="718">
      <c r="D718" s="49"/>
      <c r="K718" s="39"/>
      <c r="L718" s="39"/>
      <c r="M718" s="39"/>
      <c r="N718" s="39"/>
      <c r="O718" s="39"/>
      <c r="P718" s="39"/>
      <c r="Q718" s="39"/>
    </row>
    <row r="719">
      <c r="D719" s="49"/>
      <c r="K719" s="39"/>
      <c r="L719" s="39"/>
      <c r="M719" s="39"/>
      <c r="N719" s="39"/>
      <c r="O719" s="39"/>
      <c r="P719" s="39"/>
      <c r="Q719" s="39"/>
    </row>
    <row r="720">
      <c r="D720" s="49"/>
      <c r="K720" s="39"/>
      <c r="L720" s="39"/>
      <c r="M720" s="39"/>
      <c r="N720" s="39"/>
      <c r="O720" s="39"/>
      <c r="P720" s="39"/>
      <c r="Q720" s="39"/>
    </row>
    <row r="721">
      <c r="D721" s="49"/>
      <c r="K721" s="39"/>
      <c r="L721" s="39"/>
      <c r="M721" s="39"/>
      <c r="N721" s="39"/>
      <c r="O721" s="39"/>
      <c r="P721" s="39"/>
      <c r="Q721" s="39"/>
    </row>
    <row r="722">
      <c r="D722" s="49"/>
      <c r="K722" s="39"/>
      <c r="L722" s="39"/>
      <c r="M722" s="39"/>
      <c r="N722" s="39"/>
      <c r="O722" s="39"/>
      <c r="P722" s="39"/>
      <c r="Q722" s="39"/>
    </row>
    <row r="723">
      <c r="D723" s="49"/>
      <c r="K723" s="39"/>
      <c r="L723" s="39"/>
      <c r="M723" s="39"/>
      <c r="N723" s="39"/>
      <c r="O723" s="39"/>
      <c r="P723" s="39"/>
      <c r="Q723" s="39"/>
    </row>
    <row r="724">
      <c r="D724" s="49"/>
      <c r="K724" s="39"/>
      <c r="L724" s="39"/>
      <c r="M724" s="39"/>
      <c r="N724" s="39"/>
      <c r="O724" s="39"/>
      <c r="P724" s="39"/>
      <c r="Q724" s="39"/>
    </row>
    <row r="725">
      <c r="D725" s="49"/>
      <c r="K725" s="39"/>
      <c r="L725" s="39"/>
      <c r="M725" s="39"/>
      <c r="N725" s="39"/>
      <c r="O725" s="39"/>
      <c r="P725" s="39"/>
      <c r="Q725" s="39"/>
    </row>
    <row r="726">
      <c r="D726" s="49"/>
      <c r="K726" s="39"/>
      <c r="L726" s="39"/>
      <c r="M726" s="39"/>
      <c r="N726" s="39"/>
      <c r="O726" s="39"/>
      <c r="P726" s="39"/>
      <c r="Q726" s="39"/>
    </row>
    <row r="727">
      <c r="D727" s="49"/>
      <c r="K727" s="39"/>
      <c r="L727" s="39"/>
      <c r="M727" s="39"/>
      <c r="N727" s="39"/>
      <c r="O727" s="39"/>
      <c r="P727" s="39"/>
      <c r="Q727" s="39"/>
    </row>
    <row r="728">
      <c r="D728" s="49"/>
      <c r="K728" s="39"/>
      <c r="L728" s="39"/>
      <c r="M728" s="39"/>
      <c r="N728" s="39"/>
      <c r="O728" s="39"/>
      <c r="P728" s="39"/>
      <c r="Q728" s="39"/>
    </row>
    <row r="729">
      <c r="D729" s="49"/>
      <c r="K729" s="39"/>
      <c r="L729" s="39"/>
      <c r="M729" s="39"/>
      <c r="N729" s="39"/>
      <c r="O729" s="39"/>
      <c r="P729" s="39"/>
      <c r="Q729" s="39"/>
    </row>
    <row r="730">
      <c r="D730" s="49"/>
      <c r="K730" s="39"/>
      <c r="L730" s="39"/>
      <c r="M730" s="39"/>
      <c r="N730" s="39"/>
      <c r="O730" s="39"/>
      <c r="P730" s="39"/>
      <c r="Q730" s="39"/>
    </row>
    <row r="731">
      <c r="D731" s="49"/>
      <c r="K731" s="39"/>
      <c r="L731" s="39"/>
      <c r="M731" s="39"/>
      <c r="N731" s="39"/>
      <c r="O731" s="39"/>
      <c r="P731" s="39"/>
      <c r="Q731" s="39"/>
    </row>
    <row r="732">
      <c r="D732" s="49"/>
      <c r="K732" s="39"/>
      <c r="L732" s="39"/>
      <c r="M732" s="39"/>
      <c r="N732" s="39"/>
      <c r="O732" s="39"/>
      <c r="P732" s="39"/>
      <c r="Q732" s="39"/>
    </row>
    <row r="733">
      <c r="D733" s="49"/>
      <c r="K733" s="39"/>
      <c r="L733" s="39"/>
      <c r="M733" s="39"/>
      <c r="N733" s="39"/>
      <c r="O733" s="39"/>
      <c r="P733" s="39"/>
      <c r="Q733" s="39"/>
    </row>
    <row r="734">
      <c r="D734" s="49"/>
      <c r="K734" s="39"/>
      <c r="L734" s="39"/>
      <c r="M734" s="39"/>
      <c r="N734" s="39"/>
      <c r="O734" s="39"/>
      <c r="P734" s="39"/>
      <c r="Q734" s="39"/>
    </row>
    <row r="735">
      <c r="D735" s="49"/>
      <c r="K735" s="39"/>
      <c r="L735" s="39"/>
      <c r="M735" s="39"/>
      <c r="N735" s="39"/>
      <c r="O735" s="39"/>
      <c r="P735" s="39"/>
      <c r="Q735" s="39"/>
    </row>
    <row r="736">
      <c r="D736" s="49"/>
      <c r="K736" s="39"/>
      <c r="L736" s="39"/>
      <c r="M736" s="39"/>
      <c r="N736" s="39"/>
      <c r="O736" s="39"/>
      <c r="P736" s="39"/>
      <c r="Q736" s="39"/>
    </row>
    <row r="737">
      <c r="D737" s="49"/>
      <c r="K737" s="39"/>
      <c r="L737" s="39"/>
      <c r="M737" s="39"/>
      <c r="N737" s="39"/>
      <c r="O737" s="39"/>
      <c r="P737" s="39"/>
      <c r="Q737" s="39"/>
    </row>
    <row r="738">
      <c r="D738" s="49"/>
      <c r="K738" s="39"/>
      <c r="L738" s="39"/>
      <c r="M738" s="39"/>
      <c r="N738" s="39"/>
      <c r="O738" s="39"/>
      <c r="P738" s="39"/>
      <c r="Q738" s="39"/>
    </row>
    <row r="739">
      <c r="D739" s="49"/>
      <c r="K739" s="39"/>
      <c r="L739" s="39"/>
      <c r="M739" s="39"/>
      <c r="N739" s="39"/>
      <c r="O739" s="39"/>
      <c r="P739" s="39"/>
      <c r="Q739" s="39"/>
    </row>
    <row r="740">
      <c r="D740" s="49"/>
      <c r="K740" s="39"/>
      <c r="L740" s="39"/>
      <c r="M740" s="39"/>
      <c r="N740" s="39"/>
      <c r="O740" s="39"/>
      <c r="P740" s="39"/>
      <c r="Q740" s="39"/>
    </row>
    <row r="741">
      <c r="D741" s="49"/>
      <c r="K741" s="39"/>
      <c r="L741" s="39"/>
      <c r="M741" s="39"/>
      <c r="N741" s="39"/>
      <c r="O741" s="39"/>
      <c r="P741" s="39"/>
      <c r="Q741" s="39"/>
    </row>
    <row r="742">
      <c r="D742" s="49"/>
      <c r="K742" s="39"/>
      <c r="L742" s="39"/>
      <c r="M742" s="39"/>
      <c r="N742" s="39"/>
      <c r="O742" s="39"/>
      <c r="P742" s="39"/>
      <c r="Q742" s="39"/>
    </row>
    <row r="743">
      <c r="D743" s="49"/>
      <c r="K743" s="39"/>
      <c r="L743" s="39"/>
      <c r="M743" s="39"/>
      <c r="N743" s="39"/>
      <c r="O743" s="39"/>
      <c r="P743" s="39"/>
      <c r="Q743" s="39"/>
    </row>
    <row r="744">
      <c r="D744" s="49"/>
      <c r="K744" s="39"/>
      <c r="L744" s="39"/>
      <c r="M744" s="39"/>
      <c r="N744" s="39"/>
      <c r="O744" s="39"/>
      <c r="P744" s="39"/>
      <c r="Q744" s="39"/>
    </row>
    <row r="745">
      <c r="D745" s="49"/>
      <c r="K745" s="39"/>
      <c r="L745" s="39"/>
      <c r="M745" s="39"/>
      <c r="N745" s="39"/>
      <c r="O745" s="39"/>
      <c r="P745" s="39"/>
      <c r="Q745" s="39"/>
    </row>
    <row r="746">
      <c r="D746" s="49"/>
      <c r="K746" s="39"/>
      <c r="L746" s="39"/>
      <c r="M746" s="39"/>
      <c r="N746" s="39"/>
      <c r="O746" s="39"/>
      <c r="P746" s="39"/>
      <c r="Q746" s="39"/>
    </row>
    <row r="747">
      <c r="D747" s="49"/>
      <c r="K747" s="39"/>
      <c r="L747" s="39"/>
      <c r="M747" s="39"/>
      <c r="N747" s="39"/>
      <c r="O747" s="39"/>
      <c r="P747" s="39"/>
      <c r="Q747" s="39"/>
    </row>
    <row r="748">
      <c r="D748" s="49"/>
      <c r="K748" s="39"/>
      <c r="L748" s="39"/>
      <c r="M748" s="39"/>
      <c r="N748" s="39"/>
      <c r="O748" s="39"/>
      <c r="P748" s="39"/>
      <c r="Q748" s="39"/>
    </row>
    <row r="749">
      <c r="D749" s="49"/>
      <c r="K749" s="39"/>
      <c r="L749" s="39"/>
      <c r="M749" s="39"/>
      <c r="N749" s="39"/>
      <c r="O749" s="39"/>
      <c r="P749" s="39"/>
      <c r="Q749" s="39"/>
    </row>
    <row r="750">
      <c r="D750" s="49"/>
      <c r="K750" s="39"/>
      <c r="L750" s="39"/>
      <c r="M750" s="39"/>
      <c r="N750" s="39"/>
      <c r="O750" s="39"/>
      <c r="P750" s="39"/>
      <c r="Q750" s="39"/>
    </row>
    <row r="751">
      <c r="D751" s="49"/>
      <c r="K751" s="39"/>
      <c r="L751" s="39"/>
      <c r="M751" s="39"/>
      <c r="N751" s="39"/>
      <c r="O751" s="39"/>
      <c r="P751" s="39"/>
      <c r="Q751" s="39"/>
    </row>
    <row r="752">
      <c r="D752" s="49"/>
      <c r="K752" s="39"/>
      <c r="L752" s="39"/>
      <c r="M752" s="39"/>
      <c r="N752" s="39"/>
      <c r="O752" s="39"/>
      <c r="P752" s="39"/>
      <c r="Q752" s="39"/>
    </row>
    <row r="753">
      <c r="D753" s="49"/>
      <c r="K753" s="39"/>
      <c r="L753" s="39"/>
      <c r="M753" s="39"/>
      <c r="N753" s="39"/>
      <c r="O753" s="39"/>
      <c r="P753" s="39"/>
      <c r="Q753" s="39"/>
    </row>
    <row r="754">
      <c r="D754" s="49"/>
      <c r="K754" s="39"/>
      <c r="L754" s="39"/>
      <c r="M754" s="39"/>
      <c r="N754" s="39"/>
      <c r="O754" s="39"/>
      <c r="P754" s="39"/>
      <c r="Q754" s="39"/>
    </row>
    <row r="755">
      <c r="D755" s="49"/>
      <c r="K755" s="39"/>
      <c r="L755" s="39"/>
      <c r="M755" s="39"/>
      <c r="N755" s="39"/>
      <c r="O755" s="39"/>
      <c r="P755" s="39"/>
      <c r="Q755" s="39"/>
    </row>
    <row r="756">
      <c r="D756" s="49"/>
      <c r="K756" s="39"/>
      <c r="L756" s="39"/>
      <c r="M756" s="39"/>
      <c r="N756" s="39"/>
      <c r="O756" s="39"/>
      <c r="P756" s="39"/>
      <c r="Q756" s="39"/>
    </row>
    <row r="757">
      <c r="D757" s="49"/>
      <c r="K757" s="39"/>
      <c r="L757" s="39"/>
      <c r="M757" s="39"/>
      <c r="N757" s="39"/>
      <c r="O757" s="39"/>
      <c r="P757" s="39"/>
      <c r="Q757" s="39"/>
    </row>
    <row r="758">
      <c r="D758" s="49"/>
      <c r="K758" s="39"/>
      <c r="L758" s="39"/>
      <c r="M758" s="39"/>
      <c r="N758" s="39"/>
      <c r="O758" s="39"/>
      <c r="P758" s="39"/>
      <c r="Q758" s="39"/>
    </row>
    <row r="759">
      <c r="D759" s="49"/>
      <c r="K759" s="39"/>
      <c r="L759" s="39"/>
      <c r="M759" s="39"/>
      <c r="N759" s="39"/>
      <c r="O759" s="39"/>
      <c r="P759" s="39"/>
      <c r="Q759" s="39"/>
    </row>
    <row r="760">
      <c r="D760" s="49"/>
      <c r="K760" s="39"/>
      <c r="L760" s="39"/>
      <c r="M760" s="39"/>
      <c r="N760" s="39"/>
      <c r="O760" s="39"/>
      <c r="P760" s="39"/>
      <c r="Q760" s="39"/>
    </row>
    <row r="761">
      <c r="D761" s="49"/>
      <c r="K761" s="39"/>
      <c r="L761" s="39"/>
      <c r="M761" s="39"/>
      <c r="N761" s="39"/>
      <c r="O761" s="39"/>
      <c r="P761" s="39"/>
      <c r="Q761" s="39"/>
    </row>
    <row r="762">
      <c r="D762" s="49"/>
      <c r="K762" s="39"/>
      <c r="L762" s="39"/>
      <c r="M762" s="39"/>
      <c r="N762" s="39"/>
      <c r="O762" s="39"/>
      <c r="P762" s="39"/>
      <c r="Q762" s="39"/>
    </row>
    <row r="763">
      <c r="D763" s="49"/>
      <c r="K763" s="39"/>
      <c r="L763" s="39"/>
      <c r="M763" s="39"/>
      <c r="N763" s="39"/>
      <c r="O763" s="39"/>
      <c r="P763" s="39"/>
      <c r="Q763" s="39"/>
    </row>
    <row r="764">
      <c r="D764" s="49"/>
      <c r="K764" s="39"/>
      <c r="L764" s="39"/>
      <c r="M764" s="39"/>
      <c r="N764" s="39"/>
      <c r="O764" s="39"/>
      <c r="P764" s="39"/>
      <c r="Q764" s="39"/>
    </row>
    <row r="765">
      <c r="D765" s="49"/>
      <c r="K765" s="39"/>
      <c r="L765" s="39"/>
      <c r="M765" s="39"/>
      <c r="N765" s="39"/>
      <c r="O765" s="39"/>
      <c r="P765" s="39"/>
      <c r="Q765" s="39"/>
    </row>
    <row r="766">
      <c r="D766" s="49"/>
      <c r="K766" s="39"/>
      <c r="L766" s="39"/>
      <c r="M766" s="39"/>
      <c r="N766" s="39"/>
      <c r="O766" s="39"/>
      <c r="P766" s="39"/>
      <c r="Q766" s="39"/>
    </row>
    <row r="767">
      <c r="D767" s="49"/>
      <c r="K767" s="39"/>
      <c r="L767" s="39"/>
      <c r="M767" s="39"/>
      <c r="N767" s="39"/>
      <c r="O767" s="39"/>
      <c r="P767" s="39"/>
      <c r="Q767" s="39"/>
    </row>
    <row r="768">
      <c r="D768" s="49"/>
      <c r="K768" s="39"/>
      <c r="L768" s="39"/>
      <c r="M768" s="39"/>
      <c r="N768" s="39"/>
      <c r="O768" s="39"/>
      <c r="P768" s="39"/>
      <c r="Q768" s="39"/>
    </row>
    <row r="769">
      <c r="D769" s="49"/>
      <c r="K769" s="39"/>
      <c r="L769" s="39"/>
      <c r="M769" s="39"/>
      <c r="N769" s="39"/>
      <c r="O769" s="39"/>
      <c r="P769" s="39"/>
      <c r="Q769" s="39"/>
    </row>
    <row r="770">
      <c r="D770" s="49"/>
      <c r="K770" s="39"/>
      <c r="L770" s="39"/>
      <c r="M770" s="39"/>
      <c r="N770" s="39"/>
      <c r="O770" s="39"/>
      <c r="P770" s="39"/>
      <c r="Q770" s="39"/>
    </row>
    <row r="771">
      <c r="D771" s="49"/>
      <c r="K771" s="39"/>
      <c r="L771" s="39"/>
      <c r="M771" s="39"/>
      <c r="N771" s="39"/>
      <c r="O771" s="39"/>
      <c r="P771" s="39"/>
      <c r="Q771" s="39"/>
    </row>
    <row r="772">
      <c r="D772" s="49"/>
      <c r="K772" s="39"/>
      <c r="L772" s="39"/>
      <c r="M772" s="39"/>
      <c r="N772" s="39"/>
      <c r="O772" s="39"/>
      <c r="P772" s="39"/>
      <c r="Q772" s="39"/>
    </row>
    <row r="773">
      <c r="D773" s="49"/>
      <c r="K773" s="39"/>
      <c r="L773" s="39"/>
      <c r="M773" s="39"/>
      <c r="N773" s="39"/>
      <c r="O773" s="39"/>
      <c r="P773" s="39"/>
      <c r="Q773" s="39"/>
    </row>
    <row r="774">
      <c r="D774" s="49"/>
      <c r="K774" s="39"/>
      <c r="L774" s="39"/>
      <c r="M774" s="39"/>
      <c r="N774" s="39"/>
      <c r="O774" s="39"/>
      <c r="P774" s="39"/>
      <c r="Q774" s="39"/>
    </row>
    <row r="775">
      <c r="D775" s="49"/>
      <c r="K775" s="39"/>
      <c r="L775" s="39"/>
      <c r="M775" s="39"/>
      <c r="N775" s="39"/>
      <c r="O775" s="39"/>
      <c r="P775" s="39"/>
      <c r="Q775" s="39"/>
    </row>
    <row r="776">
      <c r="D776" s="49"/>
      <c r="K776" s="39"/>
      <c r="L776" s="39"/>
      <c r="M776" s="39"/>
      <c r="N776" s="39"/>
      <c r="O776" s="39"/>
      <c r="P776" s="39"/>
      <c r="Q776" s="39"/>
    </row>
    <row r="777">
      <c r="D777" s="49"/>
      <c r="K777" s="39"/>
      <c r="L777" s="39"/>
      <c r="M777" s="39"/>
      <c r="N777" s="39"/>
      <c r="O777" s="39"/>
      <c r="P777" s="39"/>
      <c r="Q777" s="39"/>
    </row>
    <row r="778">
      <c r="D778" s="49"/>
      <c r="K778" s="39"/>
      <c r="L778" s="39"/>
      <c r="M778" s="39"/>
      <c r="N778" s="39"/>
      <c r="O778" s="39"/>
      <c r="P778" s="39"/>
      <c r="Q778" s="39"/>
    </row>
    <row r="779">
      <c r="D779" s="49"/>
      <c r="K779" s="39"/>
      <c r="L779" s="39"/>
      <c r="M779" s="39"/>
      <c r="N779" s="39"/>
      <c r="O779" s="39"/>
      <c r="P779" s="39"/>
      <c r="Q779" s="39"/>
    </row>
    <row r="780">
      <c r="D780" s="49"/>
      <c r="K780" s="39"/>
      <c r="L780" s="39"/>
      <c r="M780" s="39"/>
      <c r="N780" s="39"/>
      <c r="O780" s="39"/>
      <c r="P780" s="39"/>
      <c r="Q780" s="39"/>
    </row>
    <row r="781">
      <c r="D781" s="49"/>
      <c r="K781" s="39"/>
      <c r="L781" s="39"/>
      <c r="M781" s="39"/>
      <c r="N781" s="39"/>
      <c r="O781" s="39"/>
      <c r="P781" s="39"/>
      <c r="Q781" s="39"/>
    </row>
    <row r="782">
      <c r="D782" s="49"/>
      <c r="K782" s="39"/>
      <c r="L782" s="39"/>
      <c r="M782" s="39"/>
      <c r="N782" s="39"/>
      <c r="O782" s="39"/>
      <c r="P782" s="39"/>
      <c r="Q782" s="39"/>
    </row>
    <row r="783">
      <c r="D783" s="49"/>
      <c r="K783" s="39"/>
      <c r="L783" s="39"/>
      <c r="M783" s="39"/>
      <c r="N783" s="39"/>
      <c r="O783" s="39"/>
      <c r="P783" s="39"/>
      <c r="Q783" s="39"/>
    </row>
    <row r="784">
      <c r="D784" s="49"/>
      <c r="K784" s="39"/>
      <c r="L784" s="39"/>
      <c r="M784" s="39"/>
      <c r="N784" s="39"/>
      <c r="O784" s="39"/>
      <c r="P784" s="39"/>
      <c r="Q784" s="39"/>
    </row>
    <row r="785">
      <c r="D785" s="49"/>
      <c r="K785" s="39"/>
      <c r="L785" s="39"/>
      <c r="M785" s="39"/>
      <c r="N785" s="39"/>
      <c r="O785" s="39"/>
      <c r="P785" s="39"/>
      <c r="Q785" s="39"/>
    </row>
    <row r="786">
      <c r="D786" s="49"/>
      <c r="K786" s="39"/>
      <c r="L786" s="39"/>
      <c r="M786" s="39"/>
      <c r="N786" s="39"/>
      <c r="O786" s="39"/>
      <c r="P786" s="39"/>
      <c r="Q786" s="39"/>
    </row>
    <row r="787">
      <c r="D787" s="49"/>
      <c r="K787" s="39"/>
      <c r="L787" s="39"/>
      <c r="M787" s="39"/>
      <c r="N787" s="39"/>
      <c r="O787" s="39"/>
      <c r="P787" s="39"/>
      <c r="Q787" s="39"/>
    </row>
    <row r="788">
      <c r="D788" s="49"/>
      <c r="K788" s="39"/>
      <c r="L788" s="39"/>
      <c r="M788" s="39"/>
      <c r="N788" s="39"/>
      <c r="O788" s="39"/>
      <c r="P788" s="39"/>
      <c r="Q788" s="39"/>
    </row>
    <row r="789">
      <c r="D789" s="49"/>
      <c r="K789" s="39"/>
      <c r="L789" s="39"/>
      <c r="M789" s="39"/>
      <c r="N789" s="39"/>
      <c r="O789" s="39"/>
      <c r="P789" s="39"/>
      <c r="Q789" s="39"/>
    </row>
    <row r="790">
      <c r="D790" s="49"/>
      <c r="K790" s="39"/>
      <c r="L790" s="39"/>
      <c r="M790" s="39"/>
      <c r="N790" s="39"/>
      <c r="O790" s="39"/>
      <c r="P790" s="39"/>
      <c r="Q790" s="39"/>
    </row>
    <row r="791">
      <c r="D791" s="49"/>
      <c r="K791" s="39"/>
      <c r="L791" s="39"/>
      <c r="M791" s="39"/>
      <c r="N791" s="39"/>
      <c r="O791" s="39"/>
      <c r="P791" s="39"/>
      <c r="Q791" s="39"/>
    </row>
    <row r="792">
      <c r="D792" s="49"/>
      <c r="K792" s="39"/>
      <c r="L792" s="39"/>
      <c r="M792" s="39"/>
      <c r="N792" s="39"/>
      <c r="O792" s="39"/>
      <c r="P792" s="39"/>
      <c r="Q792" s="39"/>
    </row>
    <row r="793">
      <c r="D793" s="49"/>
      <c r="K793" s="39"/>
      <c r="L793" s="39"/>
      <c r="M793" s="39"/>
      <c r="N793" s="39"/>
      <c r="O793" s="39"/>
      <c r="P793" s="39"/>
      <c r="Q793" s="39"/>
    </row>
    <row r="794">
      <c r="D794" s="49"/>
      <c r="K794" s="39"/>
      <c r="L794" s="39"/>
      <c r="M794" s="39"/>
      <c r="N794" s="39"/>
      <c r="O794" s="39"/>
      <c r="P794" s="39"/>
      <c r="Q794" s="39"/>
    </row>
    <row r="795">
      <c r="D795" s="49"/>
      <c r="K795" s="39"/>
      <c r="L795" s="39"/>
      <c r="M795" s="39"/>
      <c r="N795" s="39"/>
      <c r="O795" s="39"/>
      <c r="P795" s="39"/>
      <c r="Q795" s="39"/>
    </row>
    <row r="796">
      <c r="D796" s="49"/>
      <c r="K796" s="39"/>
      <c r="L796" s="39"/>
      <c r="M796" s="39"/>
      <c r="N796" s="39"/>
      <c r="O796" s="39"/>
      <c r="P796" s="39"/>
      <c r="Q796" s="39"/>
    </row>
    <row r="797">
      <c r="D797" s="49"/>
      <c r="K797" s="39"/>
      <c r="L797" s="39"/>
      <c r="M797" s="39"/>
      <c r="N797" s="39"/>
      <c r="O797" s="39"/>
      <c r="P797" s="39"/>
      <c r="Q797" s="39"/>
    </row>
    <row r="798">
      <c r="D798" s="49"/>
      <c r="K798" s="39"/>
      <c r="L798" s="39"/>
      <c r="M798" s="39"/>
      <c r="N798" s="39"/>
      <c r="O798" s="39"/>
      <c r="P798" s="39"/>
      <c r="Q798" s="39"/>
    </row>
    <row r="799">
      <c r="D799" s="49"/>
      <c r="K799" s="39"/>
      <c r="L799" s="39"/>
      <c r="M799" s="39"/>
      <c r="N799" s="39"/>
      <c r="O799" s="39"/>
      <c r="P799" s="39"/>
      <c r="Q799" s="39"/>
    </row>
    <row r="800">
      <c r="D800" s="49"/>
      <c r="K800" s="39"/>
      <c r="L800" s="39"/>
      <c r="M800" s="39"/>
      <c r="N800" s="39"/>
      <c r="O800" s="39"/>
      <c r="P800" s="39"/>
      <c r="Q800" s="39"/>
    </row>
    <row r="801">
      <c r="D801" s="49"/>
      <c r="K801" s="39"/>
      <c r="L801" s="39"/>
      <c r="M801" s="39"/>
      <c r="N801" s="39"/>
      <c r="O801" s="39"/>
      <c r="P801" s="39"/>
      <c r="Q801" s="39"/>
    </row>
    <row r="802">
      <c r="D802" s="49"/>
      <c r="K802" s="39"/>
      <c r="L802" s="39"/>
      <c r="M802" s="39"/>
      <c r="N802" s="39"/>
      <c r="O802" s="39"/>
      <c r="P802" s="39"/>
      <c r="Q802" s="39"/>
    </row>
    <row r="803">
      <c r="D803" s="49"/>
      <c r="K803" s="39"/>
      <c r="L803" s="39"/>
      <c r="M803" s="39"/>
      <c r="N803" s="39"/>
      <c r="O803" s="39"/>
      <c r="P803" s="39"/>
      <c r="Q803" s="39"/>
    </row>
    <row r="804">
      <c r="D804" s="49"/>
      <c r="K804" s="39"/>
      <c r="L804" s="39"/>
      <c r="M804" s="39"/>
      <c r="N804" s="39"/>
      <c r="O804" s="39"/>
      <c r="P804" s="39"/>
      <c r="Q804" s="39"/>
    </row>
    <row r="805">
      <c r="D805" s="49"/>
      <c r="K805" s="39"/>
      <c r="L805" s="39"/>
      <c r="M805" s="39"/>
      <c r="N805" s="39"/>
      <c r="O805" s="39"/>
      <c r="P805" s="39"/>
      <c r="Q805" s="39"/>
    </row>
    <row r="806">
      <c r="D806" s="49"/>
      <c r="K806" s="39"/>
      <c r="L806" s="39"/>
      <c r="M806" s="39"/>
      <c r="N806" s="39"/>
      <c r="O806" s="39"/>
      <c r="P806" s="39"/>
      <c r="Q806" s="39"/>
    </row>
    <row r="807">
      <c r="D807" s="49"/>
      <c r="K807" s="39"/>
      <c r="L807" s="39"/>
      <c r="M807" s="39"/>
      <c r="N807" s="39"/>
      <c r="O807" s="39"/>
      <c r="P807" s="39"/>
      <c r="Q807" s="39"/>
    </row>
    <row r="808">
      <c r="D808" s="49"/>
      <c r="K808" s="39"/>
      <c r="L808" s="39"/>
      <c r="M808" s="39"/>
      <c r="N808" s="39"/>
      <c r="O808" s="39"/>
      <c r="P808" s="39"/>
      <c r="Q808" s="39"/>
    </row>
    <row r="809">
      <c r="D809" s="49"/>
      <c r="K809" s="39"/>
      <c r="L809" s="39"/>
      <c r="M809" s="39"/>
      <c r="N809" s="39"/>
      <c r="O809" s="39"/>
      <c r="P809" s="39"/>
      <c r="Q809" s="39"/>
    </row>
    <row r="810">
      <c r="D810" s="49"/>
      <c r="K810" s="39"/>
      <c r="L810" s="39"/>
      <c r="M810" s="39"/>
      <c r="N810" s="39"/>
      <c r="O810" s="39"/>
      <c r="P810" s="39"/>
      <c r="Q810" s="39"/>
    </row>
    <row r="811">
      <c r="D811" s="49"/>
      <c r="K811" s="39"/>
      <c r="L811" s="39"/>
      <c r="M811" s="39"/>
      <c r="N811" s="39"/>
      <c r="O811" s="39"/>
      <c r="P811" s="39"/>
      <c r="Q811" s="39"/>
    </row>
    <row r="812">
      <c r="D812" s="49"/>
      <c r="K812" s="39"/>
      <c r="L812" s="39"/>
      <c r="M812" s="39"/>
      <c r="N812" s="39"/>
      <c r="O812" s="39"/>
      <c r="P812" s="39"/>
      <c r="Q812" s="39"/>
    </row>
    <row r="813">
      <c r="D813" s="49"/>
      <c r="K813" s="39"/>
      <c r="L813" s="39"/>
      <c r="M813" s="39"/>
      <c r="N813" s="39"/>
      <c r="O813" s="39"/>
      <c r="P813" s="39"/>
      <c r="Q813" s="39"/>
    </row>
    <row r="814">
      <c r="D814" s="49"/>
      <c r="K814" s="39"/>
      <c r="L814" s="39"/>
      <c r="M814" s="39"/>
      <c r="N814" s="39"/>
      <c r="O814" s="39"/>
      <c r="P814" s="39"/>
      <c r="Q814" s="39"/>
    </row>
    <row r="815">
      <c r="D815" s="49"/>
      <c r="K815" s="39"/>
      <c r="L815" s="39"/>
      <c r="M815" s="39"/>
      <c r="N815" s="39"/>
      <c r="O815" s="39"/>
      <c r="P815" s="39"/>
      <c r="Q815" s="39"/>
    </row>
    <row r="816">
      <c r="D816" s="49"/>
      <c r="K816" s="39"/>
      <c r="L816" s="39"/>
      <c r="M816" s="39"/>
      <c r="N816" s="39"/>
      <c r="O816" s="39"/>
      <c r="P816" s="39"/>
      <c r="Q816" s="39"/>
    </row>
    <row r="817">
      <c r="D817" s="49"/>
      <c r="K817" s="39"/>
      <c r="L817" s="39"/>
      <c r="M817" s="39"/>
      <c r="N817" s="39"/>
      <c r="O817" s="39"/>
      <c r="P817" s="39"/>
      <c r="Q817" s="39"/>
    </row>
    <row r="818">
      <c r="D818" s="49"/>
      <c r="K818" s="39"/>
      <c r="L818" s="39"/>
      <c r="M818" s="39"/>
      <c r="N818" s="39"/>
      <c r="O818" s="39"/>
      <c r="P818" s="39"/>
      <c r="Q818" s="39"/>
    </row>
    <row r="819">
      <c r="D819" s="49"/>
      <c r="K819" s="39"/>
      <c r="L819" s="39"/>
      <c r="M819" s="39"/>
      <c r="N819" s="39"/>
      <c r="O819" s="39"/>
      <c r="P819" s="39"/>
      <c r="Q819" s="39"/>
    </row>
    <row r="820">
      <c r="D820" s="49"/>
      <c r="K820" s="39"/>
      <c r="L820" s="39"/>
      <c r="M820" s="39"/>
      <c r="N820" s="39"/>
      <c r="O820" s="39"/>
      <c r="P820" s="39"/>
      <c r="Q820" s="39"/>
    </row>
    <row r="821">
      <c r="D821" s="49"/>
      <c r="K821" s="39"/>
      <c r="L821" s="39"/>
      <c r="M821" s="39"/>
      <c r="N821" s="39"/>
      <c r="O821" s="39"/>
      <c r="P821" s="39"/>
      <c r="Q821" s="39"/>
    </row>
    <row r="822">
      <c r="D822" s="49"/>
      <c r="K822" s="39"/>
      <c r="L822" s="39"/>
      <c r="M822" s="39"/>
      <c r="N822" s="39"/>
      <c r="O822" s="39"/>
      <c r="P822" s="39"/>
      <c r="Q822" s="39"/>
    </row>
    <row r="823">
      <c r="D823" s="49"/>
      <c r="K823" s="39"/>
      <c r="L823" s="39"/>
      <c r="M823" s="39"/>
      <c r="N823" s="39"/>
      <c r="O823" s="39"/>
      <c r="P823" s="39"/>
      <c r="Q823" s="39"/>
    </row>
    <row r="824">
      <c r="D824" s="49"/>
      <c r="K824" s="39"/>
      <c r="L824" s="39"/>
      <c r="M824" s="39"/>
      <c r="N824" s="39"/>
      <c r="O824" s="39"/>
      <c r="P824" s="39"/>
      <c r="Q824" s="39"/>
    </row>
    <row r="825">
      <c r="D825" s="49"/>
      <c r="K825" s="39"/>
      <c r="L825" s="39"/>
      <c r="M825" s="39"/>
      <c r="N825" s="39"/>
      <c r="O825" s="39"/>
      <c r="P825" s="39"/>
      <c r="Q825" s="39"/>
    </row>
    <row r="826">
      <c r="D826" s="49"/>
      <c r="K826" s="39"/>
      <c r="L826" s="39"/>
      <c r="M826" s="39"/>
      <c r="N826" s="39"/>
      <c r="O826" s="39"/>
      <c r="P826" s="39"/>
      <c r="Q826" s="39"/>
    </row>
    <row r="827">
      <c r="D827" s="49"/>
      <c r="K827" s="39"/>
      <c r="L827" s="39"/>
      <c r="M827" s="39"/>
      <c r="N827" s="39"/>
      <c r="O827" s="39"/>
      <c r="P827" s="39"/>
      <c r="Q827" s="39"/>
    </row>
    <row r="828">
      <c r="D828" s="49"/>
      <c r="K828" s="39"/>
      <c r="L828" s="39"/>
      <c r="M828" s="39"/>
      <c r="N828" s="39"/>
      <c r="O828" s="39"/>
      <c r="P828" s="39"/>
      <c r="Q828" s="39"/>
    </row>
    <row r="829">
      <c r="D829" s="49"/>
      <c r="K829" s="39"/>
      <c r="L829" s="39"/>
      <c r="M829" s="39"/>
      <c r="N829" s="39"/>
      <c r="O829" s="39"/>
      <c r="P829" s="39"/>
      <c r="Q829" s="39"/>
    </row>
    <row r="830">
      <c r="D830" s="49"/>
      <c r="K830" s="39"/>
      <c r="L830" s="39"/>
      <c r="M830" s="39"/>
      <c r="N830" s="39"/>
      <c r="O830" s="39"/>
      <c r="P830" s="39"/>
      <c r="Q830" s="39"/>
    </row>
    <row r="831">
      <c r="D831" s="49"/>
      <c r="K831" s="39"/>
      <c r="L831" s="39"/>
      <c r="M831" s="39"/>
      <c r="N831" s="39"/>
      <c r="O831" s="39"/>
      <c r="P831" s="39"/>
      <c r="Q831" s="39"/>
    </row>
    <row r="832">
      <c r="D832" s="49"/>
      <c r="K832" s="39"/>
      <c r="L832" s="39"/>
      <c r="M832" s="39"/>
      <c r="N832" s="39"/>
      <c r="O832" s="39"/>
      <c r="P832" s="39"/>
      <c r="Q832" s="39"/>
    </row>
    <row r="833">
      <c r="D833" s="49"/>
      <c r="K833" s="39"/>
      <c r="L833" s="39"/>
      <c r="M833" s="39"/>
      <c r="N833" s="39"/>
      <c r="O833" s="39"/>
      <c r="P833" s="39"/>
      <c r="Q833" s="39"/>
    </row>
    <row r="834">
      <c r="D834" s="49"/>
      <c r="K834" s="39"/>
      <c r="L834" s="39"/>
      <c r="M834" s="39"/>
      <c r="N834" s="39"/>
      <c r="O834" s="39"/>
      <c r="P834" s="39"/>
      <c r="Q834" s="39"/>
    </row>
    <row r="835">
      <c r="D835" s="49"/>
      <c r="K835" s="39"/>
      <c r="L835" s="39"/>
      <c r="M835" s="39"/>
      <c r="N835" s="39"/>
      <c r="O835" s="39"/>
      <c r="P835" s="39"/>
      <c r="Q835" s="39"/>
    </row>
    <row r="836">
      <c r="D836" s="49"/>
      <c r="K836" s="39"/>
      <c r="L836" s="39"/>
      <c r="M836" s="39"/>
      <c r="N836" s="39"/>
      <c r="O836" s="39"/>
      <c r="P836" s="39"/>
      <c r="Q836" s="39"/>
    </row>
    <row r="837">
      <c r="D837" s="49"/>
      <c r="K837" s="39"/>
      <c r="L837" s="39"/>
      <c r="M837" s="39"/>
      <c r="N837" s="39"/>
      <c r="O837" s="39"/>
      <c r="P837" s="39"/>
      <c r="Q837" s="39"/>
    </row>
    <row r="838">
      <c r="D838" s="49"/>
      <c r="K838" s="39"/>
      <c r="L838" s="39"/>
      <c r="M838" s="39"/>
      <c r="N838" s="39"/>
      <c r="O838" s="39"/>
      <c r="P838" s="39"/>
      <c r="Q838" s="39"/>
    </row>
    <row r="839">
      <c r="D839" s="49"/>
      <c r="K839" s="39"/>
      <c r="L839" s="39"/>
      <c r="M839" s="39"/>
      <c r="N839" s="39"/>
      <c r="O839" s="39"/>
      <c r="P839" s="39"/>
      <c r="Q839" s="39"/>
    </row>
    <row r="840">
      <c r="D840" s="49"/>
      <c r="K840" s="39"/>
      <c r="L840" s="39"/>
      <c r="M840" s="39"/>
      <c r="N840" s="39"/>
      <c r="O840" s="39"/>
      <c r="P840" s="39"/>
      <c r="Q840" s="39"/>
    </row>
    <row r="841">
      <c r="D841" s="49"/>
      <c r="K841" s="39"/>
      <c r="L841" s="39"/>
      <c r="M841" s="39"/>
      <c r="N841" s="39"/>
      <c r="O841" s="39"/>
      <c r="P841" s="39"/>
      <c r="Q841" s="39"/>
    </row>
    <row r="842">
      <c r="D842" s="49"/>
      <c r="K842" s="39"/>
      <c r="L842" s="39"/>
      <c r="M842" s="39"/>
      <c r="N842" s="39"/>
      <c r="O842" s="39"/>
      <c r="P842" s="39"/>
      <c r="Q842" s="39"/>
    </row>
    <row r="843">
      <c r="D843" s="49"/>
      <c r="K843" s="39"/>
      <c r="L843" s="39"/>
      <c r="M843" s="39"/>
      <c r="N843" s="39"/>
      <c r="O843" s="39"/>
      <c r="P843" s="39"/>
      <c r="Q843" s="39"/>
    </row>
    <row r="844">
      <c r="D844" s="49"/>
      <c r="K844" s="39"/>
      <c r="L844" s="39"/>
      <c r="M844" s="39"/>
      <c r="N844" s="39"/>
      <c r="O844" s="39"/>
      <c r="P844" s="39"/>
      <c r="Q844" s="39"/>
    </row>
    <row r="845">
      <c r="D845" s="49"/>
      <c r="K845" s="39"/>
      <c r="L845" s="39"/>
      <c r="M845" s="39"/>
      <c r="N845" s="39"/>
      <c r="O845" s="39"/>
      <c r="P845" s="39"/>
      <c r="Q845" s="39"/>
    </row>
    <row r="846">
      <c r="D846" s="49"/>
      <c r="K846" s="39"/>
      <c r="L846" s="39"/>
      <c r="M846" s="39"/>
      <c r="N846" s="39"/>
      <c r="O846" s="39"/>
      <c r="P846" s="39"/>
      <c r="Q846" s="39"/>
    </row>
    <row r="847">
      <c r="D847" s="49"/>
      <c r="K847" s="39"/>
      <c r="L847" s="39"/>
      <c r="M847" s="39"/>
      <c r="N847" s="39"/>
      <c r="O847" s="39"/>
      <c r="P847" s="39"/>
      <c r="Q847" s="39"/>
    </row>
    <row r="848">
      <c r="D848" s="49"/>
      <c r="K848" s="39"/>
      <c r="L848" s="39"/>
      <c r="M848" s="39"/>
      <c r="N848" s="39"/>
      <c r="O848" s="39"/>
      <c r="P848" s="39"/>
      <c r="Q848" s="39"/>
    </row>
    <row r="849">
      <c r="D849" s="49"/>
      <c r="K849" s="39"/>
      <c r="L849" s="39"/>
      <c r="M849" s="39"/>
      <c r="N849" s="39"/>
      <c r="O849" s="39"/>
      <c r="P849" s="39"/>
      <c r="Q849" s="39"/>
    </row>
    <row r="850">
      <c r="D850" s="49"/>
      <c r="K850" s="39"/>
      <c r="L850" s="39"/>
      <c r="M850" s="39"/>
      <c r="N850" s="39"/>
      <c r="O850" s="39"/>
      <c r="P850" s="39"/>
      <c r="Q850" s="39"/>
    </row>
    <row r="851">
      <c r="D851" s="49"/>
      <c r="K851" s="39"/>
      <c r="L851" s="39"/>
      <c r="M851" s="39"/>
      <c r="N851" s="39"/>
      <c r="O851" s="39"/>
      <c r="P851" s="39"/>
      <c r="Q851" s="39"/>
    </row>
    <row r="852">
      <c r="D852" s="49"/>
      <c r="K852" s="39"/>
      <c r="L852" s="39"/>
      <c r="M852" s="39"/>
      <c r="N852" s="39"/>
      <c r="O852" s="39"/>
      <c r="P852" s="39"/>
      <c r="Q852" s="39"/>
    </row>
    <row r="853">
      <c r="D853" s="49"/>
      <c r="K853" s="39"/>
      <c r="L853" s="39"/>
      <c r="M853" s="39"/>
      <c r="N853" s="39"/>
      <c r="O853" s="39"/>
      <c r="P853" s="39"/>
      <c r="Q853" s="39"/>
    </row>
    <row r="854">
      <c r="D854" s="49"/>
      <c r="K854" s="39"/>
      <c r="L854" s="39"/>
      <c r="M854" s="39"/>
      <c r="N854" s="39"/>
      <c r="O854" s="39"/>
      <c r="P854" s="39"/>
      <c r="Q854" s="39"/>
    </row>
    <row r="855">
      <c r="D855" s="49"/>
      <c r="K855" s="39"/>
      <c r="L855" s="39"/>
      <c r="M855" s="39"/>
      <c r="N855" s="39"/>
      <c r="O855" s="39"/>
      <c r="P855" s="39"/>
      <c r="Q855" s="39"/>
    </row>
    <row r="856">
      <c r="D856" s="49"/>
      <c r="K856" s="39"/>
      <c r="L856" s="39"/>
      <c r="M856" s="39"/>
      <c r="N856" s="39"/>
      <c r="O856" s="39"/>
      <c r="P856" s="39"/>
      <c r="Q856" s="39"/>
    </row>
    <row r="857">
      <c r="D857" s="49"/>
      <c r="K857" s="39"/>
      <c r="L857" s="39"/>
      <c r="M857" s="39"/>
      <c r="N857" s="39"/>
      <c r="O857" s="39"/>
      <c r="P857" s="39"/>
      <c r="Q857" s="39"/>
    </row>
    <row r="858">
      <c r="D858" s="49"/>
      <c r="K858" s="39"/>
      <c r="L858" s="39"/>
      <c r="M858" s="39"/>
      <c r="N858" s="39"/>
      <c r="O858" s="39"/>
      <c r="P858" s="39"/>
      <c r="Q858" s="39"/>
    </row>
    <row r="859">
      <c r="D859" s="49"/>
      <c r="K859" s="39"/>
      <c r="L859" s="39"/>
      <c r="M859" s="39"/>
      <c r="N859" s="39"/>
      <c r="O859" s="39"/>
      <c r="P859" s="39"/>
      <c r="Q859" s="39"/>
    </row>
    <row r="860">
      <c r="D860" s="49"/>
      <c r="K860" s="39"/>
      <c r="L860" s="39"/>
      <c r="M860" s="39"/>
      <c r="N860" s="39"/>
      <c r="O860" s="39"/>
      <c r="P860" s="39"/>
      <c r="Q860" s="39"/>
    </row>
    <row r="861">
      <c r="D861" s="49"/>
      <c r="K861" s="39"/>
      <c r="L861" s="39"/>
      <c r="M861" s="39"/>
      <c r="N861" s="39"/>
      <c r="O861" s="39"/>
      <c r="P861" s="39"/>
      <c r="Q861" s="39"/>
    </row>
    <row r="862">
      <c r="D862" s="49"/>
      <c r="K862" s="39"/>
      <c r="L862" s="39"/>
      <c r="M862" s="39"/>
      <c r="N862" s="39"/>
      <c r="O862" s="39"/>
      <c r="P862" s="39"/>
      <c r="Q862" s="39"/>
    </row>
    <row r="863">
      <c r="D863" s="49"/>
      <c r="K863" s="39"/>
      <c r="L863" s="39"/>
      <c r="M863" s="39"/>
      <c r="N863" s="39"/>
      <c r="O863" s="39"/>
      <c r="P863" s="39"/>
      <c r="Q863" s="39"/>
    </row>
    <row r="864">
      <c r="D864" s="49"/>
      <c r="K864" s="39"/>
      <c r="L864" s="39"/>
      <c r="M864" s="39"/>
      <c r="N864" s="39"/>
      <c r="O864" s="39"/>
      <c r="P864" s="39"/>
      <c r="Q864" s="39"/>
    </row>
    <row r="865">
      <c r="D865" s="49"/>
      <c r="K865" s="39"/>
      <c r="L865" s="39"/>
      <c r="M865" s="39"/>
      <c r="N865" s="39"/>
      <c r="O865" s="39"/>
      <c r="P865" s="39"/>
      <c r="Q865" s="39"/>
    </row>
    <row r="866">
      <c r="D866" s="49"/>
      <c r="K866" s="39"/>
      <c r="L866" s="39"/>
      <c r="M866" s="39"/>
      <c r="N866" s="39"/>
      <c r="O866" s="39"/>
      <c r="P866" s="39"/>
      <c r="Q866" s="39"/>
    </row>
    <row r="867">
      <c r="D867" s="49"/>
      <c r="K867" s="39"/>
      <c r="L867" s="39"/>
      <c r="M867" s="39"/>
      <c r="N867" s="39"/>
      <c r="O867" s="39"/>
      <c r="P867" s="39"/>
      <c r="Q867" s="39"/>
    </row>
    <row r="868">
      <c r="D868" s="49"/>
      <c r="K868" s="39"/>
      <c r="L868" s="39"/>
      <c r="M868" s="39"/>
      <c r="N868" s="39"/>
      <c r="O868" s="39"/>
      <c r="P868" s="39"/>
      <c r="Q868" s="39"/>
    </row>
    <row r="869">
      <c r="D869" s="49"/>
      <c r="K869" s="39"/>
      <c r="L869" s="39"/>
      <c r="M869" s="39"/>
      <c r="N869" s="39"/>
      <c r="O869" s="39"/>
      <c r="P869" s="39"/>
      <c r="Q869" s="39"/>
    </row>
    <row r="870">
      <c r="D870" s="49"/>
      <c r="K870" s="39"/>
      <c r="L870" s="39"/>
      <c r="M870" s="39"/>
      <c r="N870" s="39"/>
      <c r="O870" s="39"/>
      <c r="P870" s="39"/>
      <c r="Q870" s="39"/>
    </row>
    <row r="871">
      <c r="D871" s="49"/>
      <c r="K871" s="39"/>
      <c r="L871" s="39"/>
      <c r="M871" s="39"/>
      <c r="N871" s="39"/>
      <c r="O871" s="39"/>
      <c r="P871" s="39"/>
      <c r="Q871" s="39"/>
    </row>
    <row r="872">
      <c r="D872" s="49"/>
      <c r="K872" s="39"/>
      <c r="L872" s="39"/>
      <c r="M872" s="39"/>
      <c r="N872" s="39"/>
      <c r="O872" s="39"/>
      <c r="P872" s="39"/>
      <c r="Q872" s="39"/>
    </row>
    <row r="873">
      <c r="D873" s="49"/>
      <c r="K873" s="39"/>
      <c r="L873" s="39"/>
      <c r="M873" s="39"/>
      <c r="N873" s="39"/>
      <c r="O873" s="39"/>
      <c r="P873" s="39"/>
      <c r="Q873" s="39"/>
    </row>
    <row r="874">
      <c r="D874" s="49"/>
      <c r="K874" s="39"/>
      <c r="L874" s="39"/>
      <c r="M874" s="39"/>
      <c r="N874" s="39"/>
      <c r="O874" s="39"/>
      <c r="P874" s="39"/>
      <c r="Q874" s="39"/>
    </row>
    <row r="875">
      <c r="D875" s="49"/>
      <c r="K875" s="39"/>
      <c r="L875" s="39"/>
      <c r="M875" s="39"/>
      <c r="N875" s="39"/>
      <c r="O875" s="39"/>
      <c r="P875" s="39"/>
      <c r="Q875" s="39"/>
    </row>
    <row r="876">
      <c r="D876" s="49"/>
      <c r="K876" s="39"/>
      <c r="L876" s="39"/>
      <c r="M876" s="39"/>
      <c r="N876" s="39"/>
      <c r="O876" s="39"/>
      <c r="P876" s="39"/>
      <c r="Q876" s="39"/>
    </row>
    <row r="877">
      <c r="D877" s="49"/>
      <c r="K877" s="39"/>
      <c r="L877" s="39"/>
      <c r="M877" s="39"/>
      <c r="N877" s="39"/>
      <c r="O877" s="39"/>
      <c r="P877" s="39"/>
      <c r="Q877" s="39"/>
    </row>
    <row r="878">
      <c r="D878" s="49"/>
      <c r="K878" s="39"/>
      <c r="L878" s="39"/>
      <c r="M878" s="39"/>
      <c r="N878" s="39"/>
      <c r="O878" s="39"/>
      <c r="P878" s="39"/>
      <c r="Q878" s="39"/>
    </row>
    <row r="879">
      <c r="D879" s="49"/>
      <c r="K879" s="39"/>
      <c r="L879" s="39"/>
      <c r="M879" s="39"/>
      <c r="N879" s="39"/>
      <c r="O879" s="39"/>
      <c r="P879" s="39"/>
      <c r="Q879" s="39"/>
    </row>
    <row r="880">
      <c r="D880" s="49"/>
      <c r="K880" s="39"/>
      <c r="L880" s="39"/>
      <c r="M880" s="39"/>
      <c r="N880" s="39"/>
      <c r="O880" s="39"/>
      <c r="P880" s="39"/>
      <c r="Q880" s="39"/>
    </row>
    <row r="881">
      <c r="D881" s="49"/>
      <c r="K881" s="39"/>
      <c r="L881" s="39"/>
      <c r="M881" s="39"/>
      <c r="N881" s="39"/>
      <c r="O881" s="39"/>
      <c r="P881" s="39"/>
      <c r="Q881" s="39"/>
    </row>
    <row r="882">
      <c r="D882" s="49"/>
      <c r="K882" s="39"/>
      <c r="L882" s="39"/>
      <c r="M882" s="39"/>
      <c r="N882" s="39"/>
      <c r="O882" s="39"/>
      <c r="P882" s="39"/>
      <c r="Q882" s="39"/>
    </row>
    <row r="883">
      <c r="D883" s="49"/>
      <c r="K883" s="39"/>
      <c r="L883" s="39"/>
      <c r="M883" s="39"/>
      <c r="N883" s="39"/>
      <c r="O883" s="39"/>
      <c r="P883" s="39"/>
      <c r="Q883" s="39"/>
    </row>
    <row r="884">
      <c r="D884" s="49"/>
      <c r="K884" s="39"/>
      <c r="L884" s="39"/>
      <c r="M884" s="39"/>
      <c r="N884" s="39"/>
      <c r="O884" s="39"/>
      <c r="P884" s="39"/>
      <c r="Q884" s="39"/>
    </row>
    <row r="885">
      <c r="D885" s="49"/>
      <c r="K885" s="39"/>
      <c r="L885" s="39"/>
      <c r="M885" s="39"/>
      <c r="N885" s="39"/>
      <c r="O885" s="39"/>
      <c r="P885" s="39"/>
      <c r="Q885" s="39"/>
    </row>
    <row r="886">
      <c r="D886" s="49"/>
      <c r="K886" s="39"/>
      <c r="L886" s="39"/>
      <c r="M886" s="39"/>
      <c r="N886" s="39"/>
      <c r="O886" s="39"/>
      <c r="P886" s="39"/>
      <c r="Q886" s="39"/>
    </row>
    <row r="887">
      <c r="D887" s="49"/>
      <c r="K887" s="39"/>
      <c r="L887" s="39"/>
      <c r="M887" s="39"/>
      <c r="N887" s="39"/>
      <c r="O887" s="39"/>
      <c r="P887" s="39"/>
      <c r="Q887" s="39"/>
    </row>
    <row r="888">
      <c r="D888" s="49"/>
      <c r="K888" s="39"/>
      <c r="L888" s="39"/>
      <c r="M888" s="39"/>
      <c r="N888" s="39"/>
      <c r="O888" s="39"/>
      <c r="P888" s="39"/>
      <c r="Q888" s="39"/>
    </row>
    <row r="889">
      <c r="D889" s="49"/>
      <c r="K889" s="39"/>
      <c r="L889" s="39"/>
      <c r="M889" s="39"/>
      <c r="N889" s="39"/>
      <c r="O889" s="39"/>
      <c r="P889" s="39"/>
      <c r="Q889" s="39"/>
    </row>
    <row r="890">
      <c r="D890" s="49"/>
      <c r="K890" s="39"/>
      <c r="L890" s="39"/>
      <c r="M890" s="39"/>
      <c r="N890" s="39"/>
      <c r="O890" s="39"/>
      <c r="P890" s="39"/>
      <c r="Q890" s="39"/>
    </row>
    <row r="891">
      <c r="D891" s="49"/>
      <c r="K891" s="39"/>
      <c r="L891" s="39"/>
      <c r="M891" s="39"/>
      <c r="N891" s="39"/>
      <c r="O891" s="39"/>
      <c r="P891" s="39"/>
      <c r="Q891" s="39"/>
    </row>
    <row r="892">
      <c r="D892" s="49"/>
      <c r="K892" s="39"/>
      <c r="L892" s="39"/>
      <c r="M892" s="39"/>
      <c r="N892" s="39"/>
      <c r="O892" s="39"/>
      <c r="P892" s="39"/>
      <c r="Q892" s="39"/>
    </row>
    <row r="893">
      <c r="D893" s="49"/>
      <c r="K893" s="39"/>
      <c r="L893" s="39"/>
      <c r="M893" s="39"/>
      <c r="N893" s="39"/>
      <c r="O893" s="39"/>
      <c r="P893" s="39"/>
      <c r="Q893" s="39"/>
    </row>
    <row r="894">
      <c r="D894" s="49"/>
      <c r="K894" s="39"/>
      <c r="L894" s="39"/>
      <c r="M894" s="39"/>
      <c r="N894" s="39"/>
      <c r="O894" s="39"/>
      <c r="P894" s="39"/>
      <c r="Q894" s="39"/>
    </row>
    <row r="895">
      <c r="D895" s="49"/>
      <c r="K895" s="39"/>
      <c r="L895" s="39"/>
      <c r="M895" s="39"/>
      <c r="N895" s="39"/>
      <c r="O895" s="39"/>
      <c r="P895" s="39"/>
      <c r="Q895" s="39"/>
    </row>
    <row r="896">
      <c r="D896" s="49"/>
      <c r="K896" s="39"/>
      <c r="L896" s="39"/>
      <c r="M896" s="39"/>
      <c r="N896" s="39"/>
      <c r="O896" s="39"/>
      <c r="P896" s="39"/>
      <c r="Q896" s="39"/>
    </row>
    <row r="897">
      <c r="D897" s="49"/>
      <c r="K897" s="39"/>
      <c r="L897" s="39"/>
      <c r="M897" s="39"/>
      <c r="N897" s="39"/>
      <c r="O897" s="39"/>
      <c r="P897" s="39"/>
      <c r="Q897" s="39"/>
    </row>
    <row r="898">
      <c r="D898" s="49"/>
      <c r="K898" s="39"/>
      <c r="L898" s="39"/>
      <c r="M898" s="39"/>
      <c r="N898" s="39"/>
      <c r="O898" s="39"/>
      <c r="P898" s="39"/>
      <c r="Q898" s="39"/>
    </row>
    <row r="899">
      <c r="D899" s="49"/>
      <c r="K899" s="39"/>
      <c r="L899" s="39"/>
      <c r="M899" s="39"/>
      <c r="N899" s="39"/>
      <c r="O899" s="39"/>
      <c r="P899" s="39"/>
      <c r="Q899" s="39"/>
    </row>
    <row r="900">
      <c r="D900" s="49"/>
      <c r="K900" s="39"/>
      <c r="L900" s="39"/>
      <c r="M900" s="39"/>
      <c r="N900" s="39"/>
      <c r="O900" s="39"/>
      <c r="P900" s="39"/>
      <c r="Q900" s="39"/>
    </row>
    <row r="901">
      <c r="D901" s="49"/>
      <c r="K901" s="39"/>
      <c r="L901" s="39"/>
      <c r="M901" s="39"/>
      <c r="N901" s="39"/>
      <c r="O901" s="39"/>
      <c r="P901" s="39"/>
      <c r="Q901" s="39"/>
    </row>
    <row r="902">
      <c r="D902" s="49"/>
      <c r="K902" s="39"/>
      <c r="L902" s="39"/>
      <c r="M902" s="39"/>
      <c r="N902" s="39"/>
      <c r="O902" s="39"/>
      <c r="P902" s="39"/>
      <c r="Q902" s="39"/>
    </row>
    <row r="903">
      <c r="D903" s="49"/>
      <c r="K903" s="39"/>
      <c r="L903" s="39"/>
      <c r="M903" s="39"/>
      <c r="N903" s="39"/>
      <c r="O903" s="39"/>
      <c r="P903" s="39"/>
      <c r="Q903" s="39"/>
    </row>
    <row r="904">
      <c r="D904" s="49"/>
      <c r="K904" s="39"/>
      <c r="L904" s="39"/>
      <c r="M904" s="39"/>
      <c r="N904" s="39"/>
      <c r="O904" s="39"/>
      <c r="P904" s="39"/>
      <c r="Q904" s="39"/>
    </row>
    <row r="905">
      <c r="D905" s="49"/>
      <c r="K905" s="39"/>
      <c r="L905" s="39"/>
      <c r="M905" s="39"/>
      <c r="N905" s="39"/>
      <c r="O905" s="39"/>
      <c r="P905" s="39"/>
      <c r="Q905" s="39"/>
    </row>
    <row r="906">
      <c r="D906" s="49"/>
      <c r="K906" s="39"/>
      <c r="L906" s="39"/>
      <c r="M906" s="39"/>
      <c r="N906" s="39"/>
      <c r="O906" s="39"/>
      <c r="P906" s="39"/>
      <c r="Q906" s="39"/>
    </row>
    <row r="907">
      <c r="D907" s="49"/>
      <c r="K907" s="39"/>
      <c r="L907" s="39"/>
      <c r="M907" s="39"/>
      <c r="N907" s="39"/>
      <c r="O907" s="39"/>
      <c r="P907" s="39"/>
      <c r="Q907" s="39"/>
    </row>
    <row r="908">
      <c r="D908" s="49"/>
      <c r="K908" s="39"/>
      <c r="L908" s="39"/>
      <c r="M908" s="39"/>
      <c r="N908" s="39"/>
      <c r="O908" s="39"/>
      <c r="P908" s="39"/>
      <c r="Q908" s="39"/>
    </row>
    <row r="909">
      <c r="D909" s="49"/>
      <c r="K909" s="39"/>
      <c r="L909" s="39"/>
      <c r="M909" s="39"/>
      <c r="N909" s="39"/>
      <c r="O909" s="39"/>
      <c r="P909" s="39"/>
      <c r="Q909" s="39"/>
    </row>
    <row r="910">
      <c r="D910" s="49"/>
      <c r="K910" s="39"/>
      <c r="L910" s="39"/>
      <c r="M910" s="39"/>
      <c r="N910" s="39"/>
      <c r="O910" s="39"/>
      <c r="P910" s="39"/>
      <c r="Q910" s="39"/>
    </row>
    <row r="911">
      <c r="D911" s="49"/>
      <c r="K911" s="39"/>
      <c r="L911" s="39"/>
      <c r="M911" s="39"/>
      <c r="N911" s="39"/>
      <c r="O911" s="39"/>
      <c r="P911" s="39"/>
      <c r="Q911" s="39"/>
    </row>
    <row r="912">
      <c r="D912" s="49"/>
      <c r="K912" s="39"/>
      <c r="L912" s="39"/>
      <c r="M912" s="39"/>
      <c r="N912" s="39"/>
      <c r="O912" s="39"/>
      <c r="P912" s="39"/>
      <c r="Q912" s="39"/>
    </row>
    <row r="913">
      <c r="D913" s="49"/>
      <c r="K913" s="39"/>
      <c r="L913" s="39"/>
      <c r="M913" s="39"/>
      <c r="N913" s="39"/>
      <c r="O913" s="39"/>
      <c r="P913" s="39"/>
      <c r="Q913" s="39"/>
    </row>
    <row r="914">
      <c r="D914" s="49"/>
      <c r="K914" s="39"/>
      <c r="L914" s="39"/>
      <c r="M914" s="39"/>
      <c r="N914" s="39"/>
      <c r="O914" s="39"/>
      <c r="P914" s="39"/>
      <c r="Q914" s="39"/>
    </row>
    <row r="915">
      <c r="D915" s="49"/>
      <c r="K915" s="39"/>
      <c r="L915" s="39"/>
      <c r="M915" s="39"/>
      <c r="N915" s="39"/>
      <c r="O915" s="39"/>
      <c r="P915" s="39"/>
      <c r="Q915" s="39"/>
    </row>
    <row r="916">
      <c r="D916" s="49"/>
      <c r="K916" s="39"/>
      <c r="L916" s="39"/>
      <c r="M916" s="39"/>
      <c r="N916" s="39"/>
      <c r="O916" s="39"/>
      <c r="P916" s="39"/>
      <c r="Q916" s="39"/>
    </row>
    <row r="917">
      <c r="D917" s="49"/>
      <c r="K917" s="39"/>
      <c r="L917" s="39"/>
      <c r="M917" s="39"/>
      <c r="N917" s="39"/>
      <c r="O917" s="39"/>
      <c r="P917" s="39"/>
      <c r="Q917" s="39"/>
    </row>
    <row r="918">
      <c r="D918" s="49"/>
      <c r="K918" s="39"/>
      <c r="L918" s="39"/>
      <c r="M918" s="39"/>
      <c r="N918" s="39"/>
      <c r="O918" s="39"/>
      <c r="P918" s="39"/>
      <c r="Q918" s="39"/>
    </row>
    <row r="919">
      <c r="D919" s="49"/>
      <c r="K919" s="39"/>
      <c r="L919" s="39"/>
      <c r="M919" s="39"/>
      <c r="N919" s="39"/>
      <c r="O919" s="39"/>
      <c r="P919" s="39"/>
      <c r="Q919" s="39"/>
    </row>
    <row r="920">
      <c r="D920" s="49"/>
      <c r="K920" s="39"/>
      <c r="L920" s="39"/>
      <c r="M920" s="39"/>
      <c r="N920" s="39"/>
      <c r="O920" s="39"/>
      <c r="P920" s="39"/>
      <c r="Q920" s="39"/>
    </row>
    <row r="921">
      <c r="D921" s="49"/>
      <c r="K921" s="39"/>
      <c r="L921" s="39"/>
      <c r="M921" s="39"/>
      <c r="N921" s="39"/>
      <c r="O921" s="39"/>
      <c r="P921" s="39"/>
      <c r="Q921" s="39"/>
    </row>
    <row r="922">
      <c r="D922" s="49"/>
      <c r="K922" s="39"/>
      <c r="L922" s="39"/>
      <c r="M922" s="39"/>
      <c r="N922" s="39"/>
      <c r="O922" s="39"/>
      <c r="P922" s="39"/>
      <c r="Q922" s="39"/>
    </row>
    <row r="923">
      <c r="D923" s="49"/>
      <c r="K923" s="39"/>
      <c r="L923" s="39"/>
      <c r="M923" s="39"/>
      <c r="N923" s="39"/>
      <c r="O923" s="39"/>
      <c r="P923" s="39"/>
      <c r="Q923" s="39"/>
    </row>
    <row r="924">
      <c r="D924" s="49"/>
      <c r="K924" s="39"/>
      <c r="L924" s="39"/>
      <c r="M924" s="39"/>
      <c r="N924" s="39"/>
      <c r="O924" s="39"/>
      <c r="P924" s="39"/>
      <c r="Q924" s="39"/>
    </row>
    <row r="925">
      <c r="D925" s="49"/>
      <c r="K925" s="39"/>
      <c r="L925" s="39"/>
      <c r="M925" s="39"/>
      <c r="N925" s="39"/>
      <c r="O925" s="39"/>
      <c r="P925" s="39"/>
      <c r="Q925" s="39"/>
    </row>
    <row r="926">
      <c r="D926" s="49"/>
      <c r="K926" s="39"/>
      <c r="L926" s="39"/>
      <c r="M926" s="39"/>
      <c r="N926" s="39"/>
      <c r="O926" s="39"/>
      <c r="P926" s="39"/>
      <c r="Q926" s="39"/>
    </row>
    <row r="927">
      <c r="D927" s="49"/>
      <c r="K927" s="39"/>
      <c r="L927" s="39"/>
      <c r="M927" s="39"/>
      <c r="N927" s="39"/>
      <c r="O927" s="39"/>
      <c r="P927" s="39"/>
      <c r="Q927" s="39"/>
    </row>
    <row r="928">
      <c r="D928" s="49"/>
      <c r="K928" s="39"/>
      <c r="L928" s="39"/>
      <c r="M928" s="39"/>
      <c r="N928" s="39"/>
      <c r="O928" s="39"/>
      <c r="P928" s="39"/>
      <c r="Q928" s="39"/>
    </row>
    <row r="929">
      <c r="D929" s="49"/>
      <c r="K929" s="39"/>
      <c r="L929" s="39"/>
      <c r="M929" s="39"/>
      <c r="N929" s="39"/>
      <c r="O929" s="39"/>
      <c r="P929" s="39"/>
      <c r="Q929" s="39"/>
    </row>
    <row r="930">
      <c r="D930" s="49"/>
      <c r="K930" s="39"/>
      <c r="L930" s="39"/>
      <c r="M930" s="39"/>
      <c r="N930" s="39"/>
      <c r="O930" s="39"/>
      <c r="P930" s="39"/>
      <c r="Q930" s="39"/>
    </row>
    <row r="931">
      <c r="D931" s="49"/>
      <c r="K931" s="39"/>
      <c r="L931" s="39"/>
      <c r="M931" s="39"/>
      <c r="N931" s="39"/>
      <c r="O931" s="39"/>
      <c r="P931" s="39"/>
      <c r="Q931" s="39"/>
    </row>
    <row r="932">
      <c r="D932" s="49"/>
      <c r="K932" s="39"/>
      <c r="L932" s="39"/>
      <c r="M932" s="39"/>
      <c r="N932" s="39"/>
      <c r="O932" s="39"/>
      <c r="P932" s="39"/>
      <c r="Q932" s="39"/>
    </row>
    <row r="933">
      <c r="D933" s="49"/>
      <c r="K933" s="39"/>
      <c r="L933" s="39"/>
      <c r="M933" s="39"/>
      <c r="N933" s="39"/>
      <c r="O933" s="39"/>
      <c r="P933" s="39"/>
      <c r="Q933" s="39"/>
    </row>
    <row r="934">
      <c r="D934" s="49"/>
      <c r="K934" s="39"/>
      <c r="L934" s="39"/>
      <c r="M934" s="39"/>
      <c r="N934" s="39"/>
      <c r="O934" s="39"/>
      <c r="P934" s="39"/>
      <c r="Q934" s="39"/>
    </row>
    <row r="935">
      <c r="D935" s="49"/>
      <c r="K935" s="39"/>
      <c r="L935" s="39"/>
      <c r="M935" s="39"/>
      <c r="N935" s="39"/>
      <c r="O935" s="39"/>
      <c r="P935" s="39"/>
      <c r="Q935" s="39"/>
    </row>
    <row r="936">
      <c r="D936" s="49"/>
      <c r="K936" s="39"/>
      <c r="L936" s="39"/>
      <c r="M936" s="39"/>
      <c r="N936" s="39"/>
      <c r="O936" s="39"/>
      <c r="P936" s="39"/>
      <c r="Q936" s="39"/>
    </row>
    <row r="937">
      <c r="D937" s="49"/>
      <c r="K937" s="39"/>
      <c r="L937" s="39"/>
      <c r="M937" s="39"/>
      <c r="N937" s="39"/>
      <c r="O937" s="39"/>
      <c r="P937" s="39"/>
      <c r="Q937" s="39"/>
    </row>
    <row r="938">
      <c r="D938" s="49"/>
      <c r="K938" s="39"/>
      <c r="L938" s="39"/>
      <c r="M938" s="39"/>
      <c r="N938" s="39"/>
      <c r="O938" s="39"/>
      <c r="P938" s="39"/>
      <c r="Q938" s="39"/>
    </row>
    <row r="939">
      <c r="D939" s="49"/>
      <c r="K939" s="39"/>
      <c r="L939" s="39"/>
      <c r="M939" s="39"/>
      <c r="N939" s="39"/>
      <c r="O939" s="39"/>
      <c r="P939" s="39"/>
      <c r="Q939" s="39"/>
    </row>
    <row r="940">
      <c r="D940" s="49"/>
      <c r="K940" s="39"/>
      <c r="L940" s="39"/>
      <c r="M940" s="39"/>
      <c r="N940" s="39"/>
      <c r="O940" s="39"/>
      <c r="P940" s="39"/>
      <c r="Q940" s="39"/>
    </row>
    <row r="941">
      <c r="D941" s="49"/>
      <c r="K941" s="39"/>
      <c r="L941" s="39"/>
      <c r="M941" s="39"/>
      <c r="N941" s="39"/>
      <c r="O941" s="39"/>
      <c r="P941" s="39"/>
      <c r="Q941" s="39"/>
    </row>
    <row r="942">
      <c r="D942" s="49"/>
      <c r="K942" s="39"/>
      <c r="L942" s="39"/>
      <c r="M942" s="39"/>
      <c r="N942" s="39"/>
      <c r="O942" s="39"/>
      <c r="P942" s="39"/>
      <c r="Q942" s="39"/>
    </row>
    <row r="943">
      <c r="D943" s="49"/>
      <c r="K943" s="39"/>
      <c r="L943" s="39"/>
      <c r="M943" s="39"/>
      <c r="N943" s="39"/>
      <c r="O943" s="39"/>
      <c r="P943" s="39"/>
      <c r="Q943" s="39"/>
    </row>
    <row r="944">
      <c r="D944" s="49"/>
      <c r="K944" s="39"/>
      <c r="L944" s="39"/>
      <c r="M944" s="39"/>
      <c r="N944" s="39"/>
      <c r="O944" s="39"/>
      <c r="P944" s="39"/>
      <c r="Q944" s="39"/>
    </row>
    <row r="945">
      <c r="D945" s="49"/>
      <c r="K945" s="39"/>
      <c r="L945" s="39"/>
      <c r="M945" s="39"/>
      <c r="N945" s="39"/>
      <c r="O945" s="39"/>
      <c r="P945" s="39"/>
      <c r="Q945" s="39"/>
    </row>
    <row r="946">
      <c r="D946" s="49"/>
      <c r="K946" s="39"/>
      <c r="L946" s="39"/>
      <c r="M946" s="39"/>
      <c r="N946" s="39"/>
      <c r="O946" s="39"/>
      <c r="P946" s="39"/>
      <c r="Q946" s="39"/>
    </row>
    <row r="947">
      <c r="D947" s="49"/>
      <c r="K947" s="39"/>
      <c r="L947" s="39"/>
      <c r="M947" s="39"/>
      <c r="N947" s="39"/>
      <c r="O947" s="39"/>
      <c r="P947" s="39"/>
      <c r="Q947" s="39"/>
    </row>
    <row r="948">
      <c r="D948" s="49"/>
      <c r="K948" s="39"/>
      <c r="L948" s="39"/>
      <c r="M948" s="39"/>
      <c r="N948" s="39"/>
      <c r="O948" s="39"/>
      <c r="P948" s="39"/>
      <c r="Q948" s="39"/>
    </row>
    <row r="949">
      <c r="D949" s="49"/>
      <c r="K949" s="39"/>
      <c r="L949" s="39"/>
      <c r="M949" s="39"/>
      <c r="N949" s="39"/>
      <c r="O949" s="39"/>
      <c r="P949" s="39"/>
      <c r="Q949" s="39"/>
    </row>
    <row r="950">
      <c r="D950" s="49"/>
      <c r="K950" s="39"/>
      <c r="L950" s="39"/>
      <c r="M950" s="39"/>
      <c r="N950" s="39"/>
      <c r="O950" s="39"/>
      <c r="P950" s="39"/>
      <c r="Q950" s="39"/>
    </row>
    <row r="951">
      <c r="D951" s="49"/>
      <c r="K951" s="39"/>
      <c r="L951" s="39"/>
      <c r="M951" s="39"/>
      <c r="N951" s="39"/>
      <c r="O951" s="39"/>
      <c r="P951" s="39"/>
      <c r="Q951" s="39"/>
    </row>
    <row r="952">
      <c r="D952" s="49"/>
      <c r="K952" s="39"/>
      <c r="L952" s="39"/>
      <c r="M952" s="39"/>
      <c r="N952" s="39"/>
      <c r="O952" s="39"/>
      <c r="P952" s="39"/>
      <c r="Q952" s="39"/>
    </row>
    <row r="953">
      <c r="D953" s="49"/>
      <c r="K953" s="39"/>
      <c r="L953" s="39"/>
      <c r="M953" s="39"/>
      <c r="N953" s="39"/>
      <c r="O953" s="39"/>
      <c r="P953" s="39"/>
      <c r="Q953" s="39"/>
    </row>
    <row r="954">
      <c r="D954" s="49"/>
      <c r="K954" s="39"/>
      <c r="L954" s="39"/>
      <c r="M954" s="39"/>
      <c r="N954" s="39"/>
      <c r="O954" s="39"/>
      <c r="P954" s="39"/>
      <c r="Q954" s="39"/>
    </row>
    <row r="955">
      <c r="D955" s="49"/>
      <c r="K955" s="39"/>
      <c r="L955" s="39"/>
      <c r="M955" s="39"/>
      <c r="N955" s="39"/>
      <c r="O955" s="39"/>
      <c r="P955" s="39"/>
      <c r="Q955" s="39"/>
    </row>
    <row r="956">
      <c r="D956" s="49"/>
      <c r="K956" s="39"/>
      <c r="L956" s="39"/>
      <c r="M956" s="39"/>
      <c r="N956" s="39"/>
      <c r="O956" s="39"/>
      <c r="P956" s="39"/>
      <c r="Q956" s="39"/>
    </row>
    <row r="957">
      <c r="D957" s="49"/>
      <c r="K957" s="39"/>
      <c r="L957" s="39"/>
      <c r="M957" s="39"/>
      <c r="N957" s="39"/>
      <c r="O957" s="39"/>
      <c r="P957" s="39"/>
      <c r="Q957" s="39"/>
    </row>
    <row r="958">
      <c r="D958" s="49"/>
      <c r="K958" s="39"/>
      <c r="L958" s="39"/>
      <c r="M958" s="39"/>
      <c r="N958" s="39"/>
      <c r="O958" s="39"/>
      <c r="P958" s="39"/>
      <c r="Q958" s="39"/>
    </row>
    <row r="959">
      <c r="D959" s="49"/>
      <c r="K959" s="39"/>
      <c r="L959" s="39"/>
      <c r="M959" s="39"/>
      <c r="N959" s="39"/>
      <c r="O959" s="39"/>
      <c r="P959" s="39"/>
      <c r="Q959" s="39"/>
    </row>
    <row r="960">
      <c r="D960" s="49"/>
      <c r="K960" s="39"/>
      <c r="L960" s="39"/>
      <c r="M960" s="39"/>
      <c r="N960" s="39"/>
      <c r="O960" s="39"/>
      <c r="P960" s="39"/>
      <c r="Q960" s="39"/>
    </row>
    <row r="961">
      <c r="D961" s="49"/>
      <c r="K961" s="39"/>
      <c r="L961" s="39"/>
      <c r="M961" s="39"/>
      <c r="N961" s="39"/>
      <c r="O961" s="39"/>
      <c r="P961" s="39"/>
      <c r="Q961" s="39"/>
    </row>
    <row r="962">
      <c r="D962" s="49"/>
      <c r="K962" s="39"/>
      <c r="L962" s="39"/>
      <c r="M962" s="39"/>
      <c r="N962" s="39"/>
      <c r="O962" s="39"/>
      <c r="P962" s="39"/>
      <c r="Q962" s="39"/>
    </row>
    <row r="963">
      <c r="D963" s="49"/>
      <c r="K963" s="39"/>
      <c r="L963" s="39"/>
      <c r="M963" s="39"/>
      <c r="N963" s="39"/>
      <c r="O963" s="39"/>
      <c r="P963" s="39"/>
      <c r="Q963" s="39"/>
    </row>
    <row r="964">
      <c r="D964" s="49"/>
      <c r="K964" s="39"/>
      <c r="L964" s="39"/>
      <c r="M964" s="39"/>
      <c r="N964" s="39"/>
      <c r="O964" s="39"/>
      <c r="P964" s="39"/>
      <c r="Q964" s="39"/>
    </row>
    <row r="965">
      <c r="D965" s="49"/>
      <c r="K965" s="39"/>
      <c r="L965" s="39"/>
      <c r="M965" s="39"/>
      <c r="N965" s="39"/>
      <c r="O965" s="39"/>
      <c r="P965" s="39"/>
      <c r="Q965" s="39"/>
    </row>
    <row r="966">
      <c r="D966" s="49"/>
      <c r="K966" s="39"/>
      <c r="L966" s="39"/>
      <c r="M966" s="39"/>
      <c r="N966" s="39"/>
      <c r="O966" s="39"/>
      <c r="P966" s="39"/>
      <c r="Q966" s="39"/>
    </row>
    <row r="967">
      <c r="D967" s="49"/>
      <c r="K967" s="39"/>
      <c r="L967" s="39"/>
      <c r="M967" s="39"/>
      <c r="N967" s="39"/>
      <c r="O967" s="39"/>
      <c r="P967" s="39"/>
      <c r="Q967" s="39"/>
    </row>
    <row r="968">
      <c r="D968" s="49"/>
      <c r="K968" s="39"/>
      <c r="L968" s="39"/>
      <c r="M968" s="39"/>
      <c r="N968" s="39"/>
      <c r="O968" s="39"/>
      <c r="P968" s="39"/>
      <c r="Q968" s="39"/>
    </row>
    <row r="969">
      <c r="D969" s="49"/>
      <c r="K969" s="39"/>
      <c r="L969" s="39"/>
      <c r="M969" s="39"/>
      <c r="N969" s="39"/>
      <c r="O969" s="39"/>
      <c r="P969" s="39"/>
      <c r="Q969" s="39"/>
    </row>
    <row r="970">
      <c r="D970" s="49"/>
      <c r="K970" s="39"/>
      <c r="L970" s="39"/>
      <c r="M970" s="39"/>
      <c r="N970" s="39"/>
      <c r="O970" s="39"/>
      <c r="P970" s="39"/>
      <c r="Q970" s="39"/>
    </row>
    <row r="971">
      <c r="D971" s="49"/>
      <c r="K971" s="39"/>
      <c r="L971" s="39"/>
      <c r="M971" s="39"/>
      <c r="N971" s="39"/>
      <c r="O971" s="39"/>
      <c r="P971" s="39"/>
      <c r="Q971" s="39"/>
    </row>
    <row r="972">
      <c r="D972" s="49"/>
      <c r="K972" s="39"/>
      <c r="L972" s="39"/>
      <c r="M972" s="39"/>
      <c r="N972" s="39"/>
      <c r="O972" s="39"/>
      <c r="P972" s="39"/>
      <c r="Q972" s="39"/>
    </row>
    <row r="973">
      <c r="D973" s="49"/>
      <c r="K973" s="39"/>
      <c r="L973" s="39"/>
      <c r="M973" s="39"/>
      <c r="N973" s="39"/>
      <c r="O973" s="39"/>
      <c r="P973" s="39"/>
      <c r="Q973" s="39"/>
    </row>
    <row r="974">
      <c r="D974" s="49"/>
      <c r="K974" s="39"/>
      <c r="L974" s="39"/>
      <c r="M974" s="39"/>
      <c r="N974" s="39"/>
      <c r="O974" s="39"/>
      <c r="P974" s="39"/>
      <c r="Q974" s="39"/>
    </row>
    <row r="975">
      <c r="D975" s="49"/>
      <c r="K975" s="39"/>
      <c r="L975" s="39"/>
      <c r="M975" s="39"/>
      <c r="N975" s="39"/>
      <c r="O975" s="39"/>
      <c r="P975" s="39"/>
      <c r="Q975" s="39"/>
    </row>
    <row r="976">
      <c r="D976" s="49"/>
      <c r="K976" s="39"/>
      <c r="L976" s="39"/>
      <c r="M976" s="39"/>
      <c r="N976" s="39"/>
      <c r="O976" s="39"/>
      <c r="P976" s="39"/>
      <c r="Q976" s="39"/>
    </row>
    <row r="977">
      <c r="D977" s="49"/>
      <c r="K977" s="39"/>
      <c r="L977" s="39"/>
      <c r="M977" s="39"/>
      <c r="N977" s="39"/>
      <c r="O977" s="39"/>
      <c r="P977" s="39"/>
      <c r="Q977" s="39"/>
    </row>
    <row r="978">
      <c r="D978" s="49"/>
      <c r="K978" s="39"/>
      <c r="L978" s="39"/>
      <c r="M978" s="39"/>
      <c r="N978" s="39"/>
      <c r="O978" s="39"/>
      <c r="P978" s="39"/>
      <c r="Q978" s="39"/>
    </row>
    <row r="979">
      <c r="D979" s="49"/>
      <c r="K979" s="39"/>
      <c r="L979" s="39"/>
      <c r="M979" s="39"/>
      <c r="N979" s="39"/>
      <c r="O979" s="39"/>
      <c r="P979" s="39"/>
      <c r="Q979" s="39"/>
    </row>
    <row r="980">
      <c r="D980" s="49"/>
      <c r="K980" s="39"/>
      <c r="L980" s="39"/>
      <c r="M980" s="39"/>
      <c r="N980" s="39"/>
      <c r="O980" s="39"/>
      <c r="P980" s="39"/>
      <c r="Q980" s="39"/>
    </row>
    <row r="981">
      <c r="D981" s="49"/>
      <c r="K981" s="39"/>
      <c r="L981" s="39"/>
      <c r="M981" s="39"/>
      <c r="N981" s="39"/>
      <c r="O981" s="39"/>
      <c r="P981" s="39"/>
      <c r="Q981" s="39"/>
    </row>
    <row r="982">
      <c r="D982" s="49"/>
      <c r="K982" s="39"/>
      <c r="L982" s="39"/>
      <c r="M982" s="39"/>
      <c r="N982" s="39"/>
      <c r="O982" s="39"/>
      <c r="P982" s="39"/>
      <c r="Q982" s="39"/>
    </row>
    <row r="983">
      <c r="D983" s="49"/>
      <c r="K983" s="39"/>
      <c r="L983" s="39"/>
      <c r="M983" s="39"/>
      <c r="N983" s="39"/>
      <c r="O983" s="39"/>
      <c r="P983" s="39"/>
      <c r="Q983" s="39"/>
    </row>
    <row r="984">
      <c r="D984" s="49"/>
      <c r="K984" s="39"/>
      <c r="L984" s="39"/>
      <c r="M984" s="39"/>
      <c r="N984" s="39"/>
      <c r="O984" s="39"/>
      <c r="P984" s="39"/>
      <c r="Q984" s="39"/>
    </row>
    <row r="985">
      <c r="D985" s="49"/>
      <c r="K985" s="39"/>
      <c r="L985" s="39"/>
      <c r="M985" s="39"/>
      <c r="N985" s="39"/>
      <c r="O985" s="39"/>
      <c r="P985" s="39"/>
      <c r="Q985" s="39"/>
    </row>
    <row r="986">
      <c r="D986" s="49"/>
      <c r="K986" s="39"/>
      <c r="L986" s="39"/>
      <c r="M986" s="39"/>
      <c r="N986" s="39"/>
      <c r="O986" s="39"/>
      <c r="P986" s="39"/>
      <c r="Q986" s="39"/>
    </row>
    <row r="987">
      <c r="D987" s="49"/>
      <c r="K987" s="39"/>
      <c r="L987" s="39"/>
      <c r="M987" s="39"/>
      <c r="N987" s="39"/>
      <c r="O987" s="39"/>
      <c r="P987" s="39"/>
      <c r="Q987" s="39"/>
    </row>
    <row r="988">
      <c r="D988" s="49"/>
      <c r="K988" s="39"/>
      <c r="L988" s="39"/>
      <c r="M988" s="39"/>
      <c r="N988" s="39"/>
      <c r="O988" s="39"/>
      <c r="P988" s="39"/>
      <c r="Q988" s="39"/>
    </row>
    <row r="989">
      <c r="D989" s="49"/>
      <c r="K989" s="39"/>
      <c r="L989" s="39"/>
      <c r="M989" s="39"/>
      <c r="N989" s="39"/>
      <c r="O989" s="39"/>
      <c r="P989" s="39"/>
      <c r="Q989" s="39"/>
    </row>
    <row r="990">
      <c r="D990" s="49"/>
      <c r="K990" s="39"/>
      <c r="L990" s="39"/>
      <c r="M990" s="39"/>
      <c r="N990" s="39"/>
      <c r="O990" s="39"/>
      <c r="P990" s="39"/>
      <c r="Q990" s="39"/>
    </row>
    <row r="991">
      <c r="D991" s="49"/>
      <c r="K991" s="39"/>
      <c r="L991" s="39"/>
      <c r="M991" s="39"/>
      <c r="N991" s="39"/>
      <c r="O991" s="39"/>
      <c r="P991" s="39"/>
      <c r="Q991" s="39"/>
    </row>
    <row r="992">
      <c r="D992" s="49"/>
      <c r="K992" s="39"/>
      <c r="L992" s="39"/>
      <c r="M992" s="39"/>
      <c r="N992" s="39"/>
      <c r="O992" s="39"/>
      <c r="P992" s="39"/>
      <c r="Q992" s="39"/>
    </row>
    <row r="993">
      <c r="D993" s="49"/>
      <c r="K993" s="39"/>
      <c r="L993" s="39"/>
      <c r="M993" s="39"/>
      <c r="N993" s="39"/>
      <c r="O993" s="39"/>
      <c r="P993" s="39"/>
      <c r="Q993" s="39"/>
    </row>
    <row r="994">
      <c r="D994" s="49"/>
      <c r="K994" s="39"/>
      <c r="L994" s="39"/>
      <c r="M994" s="39"/>
      <c r="N994" s="39"/>
      <c r="O994" s="39"/>
      <c r="P994" s="39"/>
      <c r="Q994" s="39"/>
    </row>
    <row r="995">
      <c r="D995" s="49"/>
      <c r="K995" s="39"/>
      <c r="L995" s="39"/>
      <c r="M995" s="39"/>
      <c r="N995" s="39"/>
      <c r="O995" s="39"/>
      <c r="P995" s="39"/>
      <c r="Q995" s="39"/>
    </row>
    <row r="996">
      <c r="D996" s="49"/>
      <c r="K996" s="39"/>
      <c r="L996" s="39"/>
      <c r="M996" s="39"/>
      <c r="N996" s="39"/>
      <c r="O996" s="39"/>
      <c r="P996" s="39"/>
      <c r="Q996" s="39"/>
    </row>
    <row r="997">
      <c r="D997" s="49"/>
      <c r="K997" s="39"/>
      <c r="L997" s="39"/>
      <c r="M997" s="39"/>
      <c r="N997" s="39"/>
      <c r="O997" s="39"/>
      <c r="P997" s="39"/>
      <c r="Q997" s="39"/>
    </row>
    <row r="998">
      <c r="D998" s="49"/>
      <c r="K998" s="39"/>
      <c r="L998" s="39"/>
      <c r="M998" s="39"/>
      <c r="N998" s="39"/>
      <c r="O998" s="39"/>
      <c r="P998" s="39"/>
      <c r="Q998" s="39"/>
    </row>
    <row r="999">
      <c r="D999" s="49"/>
      <c r="K999" s="39"/>
      <c r="L999" s="39"/>
      <c r="M999" s="39"/>
      <c r="N999" s="39"/>
      <c r="O999" s="39"/>
      <c r="P999" s="39"/>
      <c r="Q999" s="39"/>
    </row>
    <row r="1000">
      <c r="D1000" s="49"/>
      <c r="K1000" s="39"/>
      <c r="L1000" s="39"/>
      <c r="M1000" s="39"/>
      <c r="N1000" s="39"/>
      <c r="O1000" s="39"/>
      <c r="P1000" s="39"/>
      <c r="Q1000" s="39"/>
    </row>
    <row r="1001">
      <c r="D1001" s="49"/>
      <c r="K1001" s="39"/>
      <c r="L1001" s="39"/>
      <c r="M1001" s="39"/>
      <c r="N1001" s="39"/>
      <c r="O1001" s="39"/>
      <c r="P1001" s="39"/>
      <c r="Q1001" s="39"/>
    </row>
    <row r="1002">
      <c r="D1002" s="49"/>
      <c r="K1002" s="39"/>
      <c r="L1002" s="39"/>
      <c r="M1002" s="39"/>
      <c r="N1002" s="39"/>
      <c r="O1002" s="39"/>
      <c r="P1002" s="39"/>
      <c r="Q1002" s="39"/>
    </row>
    <row r="1003">
      <c r="D1003" s="49"/>
      <c r="K1003" s="39"/>
      <c r="L1003" s="39"/>
      <c r="M1003" s="39"/>
      <c r="N1003" s="39"/>
      <c r="O1003" s="39"/>
      <c r="P1003" s="39"/>
      <c r="Q1003" s="39"/>
    </row>
    <row r="1004">
      <c r="D1004" s="49"/>
      <c r="K1004" s="39"/>
      <c r="L1004" s="39"/>
      <c r="M1004" s="39"/>
      <c r="N1004" s="39"/>
      <c r="O1004" s="39"/>
      <c r="P1004" s="39"/>
      <c r="Q1004" s="39"/>
    </row>
    <row r="1005">
      <c r="D1005" s="49"/>
      <c r="K1005" s="39"/>
      <c r="L1005" s="39"/>
      <c r="M1005" s="39"/>
      <c r="N1005" s="39"/>
      <c r="O1005" s="39"/>
      <c r="P1005" s="39"/>
      <c r="Q1005" s="39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45261.0</v>
      </c>
      <c r="B2" s="20">
        <f t="shared" ref="B2:B32" si="1">SUM(L2+R2+X2+AD2+AJ2)</f>
        <v>0</v>
      </c>
      <c r="C2" s="21">
        <v>0.0</v>
      </c>
      <c r="D2" s="52">
        <f t="shared" ref="D2:D32" si="2">SUM(N2+T2+Z2+AF2+AL2)</f>
        <v>0</v>
      </c>
      <c r="E2" s="53">
        <f>D2</f>
        <v>0</v>
      </c>
      <c r="F2" s="54" t="str">
        <f>D2/C2</f>
        <v>#DIV/0!</v>
      </c>
      <c r="G2" s="25"/>
      <c r="H2" s="55"/>
      <c r="I2" s="56"/>
      <c r="J2" s="57">
        <f>IF(G2=0, 0, (E2/G2))</f>
        <v>0</v>
      </c>
      <c r="K2" s="28"/>
      <c r="L2" s="20"/>
      <c r="M2" s="21">
        <v>0.0</v>
      </c>
      <c r="N2" s="52"/>
      <c r="O2" s="53" t="str">
        <f>N2</f>
        <v/>
      </c>
      <c r="P2" s="54" t="str">
        <f>N2/M2</f>
        <v>#DIV/0!</v>
      </c>
      <c r="Q2" s="28"/>
      <c r="R2" s="20"/>
      <c r="S2" s="21">
        <v>0.0</v>
      </c>
      <c r="T2" s="52"/>
      <c r="U2" s="53" t="str">
        <f>T2</f>
        <v/>
      </c>
      <c r="V2" s="54" t="str">
        <f>T2/S2</f>
        <v>#DIV/0!</v>
      </c>
      <c r="W2" s="29"/>
      <c r="X2" s="20"/>
      <c r="Y2" s="21">
        <v>0.0</v>
      </c>
      <c r="Z2" s="52"/>
      <c r="AA2" s="53" t="str">
        <f>Z2</f>
        <v/>
      </c>
      <c r="AB2" s="54" t="str">
        <f>Z2/Y2</f>
        <v>#DIV/0!</v>
      </c>
      <c r="AC2" s="29"/>
      <c r="AD2" s="20"/>
      <c r="AE2" s="21">
        <v>0.0</v>
      </c>
      <c r="AF2" s="52"/>
      <c r="AG2" s="53" t="str">
        <f>AF2</f>
        <v/>
      </c>
      <c r="AH2" s="54" t="str">
        <f>AF2/AE2</f>
        <v>#DIV/0!</v>
      </c>
      <c r="AI2" s="29"/>
      <c r="AJ2" s="20"/>
      <c r="AK2" s="21">
        <v>0.0</v>
      </c>
      <c r="AL2" s="52"/>
      <c r="AM2" s="53" t="str">
        <f>AL2</f>
        <v/>
      </c>
      <c r="AN2" s="54" t="str">
        <f>AL2/AK2</f>
        <v>#DIV/0!</v>
      </c>
      <c r="AO2" s="29"/>
      <c r="AP2" s="20"/>
      <c r="AQ2" s="21">
        <v>0.0</v>
      </c>
      <c r="AR2" s="52"/>
      <c r="AS2" s="53" t="str">
        <f>AR2</f>
        <v/>
      </c>
      <c r="AT2" s="54" t="str">
        <f>AR2/AQ2</f>
        <v>#DIV/0!</v>
      </c>
      <c r="AU2" s="29"/>
      <c r="AV2" s="20"/>
      <c r="AW2" s="21">
        <v>0.0</v>
      </c>
      <c r="AX2" s="52"/>
      <c r="AY2" s="53" t="str">
        <f>AX2</f>
        <v/>
      </c>
      <c r="AZ2" s="54" t="str">
        <f>AX2/AW2</f>
        <v>#DIV/0!</v>
      </c>
      <c r="BA2" s="29"/>
      <c r="BB2" s="20"/>
      <c r="BC2" s="21">
        <v>0.0</v>
      </c>
      <c r="BD2" s="52"/>
      <c r="BE2" s="53" t="str">
        <f>BD2</f>
        <v/>
      </c>
      <c r="BF2" s="54" t="str">
        <f>BD2/BC2</f>
        <v>#DIV/0!</v>
      </c>
      <c r="BG2" s="30"/>
      <c r="BH2" s="30"/>
      <c r="BI2" s="30"/>
      <c r="BJ2" s="30"/>
      <c r="BK2" s="30"/>
      <c r="BL2" s="30"/>
      <c r="BM2" s="30"/>
      <c r="BN2" s="30"/>
      <c r="BO2" s="30"/>
      <c r="BP2" s="30"/>
    </row>
    <row r="3">
      <c r="A3" s="19">
        <v>45262.0</v>
      </c>
      <c r="B3" s="20">
        <f t="shared" si="1"/>
        <v>0</v>
      </c>
      <c r="C3" s="21">
        <f t="shared" ref="C3:C32" si="3">IF((B3&gt;0),(B3-B2),0)</f>
        <v>0</v>
      </c>
      <c r="D3" s="52">
        <f t="shared" si="2"/>
        <v>0</v>
      </c>
      <c r="E3" s="57">
        <f t="shared" ref="E3:E32" si="4">IF(OR(D3="", D3&lt;D2), 0, D3-D2)</f>
        <v>0</v>
      </c>
      <c r="F3" s="54">
        <f t="shared" ref="F3:F32" si="5">IF(C3=0, 0, (D3-D2)/C3)</f>
        <v>0</v>
      </c>
      <c r="G3" s="25"/>
      <c r="H3" s="55"/>
      <c r="I3" s="55"/>
      <c r="J3" s="57">
        <f t="shared" ref="J3:J33" si="6">IF(G3=0, 0, (E3)/G3)</f>
        <v>0</v>
      </c>
      <c r="M3" s="21">
        <f t="shared" ref="M3:M32" si="7">IF((L3&gt;0),(L3-L2),0)</f>
        <v>0</v>
      </c>
      <c r="N3" s="58"/>
      <c r="O3" s="57">
        <f t="shared" ref="O3:O32" si="8">IF(OR(N3="", N3&lt;N2), 0, N3-N2)</f>
        <v>0</v>
      </c>
      <c r="P3" s="54">
        <f t="shared" ref="P3:P32" si="9">IF(M3=0, 0, (N3-N2)/M3)</f>
        <v>0</v>
      </c>
      <c r="S3" s="21">
        <f t="shared" ref="S3:S32" si="10">IF((R3&gt;0),(R3-R2),0)</f>
        <v>0</v>
      </c>
      <c r="T3" s="55"/>
      <c r="U3" s="57">
        <f t="shared" ref="U3:U32" si="11">IF(OR(T3="", T3&lt;T2), 0, T3-T2)</f>
        <v>0</v>
      </c>
      <c r="V3" s="54">
        <f t="shared" ref="V3:V32" si="12">IF(S3=0, 0, (T3-T2)/S3)</f>
        <v>0</v>
      </c>
      <c r="Y3" s="21">
        <f t="shared" ref="Y3:Y32" si="13">IF((X3&gt;0),(X3-X2),0)</f>
        <v>0</v>
      </c>
      <c r="Z3" s="55"/>
      <c r="AA3" s="57">
        <f t="shared" ref="AA3:AA32" si="14">IF(OR(Z3="", Z3&lt;Z2), 0, Z3-Z2)</f>
        <v>0</v>
      </c>
      <c r="AB3" s="54">
        <f t="shared" ref="AB3:AB32" si="15">IF(Y3=0, 0, (Z3-Z2)/Y3)</f>
        <v>0</v>
      </c>
      <c r="AE3" s="21">
        <f t="shared" ref="AE3:AE32" si="16">IF((AD3&gt;0),(AD3-AD2),0)</f>
        <v>0</v>
      </c>
      <c r="AF3" s="55"/>
      <c r="AG3" s="57">
        <f t="shared" ref="AG3:AG32" si="17">IF(OR(AF3="", AF3&lt;AF2), 0, AF3-AF2)</f>
        <v>0</v>
      </c>
      <c r="AH3" s="54">
        <f t="shared" ref="AH3:AH32" si="18">IF(AE3=0, 0, (AF3-AF2)/AE3)</f>
        <v>0</v>
      </c>
      <c r="AK3" s="21">
        <f t="shared" ref="AK3:AK32" si="19">IF((AJ3&gt;0),(AJ3-AJ2),0)</f>
        <v>0</v>
      </c>
      <c r="AL3" s="55"/>
      <c r="AM3" s="57">
        <f t="shared" ref="AM3:AM32" si="20">IF(OR(AL3="", AL3&lt;AL2), 0, AL3-AL2)</f>
        <v>0</v>
      </c>
      <c r="AN3" s="54">
        <f t="shared" ref="AN3:AN32" si="21">IF(AK3=0, 0, (AL3-AL2)/AK3)</f>
        <v>0</v>
      </c>
      <c r="AQ3" s="21">
        <f t="shared" ref="AQ3:AQ32" si="22">IF((AP3&gt;0),(AP3-AP2),0)</f>
        <v>0</v>
      </c>
      <c r="AR3" s="55"/>
      <c r="AS3" s="57">
        <f t="shared" ref="AS3:AS32" si="23">IF(OR(AR3="", AR3&lt;AR2), 0, AR3-AR2)</f>
        <v>0</v>
      </c>
      <c r="AT3" s="54">
        <f t="shared" ref="AT3:AT32" si="24">IF(AQ3=0, 0, (AR3-AR2)/AQ3)</f>
        <v>0</v>
      </c>
      <c r="AW3" s="21">
        <f t="shared" ref="AW3:AW32" si="25">IF((AV3&gt;0),(AV3-AV2),0)</f>
        <v>0</v>
      </c>
      <c r="AX3" s="55"/>
      <c r="AY3" s="57">
        <f t="shared" ref="AY3:AY32" si="26">IF(OR(AX3="", AX3&lt;AX2), 0, AX3-AX2)</f>
        <v>0</v>
      </c>
      <c r="AZ3" s="54">
        <f t="shared" ref="AZ3:AZ32" si="27">IF(AW3=0, 0, (AX3-AX2)/AW3)</f>
        <v>0</v>
      </c>
      <c r="BC3" s="21">
        <f t="shared" ref="BC3:BC32" si="28">IF((BB3&gt;0),(BB3-BB2),0)</f>
        <v>0</v>
      </c>
      <c r="BD3" s="55"/>
      <c r="BE3" s="57">
        <f t="shared" ref="BE3:BE32" si="29">IF(OR(BD3="", BD3&lt;BD2), 0, BD3-BD2)</f>
        <v>0</v>
      </c>
      <c r="BF3" s="54">
        <f t="shared" ref="BF3:BF32" si="30">IF(BC3=0, 0, (BD3-BD2)/BC3)</f>
        <v>0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</row>
    <row r="4">
      <c r="A4" s="19">
        <v>45263.0</v>
      </c>
      <c r="B4" s="20">
        <f t="shared" si="1"/>
        <v>0</v>
      </c>
      <c r="C4" s="21">
        <f t="shared" si="3"/>
        <v>0</v>
      </c>
      <c r="D4" s="52">
        <f t="shared" si="2"/>
        <v>0</v>
      </c>
      <c r="E4" s="57">
        <f t="shared" si="4"/>
        <v>0</v>
      </c>
      <c r="F4" s="54">
        <f t="shared" si="5"/>
        <v>0</v>
      </c>
      <c r="G4" s="25"/>
      <c r="H4" s="55"/>
      <c r="I4" s="55"/>
      <c r="J4" s="57">
        <f t="shared" si="6"/>
        <v>0</v>
      </c>
      <c r="M4" s="21">
        <f t="shared" si="7"/>
        <v>0</v>
      </c>
      <c r="N4" s="59"/>
      <c r="O4" s="57">
        <f t="shared" si="8"/>
        <v>0</v>
      </c>
      <c r="P4" s="54">
        <f t="shared" si="9"/>
        <v>0</v>
      </c>
      <c r="S4" s="21">
        <f t="shared" si="10"/>
        <v>0</v>
      </c>
      <c r="T4" s="55"/>
      <c r="U4" s="57">
        <f t="shared" si="11"/>
        <v>0</v>
      </c>
      <c r="V4" s="54">
        <f t="shared" si="12"/>
        <v>0</v>
      </c>
      <c r="Y4" s="21">
        <f t="shared" si="13"/>
        <v>0</v>
      </c>
      <c r="Z4" s="55"/>
      <c r="AA4" s="57">
        <f t="shared" si="14"/>
        <v>0</v>
      </c>
      <c r="AB4" s="54">
        <f t="shared" si="15"/>
        <v>0</v>
      </c>
      <c r="AE4" s="21">
        <f t="shared" si="16"/>
        <v>0</v>
      </c>
      <c r="AF4" s="55"/>
      <c r="AG4" s="57">
        <f t="shared" si="17"/>
        <v>0</v>
      </c>
      <c r="AH4" s="54">
        <f t="shared" si="18"/>
        <v>0</v>
      </c>
      <c r="AK4" s="21">
        <f t="shared" si="19"/>
        <v>0</v>
      </c>
      <c r="AL4" s="55"/>
      <c r="AM4" s="57">
        <f t="shared" si="20"/>
        <v>0</v>
      </c>
      <c r="AN4" s="54">
        <f t="shared" si="21"/>
        <v>0</v>
      </c>
      <c r="AQ4" s="21">
        <f t="shared" si="22"/>
        <v>0</v>
      </c>
      <c r="AR4" s="55"/>
      <c r="AS4" s="57">
        <f t="shared" si="23"/>
        <v>0</v>
      </c>
      <c r="AT4" s="54">
        <f t="shared" si="24"/>
        <v>0</v>
      </c>
      <c r="AW4" s="21">
        <f t="shared" si="25"/>
        <v>0</v>
      </c>
      <c r="AX4" s="55"/>
      <c r="AY4" s="57">
        <f t="shared" si="26"/>
        <v>0</v>
      </c>
      <c r="AZ4" s="54">
        <f t="shared" si="27"/>
        <v>0</v>
      </c>
      <c r="BC4" s="21">
        <f t="shared" si="28"/>
        <v>0</v>
      </c>
      <c r="BD4" s="55"/>
      <c r="BE4" s="57">
        <f t="shared" si="29"/>
        <v>0</v>
      </c>
      <c r="BF4" s="54">
        <f t="shared" si="30"/>
        <v>0</v>
      </c>
      <c r="BG4" s="30"/>
      <c r="BH4" s="30"/>
      <c r="BI4" s="30"/>
      <c r="BJ4" s="30"/>
      <c r="BK4" s="30"/>
      <c r="BL4" s="30"/>
      <c r="BM4" s="30"/>
      <c r="BN4" s="30"/>
      <c r="BO4" s="30"/>
      <c r="BP4" s="30"/>
    </row>
    <row r="5">
      <c r="A5" s="19">
        <v>45264.0</v>
      </c>
      <c r="B5" s="20">
        <f t="shared" si="1"/>
        <v>0</v>
      </c>
      <c r="C5" s="21">
        <f t="shared" si="3"/>
        <v>0</v>
      </c>
      <c r="D5" s="52">
        <f t="shared" si="2"/>
        <v>0</v>
      </c>
      <c r="E5" s="57">
        <f t="shared" si="4"/>
        <v>0</v>
      </c>
      <c r="F5" s="54">
        <f t="shared" si="5"/>
        <v>0</v>
      </c>
      <c r="G5" s="31"/>
      <c r="H5" s="55"/>
      <c r="I5" s="55"/>
      <c r="J5" s="57">
        <f t="shared" si="6"/>
        <v>0</v>
      </c>
      <c r="M5" s="21">
        <f t="shared" si="7"/>
        <v>0</v>
      </c>
      <c r="N5" s="55"/>
      <c r="O5" s="57">
        <f t="shared" si="8"/>
        <v>0</v>
      </c>
      <c r="P5" s="54">
        <f t="shared" si="9"/>
        <v>0</v>
      </c>
      <c r="S5" s="21">
        <f t="shared" si="10"/>
        <v>0</v>
      </c>
      <c r="T5" s="55"/>
      <c r="U5" s="57">
        <f t="shared" si="11"/>
        <v>0</v>
      </c>
      <c r="V5" s="54">
        <f t="shared" si="12"/>
        <v>0</v>
      </c>
      <c r="Y5" s="21">
        <f t="shared" si="13"/>
        <v>0</v>
      </c>
      <c r="Z5" s="55"/>
      <c r="AA5" s="57">
        <f t="shared" si="14"/>
        <v>0</v>
      </c>
      <c r="AB5" s="54">
        <f t="shared" si="15"/>
        <v>0</v>
      </c>
      <c r="AE5" s="21">
        <f t="shared" si="16"/>
        <v>0</v>
      </c>
      <c r="AF5" s="55"/>
      <c r="AG5" s="57">
        <f t="shared" si="17"/>
        <v>0</v>
      </c>
      <c r="AH5" s="54">
        <f t="shared" si="18"/>
        <v>0</v>
      </c>
      <c r="AK5" s="21">
        <f t="shared" si="19"/>
        <v>0</v>
      </c>
      <c r="AL5" s="55"/>
      <c r="AM5" s="57">
        <f t="shared" si="20"/>
        <v>0</v>
      </c>
      <c r="AN5" s="54">
        <f t="shared" si="21"/>
        <v>0</v>
      </c>
      <c r="AQ5" s="21">
        <f t="shared" si="22"/>
        <v>0</v>
      </c>
      <c r="AR5" s="55"/>
      <c r="AS5" s="57">
        <f t="shared" si="23"/>
        <v>0</v>
      </c>
      <c r="AT5" s="54">
        <f t="shared" si="24"/>
        <v>0</v>
      </c>
      <c r="AW5" s="21">
        <f t="shared" si="25"/>
        <v>0</v>
      </c>
      <c r="AX5" s="55"/>
      <c r="AY5" s="57">
        <f t="shared" si="26"/>
        <v>0</v>
      </c>
      <c r="AZ5" s="54">
        <f t="shared" si="27"/>
        <v>0</v>
      </c>
      <c r="BC5" s="21">
        <f t="shared" si="28"/>
        <v>0</v>
      </c>
      <c r="BD5" s="55"/>
      <c r="BE5" s="57">
        <f t="shared" si="29"/>
        <v>0</v>
      </c>
      <c r="BF5" s="54">
        <f t="shared" si="30"/>
        <v>0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</row>
    <row r="6">
      <c r="A6" s="19">
        <v>45265.0</v>
      </c>
      <c r="B6" s="20">
        <f t="shared" si="1"/>
        <v>0</v>
      </c>
      <c r="C6" s="21">
        <f t="shared" si="3"/>
        <v>0</v>
      </c>
      <c r="D6" s="52">
        <f t="shared" si="2"/>
        <v>0</v>
      </c>
      <c r="E6" s="57">
        <f t="shared" si="4"/>
        <v>0</v>
      </c>
      <c r="F6" s="54">
        <f t="shared" si="5"/>
        <v>0</v>
      </c>
      <c r="G6" s="25"/>
      <c r="H6" s="55"/>
      <c r="I6" s="55"/>
      <c r="J6" s="57">
        <f t="shared" si="6"/>
        <v>0</v>
      </c>
      <c r="M6" s="21">
        <f t="shared" si="7"/>
        <v>0</v>
      </c>
      <c r="N6" s="55"/>
      <c r="O6" s="57">
        <f t="shared" si="8"/>
        <v>0</v>
      </c>
      <c r="P6" s="54">
        <f t="shared" si="9"/>
        <v>0</v>
      </c>
      <c r="S6" s="21">
        <f t="shared" si="10"/>
        <v>0</v>
      </c>
      <c r="T6" s="55"/>
      <c r="U6" s="57">
        <f t="shared" si="11"/>
        <v>0</v>
      </c>
      <c r="V6" s="54">
        <f t="shared" si="12"/>
        <v>0</v>
      </c>
      <c r="Y6" s="21">
        <f t="shared" si="13"/>
        <v>0</v>
      </c>
      <c r="Z6" s="55"/>
      <c r="AA6" s="57">
        <f t="shared" si="14"/>
        <v>0</v>
      </c>
      <c r="AB6" s="54">
        <f t="shared" si="15"/>
        <v>0</v>
      </c>
      <c r="AE6" s="21">
        <f t="shared" si="16"/>
        <v>0</v>
      </c>
      <c r="AF6" s="55"/>
      <c r="AG6" s="57">
        <f t="shared" si="17"/>
        <v>0</v>
      </c>
      <c r="AH6" s="54">
        <f t="shared" si="18"/>
        <v>0</v>
      </c>
      <c r="AK6" s="21">
        <f t="shared" si="19"/>
        <v>0</v>
      </c>
      <c r="AL6" s="55"/>
      <c r="AM6" s="57">
        <f t="shared" si="20"/>
        <v>0</v>
      </c>
      <c r="AN6" s="54">
        <f t="shared" si="21"/>
        <v>0</v>
      </c>
      <c r="AQ6" s="21">
        <f t="shared" si="22"/>
        <v>0</v>
      </c>
      <c r="AR6" s="55"/>
      <c r="AS6" s="57">
        <f t="shared" si="23"/>
        <v>0</v>
      </c>
      <c r="AT6" s="54">
        <f t="shared" si="24"/>
        <v>0</v>
      </c>
      <c r="AW6" s="21">
        <f t="shared" si="25"/>
        <v>0</v>
      </c>
      <c r="AX6" s="55"/>
      <c r="AY6" s="57">
        <f t="shared" si="26"/>
        <v>0</v>
      </c>
      <c r="AZ6" s="54">
        <f t="shared" si="27"/>
        <v>0</v>
      </c>
      <c r="BC6" s="21">
        <f t="shared" si="28"/>
        <v>0</v>
      </c>
      <c r="BD6" s="55"/>
      <c r="BE6" s="57">
        <f t="shared" si="29"/>
        <v>0</v>
      </c>
      <c r="BF6" s="54">
        <f t="shared" si="30"/>
        <v>0</v>
      </c>
      <c r="BG6" s="30"/>
      <c r="BH6" s="30"/>
      <c r="BI6" s="30"/>
      <c r="BJ6" s="30"/>
      <c r="BK6" s="30"/>
      <c r="BL6" s="30"/>
      <c r="BM6" s="30"/>
      <c r="BN6" s="30"/>
      <c r="BO6" s="30"/>
      <c r="BP6" s="30"/>
    </row>
    <row r="7">
      <c r="A7" s="19">
        <v>45266.0</v>
      </c>
      <c r="B7" s="20">
        <f t="shared" si="1"/>
        <v>0</v>
      </c>
      <c r="C7" s="21">
        <f t="shared" si="3"/>
        <v>0</v>
      </c>
      <c r="D7" s="52">
        <f t="shared" si="2"/>
        <v>0</v>
      </c>
      <c r="E7" s="57">
        <f t="shared" si="4"/>
        <v>0</v>
      </c>
      <c r="F7" s="54">
        <f t="shared" si="5"/>
        <v>0</v>
      </c>
      <c r="G7" s="31"/>
      <c r="H7" s="55"/>
      <c r="I7" s="55"/>
      <c r="J7" s="57">
        <f t="shared" si="6"/>
        <v>0</v>
      </c>
      <c r="M7" s="21">
        <f t="shared" si="7"/>
        <v>0</v>
      </c>
      <c r="N7" s="55"/>
      <c r="O7" s="57">
        <f t="shared" si="8"/>
        <v>0</v>
      </c>
      <c r="P7" s="54">
        <f t="shared" si="9"/>
        <v>0</v>
      </c>
      <c r="S7" s="21">
        <f t="shared" si="10"/>
        <v>0</v>
      </c>
      <c r="T7" s="55"/>
      <c r="U7" s="57">
        <f t="shared" si="11"/>
        <v>0</v>
      </c>
      <c r="V7" s="54">
        <f t="shared" si="12"/>
        <v>0</v>
      </c>
      <c r="Y7" s="21">
        <f t="shared" si="13"/>
        <v>0</v>
      </c>
      <c r="Z7" s="55"/>
      <c r="AA7" s="57">
        <f t="shared" si="14"/>
        <v>0</v>
      </c>
      <c r="AB7" s="54">
        <f t="shared" si="15"/>
        <v>0</v>
      </c>
      <c r="AE7" s="21">
        <f t="shared" si="16"/>
        <v>0</v>
      </c>
      <c r="AF7" s="55"/>
      <c r="AG7" s="57">
        <f t="shared" si="17"/>
        <v>0</v>
      </c>
      <c r="AH7" s="54">
        <f t="shared" si="18"/>
        <v>0</v>
      </c>
      <c r="AK7" s="21">
        <f t="shared" si="19"/>
        <v>0</v>
      </c>
      <c r="AL7" s="55"/>
      <c r="AM7" s="57">
        <f t="shared" si="20"/>
        <v>0</v>
      </c>
      <c r="AN7" s="54">
        <f t="shared" si="21"/>
        <v>0</v>
      </c>
      <c r="AQ7" s="21">
        <f t="shared" si="22"/>
        <v>0</v>
      </c>
      <c r="AR7" s="55"/>
      <c r="AS7" s="57">
        <f t="shared" si="23"/>
        <v>0</v>
      </c>
      <c r="AT7" s="54">
        <f t="shared" si="24"/>
        <v>0</v>
      </c>
      <c r="AW7" s="21">
        <f t="shared" si="25"/>
        <v>0</v>
      </c>
      <c r="AX7" s="55"/>
      <c r="AY7" s="57">
        <f t="shared" si="26"/>
        <v>0</v>
      </c>
      <c r="AZ7" s="54">
        <f t="shared" si="27"/>
        <v>0</v>
      </c>
      <c r="BC7" s="21">
        <f t="shared" si="28"/>
        <v>0</v>
      </c>
      <c r="BD7" s="55"/>
      <c r="BE7" s="57">
        <f t="shared" si="29"/>
        <v>0</v>
      </c>
      <c r="BF7" s="54">
        <f t="shared" si="30"/>
        <v>0</v>
      </c>
      <c r="BG7" s="30"/>
      <c r="BH7" s="30"/>
      <c r="BI7" s="30"/>
      <c r="BJ7" s="30"/>
      <c r="BK7" s="30"/>
      <c r="BL7" s="30"/>
      <c r="BM7" s="30"/>
      <c r="BN7" s="30"/>
      <c r="BO7" s="30"/>
      <c r="BP7" s="30"/>
    </row>
    <row r="8">
      <c r="A8" s="19">
        <v>45267.0</v>
      </c>
      <c r="B8" s="20">
        <f t="shared" si="1"/>
        <v>0</v>
      </c>
      <c r="C8" s="21">
        <f t="shared" si="3"/>
        <v>0</v>
      </c>
      <c r="D8" s="52">
        <f t="shared" si="2"/>
        <v>0</v>
      </c>
      <c r="E8" s="57">
        <f t="shared" si="4"/>
        <v>0</v>
      </c>
      <c r="F8" s="54">
        <f t="shared" si="5"/>
        <v>0</v>
      </c>
      <c r="H8" s="55"/>
      <c r="I8" s="55"/>
      <c r="J8" s="57">
        <f t="shared" si="6"/>
        <v>0</v>
      </c>
      <c r="M8" s="21">
        <f t="shared" si="7"/>
        <v>0</v>
      </c>
      <c r="N8" s="55"/>
      <c r="O8" s="57">
        <f t="shared" si="8"/>
        <v>0</v>
      </c>
      <c r="P8" s="54">
        <f t="shared" si="9"/>
        <v>0</v>
      </c>
      <c r="S8" s="21">
        <f t="shared" si="10"/>
        <v>0</v>
      </c>
      <c r="T8" s="55"/>
      <c r="U8" s="57">
        <f t="shared" si="11"/>
        <v>0</v>
      </c>
      <c r="V8" s="54">
        <f t="shared" si="12"/>
        <v>0</v>
      </c>
      <c r="Y8" s="21">
        <f t="shared" si="13"/>
        <v>0</v>
      </c>
      <c r="Z8" s="55"/>
      <c r="AA8" s="57">
        <f t="shared" si="14"/>
        <v>0</v>
      </c>
      <c r="AB8" s="54">
        <f t="shared" si="15"/>
        <v>0</v>
      </c>
      <c r="AE8" s="21">
        <f t="shared" si="16"/>
        <v>0</v>
      </c>
      <c r="AF8" s="55"/>
      <c r="AG8" s="57">
        <f t="shared" si="17"/>
        <v>0</v>
      </c>
      <c r="AH8" s="54">
        <f t="shared" si="18"/>
        <v>0</v>
      </c>
      <c r="AK8" s="21">
        <f t="shared" si="19"/>
        <v>0</v>
      </c>
      <c r="AL8" s="55"/>
      <c r="AM8" s="57">
        <f t="shared" si="20"/>
        <v>0</v>
      </c>
      <c r="AN8" s="54">
        <f t="shared" si="21"/>
        <v>0</v>
      </c>
      <c r="AQ8" s="21">
        <f t="shared" si="22"/>
        <v>0</v>
      </c>
      <c r="AR8" s="55"/>
      <c r="AS8" s="57">
        <f t="shared" si="23"/>
        <v>0</v>
      </c>
      <c r="AT8" s="54">
        <f t="shared" si="24"/>
        <v>0</v>
      </c>
      <c r="AW8" s="21">
        <f t="shared" si="25"/>
        <v>0</v>
      </c>
      <c r="AX8" s="55"/>
      <c r="AY8" s="57">
        <f t="shared" si="26"/>
        <v>0</v>
      </c>
      <c r="AZ8" s="54">
        <f t="shared" si="27"/>
        <v>0</v>
      </c>
      <c r="BC8" s="21">
        <f t="shared" si="28"/>
        <v>0</v>
      </c>
      <c r="BD8" s="55"/>
      <c r="BE8" s="57">
        <f t="shared" si="29"/>
        <v>0</v>
      </c>
      <c r="BF8" s="54">
        <f t="shared" si="30"/>
        <v>0</v>
      </c>
      <c r="BG8" s="30"/>
      <c r="BH8" s="30"/>
      <c r="BI8" s="30"/>
      <c r="BJ8" s="30"/>
      <c r="BK8" s="30"/>
      <c r="BL8" s="30"/>
      <c r="BM8" s="30"/>
      <c r="BN8" s="30"/>
      <c r="BO8" s="30"/>
      <c r="BP8" s="30"/>
    </row>
    <row r="9">
      <c r="A9" s="19">
        <v>45268.0</v>
      </c>
      <c r="B9" s="20">
        <f t="shared" si="1"/>
        <v>0</v>
      </c>
      <c r="C9" s="21">
        <f t="shared" si="3"/>
        <v>0</v>
      </c>
      <c r="D9" s="52">
        <f t="shared" si="2"/>
        <v>0</v>
      </c>
      <c r="E9" s="57">
        <f t="shared" si="4"/>
        <v>0</v>
      </c>
      <c r="F9" s="54">
        <f t="shared" si="5"/>
        <v>0</v>
      </c>
      <c r="H9" s="55"/>
      <c r="I9" s="55"/>
      <c r="J9" s="57">
        <f t="shared" si="6"/>
        <v>0</v>
      </c>
      <c r="M9" s="21">
        <f t="shared" si="7"/>
        <v>0</v>
      </c>
      <c r="N9" s="55"/>
      <c r="O9" s="57">
        <f t="shared" si="8"/>
        <v>0</v>
      </c>
      <c r="P9" s="54">
        <f t="shared" si="9"/>
        <v>0</v>
      </c>
      <c r="S9" s="21">
        <f t="shared" si="10"/>
        <v>0</v>
      </c>
      <c r="T9" s="55"/>
      <c r="U9" s="57">
        <f t="shared" si="11"/>
        <v>0</v>
      </c>
      <c r="V9" s="54">
        <f t="shared" si="12"/>
        <v>0</v>
      </c>
      <c r="Y9" s="21">
        <f t="shared" si="13"/>
        <v>0</v>
      </c>
      <c r="Z9" s="55"/>
      <c r="AA9" s="57">
        <f t="shared" si="14"/>
        <v>0</v>
      </c>
      <c r="AB9" s="54">
        <f t="shared" si="15"/>
        <v>0</v>
      </c>
      <c r="AE9" s="21">
        <f t="shared" si="16"/>
        <v>0</v>
      </c>
      <c r="AF9" s="55"/>
      <c r="AG9" s="57">
        <f t="shared" si="17"/>
        <v>0</v>
      </c>
      <c r="AH9" s="54">
        <f t="shared" si="18"/>
        <v>0</v>
      </c>
      <c r="AK9" s="21">
        <f t="shared" si="19"/>
        <v>0</v>
      </c>
      <c r="AL9" s="55"/>
      <c r="AM9" s="57">
        <f t="shared" si="20"/>
        <v>0</v>
      </c>
      <c r="AN9" s="54">
        <f t="shared" si="21"/>
        <v>0</v>
      </c>
      <c r="AQ9" s="21">
        <f t="shared" si="22"/>
        <v>0</v>
      </c>
      <c r="AR9" s="55"/>
      <c r="AS9" s="57">
        <f t="shared" si="23"/>
        <v>0</v>
      </c>
      <c r="AT9" s="54">
        <f t="shared" si="24"/>
        <v>0</v>
      </c>
      <c r="AW9" s="21">
        <f t="shared" si="25"/>
        <v>0</v>
      </c>
      <c r="AX9" s="55"/>
      <c r="AY9" s="57">
        <f t="shared" si="26"/>
        <v>0</v>
      </c>
      <c r="AZ9" s="54">
        <f t="shared" si="27"/>
        <v>0</v>
      </c>
      <c r="BC9" s="21">
        <f t="shared" si="28"/>
        <v>0</v>
      </c>
      <c r="BD9" s="55"/>
      <c r="BE9" s="57">
        <f t="shared" si="29"/>
        <v>0</v>
      </c>
      <c r="BF9" s="54">
        <f t="shared" si="30"/>
        <v>0</v>
      </c>
      <c r="BG9" s="30"/>
      <c r="BH9" s="30"/>
      <c r="BI9" s="30"/>
      <c r="BJ9" s="30"/>
      <c r="BK9" s="30"/>
      <c r="BL9" s="30"/>
      <c r="BM9" s="30"/>
      <c r="BN9" s="30"/>
      <c r="BO9" s="30"/>
      <c r="BP9" s="30"/>
    </row>
    <row r="10">
      <c r="A10" s="19">
        <v>45269.0</v>
      </c>
      <c r="B10" s="20">
        <f t="shared" si="1"/>
        <v>0</v>
      </c>
      <c r="C10" s="21">
        <f t="shared" si="3"/>
        <v>0</v>
      </c>
      <c r="D10" s="52">
        <f t="shared" si="2"/>
        <v>0</v>
      </c>
      <c r="E10" s="57">
        <f t="shared" si="4"/>
        <v>0</v>
      </c>
      <c r="F10" s="54">
        <f t="shared" si="5"/>
        <v>0</v>
      </c>
      <c r="H10" s="55"/>
      <c r="I10" s="55"/>
      <c r="J10" s="57">
        <f t="shared" si="6"/>
        <v>0</v>
      </c>
      <c r="L10" s="20"/>
      <c r="M10" s="21">
        <f t="shared" si="7"/>
        <v>0</v>
      </c>
      <c r="N10" s="52"/>
      <c r="O10" s="57">
        <f t="shared" si="8"/>
        <v>0</v>
      </c>
      <c r="P10" s="54">
        <f t="shared" si="9"/>
        <v>0</v>
      </c>
      <c r="R10" s="20"/>
      <c r="S10" s="21">
        <f t="shared" si="10"/>
        <v>0</v>
      </c>
      <c r="T10" s="52"/>
      <c r="U10" s="57">
        <f t="shared" si="11"/>
        <v>0</v>
      </c>
      <c r="V10" s="54">
        <f t="shared" si="12"/>
        <v>0</v>
      </c>
      <c r="X10" s="20"/>
      <c r="Y10" s="21">
        <f t="shared" si="13"/>
        <v>0</v>
      </c>
      <c r="Z10" s="52"/>
      <c r="AA10" s="57">
        <f t="shared" si="14"/>
        <v>0</v>
      </c>
      <c r="AB10" s="54">
        <f t="shared" si="15"/>
        <v>0</v>
      </c>
      <c r="AD10" s="20"/>
      <c r="AE10" s="21">
        <f t="shared" si="16"/>
        <v>0</v>
      </c>
      <c r="AF10" s="52"/>
      <c r="AG10" s="57">
        <f t="shared" si="17"/>
        <v>0</v>
      </c>
      <c r="AH10" s="54">
        <f t="shared" si="18"/>
        <v>0</v>
      </c>
      <c r="AJ10" s="20"/>
      <c r="AK10" s="21">
        <f t="shared" si="19"/>
        <v>0</v>
      </c>
      <c r="AL10" s="52"/>
      <c r="AM10" s="57">
        <f t="shared" si="20"/>
        <v>0</v>
      </c>
      <c r="AN10" s="54">
        <f t="shared" si="21"/>
        <v>0</v>
      </c>
      <c r="AP10" s="20"/>
      <c r="AQ10" s="21">
        <f t="shared" si="22"/>
        <v>0</v>
      </c>
      <c r="AR10" s="52"/>
      <c r="AS10" s="57">
        <f t="shared" si="23"/>
        <v>0</v>
      </c>
      <c r="AT10" s="54">
        <f t="shared" si="24"/>
        <v>0</v>
      </c>
      <c r="AV10" s="20"/>
      <c r="AW10" s="21">
        <f t="shared" si="25"/>
        <v>0</v>
      </c>
      <c r="AX10" s="52"/>
      <c r="AY10" s="57">
        <f t="shared" si="26"/>
        <v>0</v>
      </c>
      <c r="AZ10" s="54">
        <f t="shared" si="27"/>
        <v>0</v>
      </c>
      <c r="BB10" s="20"/>
      <c r="BC10" s="21">
        <f t="shared" si="28"/>
        <v>0</v>
      </c>
      <c r="BD10" s="52"/>
      <c r="BE10" s="57">
        <f t="shared" si="29"/>
        <v>0</v>
      </c>
      <c r="BF10" s="54">
        <f t="shared" si="30"/>
        <v>0</v>
      </c>
      <c r="BG10" s="30"/>
      <c r="BH10" s="30"/>
      <c r="BI10" s="30"/>
      <c r="BJ10" s="30"/>
      <c r="BK10" s="30"/>
      <c r="BL10" s="30"/>
      <c r="BM10" s="30"/>
      <c r="BN10" s="30"/>
      <c r="BO10" s="30"/>
      <c r="BP10" s="30"/>
    </row>
    <row r="11">
      <c r="A11" s="19">
        <v>45270.0</v>
      </c>
      <c r="B11" s="20">
        <f t="shared" si="1"/>
        <v>0</v>
      </c>
      <c r="C11" s="21">
        <f t="shared" si="3"/>
        <v>0</v>
      </c>
      <c r="D11" s="52">
        <f t="shared" si="2"/>
        <v>0</v>
      </c>
      <c r="E11" s="57">
        <f t="shared" si="4"/>
        <v>0</v>
      </c>
      <c r="F11" s="54">
        <f t="shared" si="5"/>
        <v>0</v>
      </c>
      <c r="H11" s="55"/>
      <c r="I11" s="55"/>
      <c r="J11" s="57">
        <f t="shared" si="6"/>
        <v>0</v>
      </c>
      <c r="L11" s="20"/>
      <c r="M11" s="21">
        <f t="shared" si="7"/>
        <v>0</v>
      </c>
      <c r="N11" s="52"/>
      <c r="O11" s="57">
        <f t="shared" si="8"/>
        <v>0</v>
      </c>
      <c r="P11" s="54">
        <f t="shared" si="9"/>
        <v>0</v>
      </c>
      <c r="R11" s="20"/>
      <c r="S11" s="21">
        <f t="shared" si="10"/>
        <v>0</v>
      </c>
      <c r="T11" s="52"/>
      <c r="U11" s="57">
        <f t="shared" si="11"/>
        <v>0</v>
      </c>
      <c r="V11" s="54">
        <f t="shared" si="12"/>
        <v>0</v>
      </c>
      <c r="X11" s="20"/>
      <c r="Y11" s="21">
        <f t="shared" si="13"/>
        <v>0</v>
      </c>
      <c r="Z11" s="52"/>
      <c r="AA11" s="57">
        <f t="shared" si="14"/>
        <v>0</v>
      </c>
      <c r="AB11" s="54">
        <f t="shared" si="15"/>
        <v>0</v>
      </c>
      <c r="AD11" s="20"/>
      <c r="AE11" s="21">
        <f t="shared" si="16"/>
        <v>0</v>
      </c>
      <c r="AF11" s="52"/>
      <c r="AG11" s="57">
        <f t="shared" si="17"/>
        <v>0</v>
      </c>
      <c r="AH11" s="54">
        <f t="shared" si="18"/>
        <v>0</v>
      </c>
      <c r="AJ11" s="20"/>
      <c r="AK11" s="21">
        <f t="shared" si="19"/>
        <v>0</v>
      </c>
      <c r="AL11" s="52"/>
      <c r="AM11" s="57">
        <f t="shared" si="20"/>
        <v>0</v>
      </c>
      <c r="AN11" s="54">
        <f t="shared" si="21"/>
        <v>0</v>
      </c>
      <c r="AP11" s="20"/>
      <c r="AQ11" s="21">
        <f t="shared" si="22"/>
        <v>0</v>
      </c>
      <c r="AR11" s="52"/>
      <c r="AS11" s="57">
        <f t="shared" si="23"/>
        <v>0</v>
      </c>
      <c r="AT11" s="54">
        <f t="shared" si="24"/>
        <v>0</v>
      </c>
      <c r="AV11" s="20"/>
      <c r="AW11" s="21">
        <f t="shared" si="25"/>
        <v>0</v>
      </c>
      <c r="AX11" s="52"/>
      <c r="AY11" s="57">
        <f t="shared" si="26"/>
        <v>0</v>
      </c>
      <c r="AZ11" s="54">
        <f t="shared" si="27"/>
        <v>0</v>
      </c>
      <c r="BB11" s="20"/>
      <c r="BC11" s="21">
        <f t="shared" si="28"/>
        <v>0</v>
      </c>
      <c r="BD11" s="52"/>
      <c r="BE11" s="57">
        <f t="shared" si="29"/>
        <v>0</v>
      </c>
      <c r="BF11" s="54">
        <f t="shared" si="30"/>
        <v>0</v>
      </c>
      <c r="BG11" s="30"/>
      <c r="BH11" s="30"/>
      <c r="BI11" s="30"/>
      <c r="BJ11" s="30"/>
      <c r="BK11" s="30"/>
      <c r="BL11" s="30"/>
      <c r="BM11" s="30"/>
      <c r="BN11" s="30"/>
      <c r="BO11" s="30"/>
      <c r="BP11" s="30"/>
    </row>
    <row r="12">
      <c r="A12" s="19">
        <v>45271.0</v>
      </c>
      <c r="B12" s="20">
        <f t="shared" si="1"/>
        <v>0</v>
      </c>
      <c r="C12" s="21">
        <f t="shared" si="3"/>
        <v>0</v>
      </c>
      <c r="D12" s="52">
        <f t="shared" si="2"/>
        <v>0</v>
      </c>
      <c r="E12" s="57">
        <f t="shared" si="4"/>
        <v>0</v>
      </c>
      <c r="F12" s="54">
        <f t="shared" si="5"/>
        <v>0</v>
      </c>
      <c r="H12" s="55"/>
      <c r="I12" s="55"/>
      <c r="J12" s="57">
        <f t="shared" si="6"/>
        <v>0</v>
      </c>
      <c r="M12" s="21">
        <f t="shared" si="7"/>
        <v>0</v>
      </c>
      <c r="N12" s="55"/>
      <c r="O12" s="57">
        <f t="shared" si="8"/>
        <v>0</v>
      </c>
      <c r="P12" s="54">
        <f t="shared" si="9"/>
        <v>0</v>
      </c>
      <c r="S12" s="21">
        <f t="shared" si="10"/>
        <v>0</v>
      </c>
      <c r="T12" s="55"/>
      <c r="U12" s="57">
        <f t="shared" si="11"/>
        <v>0</v>
      </c>
      <c r="V12" s="54">
        <f t="shared" si="12"/>
        <v>0</v>
      </c>
      <c r="Y12" s="21">
        <f t="shared" si="13"/>
        <v>0</v>
      </c>
      <c r="Z12" s="55"/>
      <c r="AA12" s="57">
        <f t="shared" si="14"/>
        <v>0</v>
      </c>
      <c r="AB12" s="54">
        <f t="shared" si="15"/>
        <v>0</v>
      </c>
      <c r="AE12" s="21">
        <f t="shared" si="16"/>
        <v>0</v>
      </c>
      <c r="AF12" s="55"/>
      <c r="AG12" s="57">
        <f t="shared" si="17"/>
        <v>0</v>
      </c>
      <c r="AH12" s="54">
        <f t="shared" si="18"/>
        <v>0</v>
      </c>
      <c r="AK12" s="21">
        <f t="shared" si="19"/>
        <v>0</v>
      </c>
      <c r="AL12" s="55"/>
      <c r="AM12" s="57">
        <f t="shared" si="20"/>
        <v>0</v>
      </c>
      <c r="AN12" s="54">
        <f t="shared" si="21"/>
        <v>0</v>
      </c>
      <c r="AQ12" s="21">
        <f t="shared" si="22"/>
        <v>0</v>
      </c>
      <c r="AR12" s="55"/>
      <c r="AS12" s="57">
        <f t="shared" si="23"/>
        <v>0</v>
      </c>
      <c r="AT12" s="54">
        <f t="shared" si="24"/>
        <v>0</v>
      </c>
      <c r="AW12" s="21">
        <f t="shared" si="25"/>
        <v>0</v>
      </c>
      <c r="AX12" s="55"/>
      <c r="AY12" s="57">
        <f t="shared" si="26"/>
        <v>0</v>
      </c>
      <c r="AZ12" s="54">
        <f t="shared" si="27"/>
        <v>0</v>
      </c>
      <c r="BC12" s="21">
        <f t="shared" si="28"/>
        <v>0</v>
      </c>
      <c r="BD12" s="55"/>
      <c r="BE12" s="57">
        <f t="shared" si="29"/>
        <v>0</v>
      </c>
      <c r="BF12" s="54">
        <f t="shared" si="30"/>
        <v>0</v>
      </c>
      <c r="BG12" s="30"/>
      <c r="BH12" s="30"/>
      <c r="BI12" s="30"/>
      <c r="BJ12" s="30"/>
      <c r="BK12" s="30"/>
      <c r="BL12" s="30"/>
      <c r="BM12" s="30"/>
      <c r="BN12" s="30"/>
      <c r="BO12" s="30"/>
      <c r="BP12" s="30"/>
    </row>
    <row r="13">
      <c r="A13" s="19">
        <v>45272.0</v>
      </c>
      <c r="B13" s="20">
        <f t="shared" si="1"/>
        <v>0</v>
      </c>
      <c r="C13" s="21">
        <f t="shared" si="3"/>
        <v>0</v>
      </c>
      <c r="D13" s="52">
        <f t="shared" si="2"/>
        <v>0</v>
      </c>
      <c r="E13" s="57">
        <f t="shared" si="4"/>
        <v>0</v>
      </c>
      <c r="F13" s="54">
        <f t="shared" si="5"/>
        <v>0</v>
      </c>
      <c r="H13" s="55"/>
      <c r="I13" s="55"/>
      <c r="J13" s="57">
        <f t="shared" si="6"/>
        <v>0</v>
      </c>
      <c r="L13" s="20"/>
      <c r="M13" s="21">
        <f t="shared" si="7"/>
        <v>0</v>
      </c>
      <c r="N13" s="60"/>
      <c r="O13" s="57">
        <f t="shared" si="8"/>
        <v>0</v>
      </c>
      <c r="P13" s="54">
        <f t="shared" si="9"/>
        <v>0</v>
      </c>
      <c r="R13" s="20"/>
      <c r="S13" s="21">
        <f t="shared" si="10"/>
        <v>0</v>
      </c>
      <c r="T13" s="55"/>
      <c r="U13" s="57">
        <f t="shared" si="11"/>
        <v>0</v>
      </c>
      <c r="V13" s="54">
        <f t="shared" si="12"/>
        <v>0</v>
      </c>
      <c r="X13" s="20"/>
      <c r="Y13" s="21">
        <f t="shared" si="13"/>
        <v>0</v>
      </c>
      <c r="Z13" s="55"/>
      <c r="AA13" s="57">
        <f t="shared" si="14"/>
        <v>0</v>
      </c>
      <c r="AB13" s="54">
        <f t="shared" si="15"/>
        <v>0</v>
      </c>
      <c r="AD13" s="20"/>
      <c r="AE13" s="21">
        <f t="shared" si="16"/>
        <v>0</v>
      </c>
      <c r="AF13" s="55"/>
      <c r="AG13" s="57">
        <f t="shared" si="17"/>
        <v>0</v>
      </c>
      <c r="AH13" s="54">
        <f t="shared" si="18"/>
        <v>0</v>
      </c>
      <c r="AJ13" s="20"/>
      <c r="AK13" s="21">
        <f t="shared" si="19"/>
        <v>0</v>
      </c>
      <c r="AL13" s="55"/>
      <c r="AM13" s="57">
        <f t="shared" si="20"/>
        <v>0</v>
      </c>
      <c r="AN13" s="54">
        <f t="shared" si="21"/>
        <v>0</v>
      </c>
      <c r="AP13" s="20"/>
      <c r="AQ13" s="21">
        <f t="shared" si="22"/>
        <v>0</v>
      </c>
      <c r="AR13" s="55"/>
      <c r="AS13" s="57">
        <f t="shared" si="23"/>
        <v>0</v>
      </c>
      <c r="AT13" s="54">
        <f t="shared" si="24"/>
        <v>0</v>
      </c>
      <c r="AV13" s="20"/>
      <c r="AW13" s="21">
        <f t="shared" si="25"/>
        <v>0</v>
      </c>
      <c r="AX13" s="55"/>
      <c r="AY13" s="57">
        <f t="shared" si="26"/>
        <v>0</v>
      </c>
      <c r="AZ13" s="54">
        <f t="shared" si="27"/>
        <v>0</v>
      </c>
      <c r="BB13" s="20"/>
      <c r="BC13" s="21">
        <f t="shared" si="28"/>
        <v>0</v>
      </c>
      <c r="BD13" s="55"/>
      <c r="BE13" s="57">
        <f t="shared" si="29"/>
        <v>0</v>
      </c>
      <c r="BF13" s="54">
        <f t="shared" si="30"/>
        <v>0</v>
      </c>
      <c r="BG13" s="30"/>
      <c r="BH13" s="30"/>
      <c r="BI13" s="30"/>
      <c r="BJ13" s="30"/>
      <c r="BK13" s="30"/>
      <c r="BL13" s="30"/>
      <c r="BM13" s="30"/>
      <c r="BN13" s="30"/>
      <c r="BO13" s="30"/>
      <c r="BP13" s="30"/>
    </row>
    <row r="14">
      <c r="A14" s="19">
        <v>45273.0</v>
      </c>
      <c r="B14" s="20">
        <f t="shared" si="1"/>
        <v>0</v>
      </c>
      <c r="C14" s="21">
        <f t="shared" si="3"/>
        <v>0</v>
      </c>
      <c r="D14" s="52">
        <f t="shared" si="2"/>
        <v>0</v>
      </c>
      <c r="E14" s="57">
        <f t="shared" si="4"/>
        <v>0</v>
      </c>
      <c r="F14" s="54">
        <f t="shared" si="5"/>
        <v>0</v>
      </c>
      <c r="H14" s="55"/>
      <c r="I14" s="55"/>
      <c r="J14" s="57">
        <f t="shared" si="6"/>
        <v>0</v>
      </c>
      <c r="L14" s="20"/>
      <c r="M14" s="21">
        <f t="shared" si="7"/>
        <v>0</v>
      </c>
      <c r="N14" s="52"/>
      <c r="O14" s="57">
        <f t="shared" si="8"/>
        <v>0</v>
      </c>
      <c r="P14" s="54">
        <f t="shared" si="9"/>
        <v>0</v>
      </c>
      <c r="R14" s="20"/>
      <c r="S14" s="21">
        <f t="shared" si="10"/>
        <v>0</v>
      </c>
      <c r="T14" s="52"/>
      <c r="U14" s="57">
        <f t="shared" si="11"/>
        <v>0</v>
      </c>
      <c r="V14" s="54">
        <f t="shared" si="12"/>
        <v>0</v>
      </c>
      <c r="X14" s="20"/>
      <c r="Y14" s="21">
        <f t="shared" si="13"/>
        <v>0</v>
      </c>
      <c r="Z14" s="52"/>
      <c r="AA14" s="57">
        <f t="shared" si="14"/>
        <v>0</v>
      </c>
      <c r="AB14" s="54">
        <f t="shared" si="15"/>
        <v>0</v>
      </c>
      <c r="AD14" s="20"/>
      <c r="AE14" s="21">
        <f t="shared" si="16"/>
        <v>0</v>
      </c>
      <c r="AF14" s="52"/>
      <c r="AG14" s="57">
        <f t="shared" si="17"/>
        <v>0</v>
      </c>
      <c r="AH14" s="54">
        <f t="shared" si="18"/>
        <v>0</v>
      </c>
      <c r="AJ14" s="20"/>
      <c r="AK14" s="21">
        <f t="shared" si="19"/>
        <v>0</v>
      </c>
      <c r="AL14" s="52"/>
      <c r="AM14" s="57">
        <f t="shared" si="20"/>
        <v>0</v>
      </c>
      <c r="AN14" s="54">
        <f t="shared" si="21"/>
        <v>0</v>
      </c>
      <c r="AP14" s="20"/>
      <c r="AQ14" s="21">
        <f t="shared" si="22"/>
        <v>0</v>
      </c>
      <c r="AR14" s="52"/>
      <c r="AS14" s="57">
        <f t="shared" si="23"/>
        <v>0</v>
      </c>
      <c r="AT14" s="54">
        <f t="shared" si="24"/>
        <v>0</v>
      </c>
      <c r="AV14" s="20"/>
      <c r="AW14" s="21">
        <f t="shared" si="25"/>
        <v>0</v>
      </c>
      <c r="AX14" s="52"/>
      <c r="AY14" s="57">
        <f t="shared" si="26"/>
        <v>0</v>
      </c>
      <c r="AZ14" s="54">
        <f t="shared" si="27"/>
        <v>0</v>
      </c>
      <c r="BB14" s="20"/>
      <c r="BC14" s="21">
        <f t="shared" si="28"/>
        <v>0</v>
      </c>
      <c r="BD14" s="52"/>
      <c r="BE14" s="57">
        <f t="shared" si="29"/>
        <v>0</v>
      </c>
      <c r="BF14" s="54">
        <f t="shared" si="30"/>
        <v>0</v>
      </c>
      <c r="BG14" s="30"/>
      <c r="BH14" s="30"/>
      <c r="BI14" s="30"/>
      <c r="BJ14" s="30"/>
      <c r="BK14" s="30"/>
      <c r="BL14" s="30"/>
      <c r="BM14" s="30"/>
      <c r="BN14" s="30"/>
      <c r="BO14" s="30"/>
      <c r="BP14" s="30"/>
    </row>
    <row r="15">
      <c r="A15" s="19">
        <v>45274.0</v>
      </c>
      <c r="B15" s="20">
        <f t="shared" si="1"/>
        <v>0</v>
      </c>
      <c r="C15" s="21">
        <f t="shared" si="3"/>
        <v>0</v>
      </c>
      <c r="D15" s="52">
        <f t="shared" si="2"/>
        <v>0</v>
      </c>
      <c r="E15" s="57">
        <f t="shared" si="4"/>
        <v>0</v>
      </c>
      <c r="F15" s="54">
        <f t="shared" si="5"/>
        <v>0</v>
      </c>
      <c r="H15" s="55"/>
      <c r="I15" s="55"/>
      <c r="J15" s="57">
        <f t="shared" si="6"/>
        <v>0</v>
      </c>
      <c r="L15" s="20"/>
      <c r="M15" s="21">
        <f t="shared" si="7"/>
        <v>0</v>
      </c>
      <c r="N15" s="52"/>
      <c r="O15" s="57">
        <f t="shared" si="8"/>
        <v>0</v>
      </c>
      <c r="P15" s="54">
        <f t="shared" si="9"/>
        <v>0</v>
      </c>
      <c r="R15" s="20"/>
      <c r="S15" s="21">
        <f t="shared" si="10"/>
        <v>0</v>
      </c>
      <c r="T15" s="52"/>
      <c r="U15" s="57">
        <f t="shared" si="11"/>
        <v>0</v>
      </c>
      <c r="V15" s="54">
        <f t="shared" si="12"/>
        <v>0</v>
      </c>
      <c r="X15" s="20"/>
      <c r="Y15" s="21">
        <f t="shared" si="13"/>
        <v>0</v>
      </c>
      <c r="Z15" s="52"/>
      <c r="AA15" s="57">
        <f t="shared" si="14"/>
        <v>0</v>
      </c>
      <c r="AB15" s="54">
        <f t="shared" si="15"/>
        <v>0</v>
      </c>
      <c r="AD15" s="20"/>
      <c r="AE15" s="21">
        <f t="shared" si="16"/>
        <v>0</v>
      </c>
      <c r="AF15" s="52"/>
      <c r="AG15" s="57">
        <f t="shared" si="17"/>
        <v>0</v>
      </c>
      <c r="AH15" s="54">
        <f t="shared" si="18"/>
        <v>0</v>
      </c>
      <c r="AJ15" s="20"/>
      <c r="AK15" s="21">
        <f t="shared" si="19"/>
        <v>0</v>
      </c>
      <c r="AL15" s="52"/>
      <c r="AM15" s="57">
        <f t="shared" si="20"/>
        <v>0</v>
      </c>
      <c r="AN15" s="54">
        <f t="shared" si="21"/>
        <v>0</v>
      </c>
      <c r="AP15" s="20"/>
      <c r="AQ15" s="21">
        <f t="shared" si="22"/>
        <v>0</v>
      </c>
      <c r="AR15" s="52"/>
      <c r="AS15" s="57">
        <f t="shared" si="23"/>
        <v>0</v>
      </c>
      <c r="AT15" s="54">
        <f t="shared" si="24"/>
        <v>0</v>
      </c>
      <c r="AV15" s="20"/>
      <c r="AW15" s="21">
        <f t="shared" si="25"/>
        <v>0</v>
      </c>
      <c r="AX15" s="52"/>
      <c r="AY15" s="57">
        <f t="shared" si="26"/>
        <v>0</v>
      </c>
      <c r="AZ15" s="54">
        <f t="shared" si="27"/>
        <v>0</v>
      </c>
      <c r="BB15" s="20"/>
      <c r="BC15" s="21">
        <f t="shared" si="28"/>
        <v>0</v>
      </c>
      <c r="BD15" s="52"/>
      <c r="BE15" s="57">
        <f t="shared" si="29"/>
        <v>0</v>
      </c>
      <c r="BF15" s="54">
        <f t="shared" si="30"/>
        <v>0</v>
      </c>
      <c r="BG15" s="30"/>
      <c r="BH15" s="30"/>
      <c r="BI15" s="30"/>
      <c r="BJ15" s="30"/>
      <c r="BK15" s="30"/>
      <c r="BL15" s="30"/>
      <c r="BM15" s="30"/>
      <c r="BN15" s="30"/>
      <c r="BO15" s="30"/>
      <c r="BP15" s="30"/>
    </row>
    <row r="16">
      <c r="A16" s="19">
        <v>45275.0</v>
      </c>
      <c r="B16" s="20">
        <f t="shared" si="1"/>
        <v>0</v>
      </c>
      <c r="C16" s="21">
        <f t="shared" si="3"/>
        <v>0</v>
      </c>
      <c r="D16" s="52">
        <f t="shared" si="2"/>
        <v>0</v>
      </c>
      <c r="E16" s="57">
        <f t="shared" si="4"/>
        <v>0</v>
      </c>
      <c r="F16" s="54">
        <f t="shared" si="5"/>
        <v>0</v>
      </c>
      <c r="H16" s="55"/>
      <c r="I16" s="55"/>
      <c r="J16" s="57">
        <f t="shared" si="6"/>
        <v>0</v>
      </c>
      <c r="L16" s="20"/>
      <c r="M16" s="21">
        <f t="shared" si="7"/>
        <v>0</v>
      </c>
      <c r="N16" s="52"/>
      <c r="O16" s="57">
        <f t="shared" si="8"/>
        <v>0</v>
      </c>
      <c r="P16" s="54">
        <f t="shared" si="9"/>
        <v>0</v>
      </c>
      <c r="R16" s="20"/>
      <c r="S16" s="21">
        <f t="shared" si="10"/>
        <v>0</v>
      </c>
      <c r="T16" s="52"/>
      <c r="U16" s="57">
        <f t="shared" si="11"/>
        <v>0</v>
      </c>
      <c r="V16" s="54">
        <f t="shared" si="12"/>
        <v>0</v>
      </c>
      <c r="X16" s="20"/>
      <c r="Y16" s="21">
        <f t="shared" si="13"/>
        <v>0</v>
      </c>
      <c r="Z16" s="52"/>
      <c r="AA16" s="57">
        <f t="shared" si="14"/>
        <v>0</v>
      </c>
      <c r="AB16" s="54">
        <f t="shared" si="15"/>
        <v>0</v>
      </c>
      <c r="AD16" s="20"/>
      <c r="AE16" s="21">
        <f t="shared" si="16"/>
        <v>0</v>
      </c>
      <c r="AF16" s="52"/>
      <c r="AG16" s="57">
        <f t="shared" si="17"/>
        <v>0</v>
      </c>
      <c r="AH16" s="54">
        <f t="shared" si="18"/>
        <v>0</v>
      </c>
      <c r="AJ16" s="20"/>
      <c r="AK16" s="21">
        <f t="shared" si="19"/>
        <v>0</v>
      </c>
      <c r="AL16" s="52"/>
      <c r="AM16" s="57">
        <f t="shared" si="20"/>
        <v>0</v>
      </c>
      <c r="AN16" s="54">
        <f t="shared" si="21"/>
        <v>0</v>
      </c>
      <c r="AP16" s="20"/>
      <c r="AQ16" s="21">
        <f t="shared" si="22"/>
        <v>0</v>
      </c>
      <c r="AR16" s="52"/>
      <c r="AS16" s="57">
        <f t="shared" si="23"/>
        <v>0</v>
      </c>
      <c r="AT16" s="54">
        <f t="shared" si="24"/>
        <v>0</v>
      </c>
      <c r="AV16" s="20"/>
      <c r="AW16" s="21">
        <f t="shared" si="25"/>
        <v>0</v>
      </c>
      <c r="AX16" s="52"/>
      <c r="AY16" s="57">
        <f t="shared" si="26"/>
        <v>0</v>
      </c>
      <c r="AZ16" s="54">
        <f t="shared" si="27"/>
        <v>0</v>
      </c>
      <c r="BB16" s="20"/>
      <c r="BC16" s="21">
        <f t="shared" si="28"/>
        <v>0</v>
      </c>
      <c r="BD16" s="52"/>
      <c r="BE16" s="57">
        <f t="shared" si="29"/>
        <v>0</v>
      </c>
      <c r="BF16" s="54">
        <f t="shared" si="30"/>
        <v>0</v>
      </c>
      <c r="BG16" s="30"/>
      <c r="BH16" s="30"/>
      <c r="BI16" s="30"/>
      <c r="BJ16" s="30"/>
      <c r="BK16" s="30"/>
      <c r="BL16" s="30"/>
      <c r="BM16" s="30"/>
      <c r="BN16" s="30"/>
      <c r="BO16" s="30"/>
      <c r="BP16" s="30"/>
    </row>
    <row r="17">
      <c r="A17" s="19">
        <v>45276.0</v>
      </c>
      <c r="B17" s="20">
        <f t="shared" si="1"/>
        <v>0</v>
      </c>
      <c r="C17" s="21">
        <f t="shared" si="3"/>
        <v>0</v>
      </c>
      <c r="D17" s="52">
        <f t="shared" si="2"/>
        <v>0</v>
      </c>
      <c r="E17" s="57">
        <f t="shared" si="4"/>
        <v>0</v>
      </c>
      <c r="F17" s="54">
        <f t="shared" si="5"/>
        <v>0</v>
      </c>
      <c r="H17" s="55"/>
      <c r="I17" s="55"/>
      <c r="J17" s="57">
        <f t="shared" si="6"/>
        <v>0</v>
      </c>
      <c r="L17" s="20"/>
      <c r="M17" s="21">
        <f t="shared" si="7"/>
        <v>0</v>
      </c>
      <c r="N17" s="52"/>
      <c r="O17" s="57">
        <f t="shared" si="8"/>
        <v>0</v>
      </c>
      <c r="P17" s="54">
        <f t="shared" si="9"/>
        <v>0</v>
      </c>
      <c r="R17" s="20"/>
      <c r="S17" s="21">
        <f t="shared" si="10"/>
        <v>0</v>
      </c>
      <c r="T17" s="52"/>
      <c r="U17" s="57">
        <f t="shared" si="11"/>
        <v>0</v>
      </c>
      <c r="V17" s="54">
        <f t="shared" si="12"/>
        <v>0</v>
      </c>
      <c r="X17" s="20"/>
      <c r="Y17" s="21">
        <f t="shared" si="13"/>
        <v>0</v>
      </c>
      <c r="Z17" s="52"/>
      <c r="AA17" s="57">
        <f t="shared" si="14"/>
        <v>0</v>
      </c>
      <c r="AB17" s="54">
        <f t="shared" si="15"/>
        <v>0</v>
      </c>
      <c r="AD17" s="20"/>
      <c r="AE17" s="21">
        <f t="shared" si="16"/>
        <v>0</v>
      </c>
      <c r="AF17" s="52"/>
      <c r="AG17" s="57">
        <f t="shared" si="17"/>
        <v>0</v>
      </c>
      <c r="AH17" s="54">
        <f t="shared" si="18"/>
        <v>0</v>
      </c>
      <c r="AJ17" s="20"/>
      <c r="AK17" s="21">
        <f t="shared" si="19"/>
        <v>0</v>
      </c>
      <c r="AL17" s="52"/>
      <c r="AM17" s="57">
        <f t="shared" si="20"/>
        <v>0</v>
      </c>
      <c r="AN17" s="54">
        <f t="shared" si="21"/>
        <v>0</v>
      </c>
      <c r="AP17" s="20"/>
      <c r="AQ17" s="21">
        <f t="shared" si="22"/>
        <v>0</v>
      </c>
      <c r="AR17" s="52"/>
      <c r="AS17" s="57">
        <f t="shared" si="23"/>
        <v>0</v>
      </c>
      <c r="AT17" s="54">
        <f t="shared" si="24"/>
        <v>0</v>
      </c>
      <c r="AV17" s="20"/>
      <c r="AW17" s="21">
        <f t="shared" si="25"/>
        <v>0</v>
      </c>
      <c r="AX17" s="52"/>
      <c r="AY17" s="57">
        <f t="shared" si="26"/>
        <v>0</v>
      </c>
      <c r="AZ17" s="54">
        <f t="shared" si="27"/>
        <v>0</v>
      </c>
      <c r="BB17" s="20"/>
      <c r="BC17" s="21">
        <f t="shared" si="28"/>
        <v>0</v>
      </c>
      <c r="BD17" s="52"/>
      <c r="BE17" s="57">
        <f t="shared" si="29"/>
        <v>0</v>
      </c>
      <c r="BF17" s="54">
        <f t="shared" si="30"/>
        <v>0</v>
      </c>
      <c r="BG17" s="30"/>
      <c r="BH17" s="30"/>
      <c r="BI17" s="30"/>
      <c r="BJ17" s="30"/>
      <c r="BK17" s="30"/>
      <c r="BL17" s="30"/>
      <c r="BM17" s="30"/>
      <c r="BN17" s="30"/>
      <c r="BO17" s="30"/>
      <c r="BP17" s="30"/>
    </row>
    <row r="18">
      <c r="A18" s="19">
        <v>45277.0</v>
      </c>
      <c r="B18" s="20">
        <f t="shared" si="1"/>
        <v>0</v>
      </c>
      <c r="C18" s="21">
        <f t="shared" si="3"/>
        <v>0</v>
      </c>
      <c r="D18" s="52">
        <f t="shared" si="2"/>
        <v>0</v>
      </c>
      <c r="E18" s="57">
        <f t="shared" si="4"/>
        <v>0</v>
      </c>
      <c r="F18" s="54">
        <f t="shared" si="5"/>
        <v>0</v>
      </c>
      <c r="H18" s="55"/>
      <c r="I18" s="55"/>
      <c r="J18" s="57">
        <f t="shared" si="6"/>
        <v>0</v>
      </c>
      <c r="L18" s="20"/>
      <c r="M18" s="21">
        <f t="shared" si="7"/>
        <v>0</v>
      </c>
      <c r="N18" s="52"/>
      <c r="O18" s="57">
        <f t="shared" si="8"/>
        <v>0</v>
      </c>
      <c r="P18" s="54">
        <f t="shared" si="9"/>
        <v>0</v>
      </c>
      <c r="R18" s="20"/>
      <c r="S18" s="21">
        <f t="shared" si="10"/>
        <v>0</v>
      </c>
      <c r="T18" s="52"/>
      <c r="U18" s="57">
        <f t="shared" si="11"/>
        <v>0</v>
      </c>
      <c r="V18" s="54">
        <f t="shared" si="12"/>
        <v>0</v>
      </c>
      <c r="X18" s="20"/>
      <c r="Y18" s="21">
        <f t="shared" si="13"/>
        <v>0</v>
      </c>
      <c r="Z18" s="52"/>
      <c r="AA18" s="57">
        <f t="shared" si="14"/>
        <v>0</v>
      </c>
      <c r="AB18" s="54">
        <f t="shared" si="15"/>
        <v>0</v>
      </c>
      <c r="AD18" s="20"/>
      <c r="AE18" s="21">
        <f t="shared" si="16"/>
        <v>0</v>
      </c>
      <c r="AF18" s="52"/>
      <c r="AG18" s="57">
        <f t="shared" si="17"/>
        <v>0</v>
      </c>
      <c r="AH18" s="54">
        <f t="shared" si="18"/>
        <v>0</v>
      </c>
      <c r="AJ18" s="20"/>
      <c r="AK18" s="21">
        <f t="shared" si="19"/>
        <v>0</v>
      </c>
      <c r="AL18" s="52"/>
      <c r="AM18" s="57">
        <f t="shared" si="20"/>
        <v>0</v>
      </c>
      <c r="AN18" s="54">
        <f t="shared" si="21"/>
        <v>0</v>
      </c>
      <c r="AP18" s="20"/>
      <c r="AQ18" s="21">
        <f t="shared" si="22"/>
        <v>0</v>
      </c>
      <c r="AR18" s="52"/>
      <c r="AS18" s="57">
        <f t="shared" si="23"/>
        <v>0</v>
      </c>
      <c r="AT18" s="54">
        <f t="shared" si="24"/>
        <v>0</v>
      </c>
      <c r="AV18" s="20"/>
      <c r="AW18" s="21">
        <f t="shared" si="25"/>
        <v>0</v>
      </c>
      <c r="AX18" s="52"/>
      <c r="AY18" s="57">
        <f t="shared" si="26"/>
        <v>0</v>
      </c>
      <c r="AZ18" s="54">
        <f t="shared" si="27"/>
        <v>0</v>
      </c>
      <c r="BB18" s="20"/>
      <c r="BC18" s="21">
        <f t="shared" si="28"/>
        <v>0</v>
      </c>
      <c r="BD18" s="52"/>
      <c r="BE18" s="57">
        <f t="shared" si="29"/>
        <v>0</v>
      </c>
      <c r="BF18" s="54">
        <f t="shared" si="30"/>
        <v>0</v>
      </c>
      <c r="BG18" s="30"/>
      <c r="BH18" s="30"/>
      <c r="BI18" s="30"/>
      <c r="BJ18" s="30"/>
      <c r="BK18" s="30"/>
      <c r="BL18" s="30"/>
      <c r="BM18" s="30"/>
      <c r="BN18" s="30"/>
      <c r="BO18" s="30"/>
      <c r="BP18" s="30"/>
    </row>
    <row r="19">
      <c r="A19" s="19">
        <v>45278.0</v>
      </c>
      <c r="B19" s="20">
        <f t="shared" si="1"/>
        <v>0</v>
      </c>
      <c r="C19" s="21">
        <f t="shared" si="3"/>
        <v>0</v>
      </c>
      <c r="D19" s="52">
        <f t="shared" si="2"/>
        <v>0</v>
      </c>
      <c r="E19" s="57">
        <f t="shared" si="4"/>
        <v>0</v>
      </c>
      <c r="F19" s="54">
        <f t="shared" si="5"/>
        <v>0</v>
      </c>
      <c r="H19" s="55"/>
      <c r="I19" s="55"/>
      <c r="J19" s="57">
        <f t="shared" si="6"/>
        <v>0</v>
      </c>
      <c r="M19" s="21">
        <f t="shared" si="7"/>
        <v>0</v>
      </c>
      <c r="N19" s="52"/>
      <c r="O19" s="57">
        <f t="shared" si="8"/>
        <v>0</v>
      </c>
      <c r="P19" s="54">
        <f t="shared" si="9"/>
        <v>0</v>
      </c>
      <c r="S19" s="21">
        <f t="shared" si="10"/>
        <v>0</v>
      </c>
      <c r="T19" s="52"/>
      <c r="U19" s="57">
        <f t="shared" si="11"/>
        <v>0</v>
      </c>
      <c r="V19" s="54">
        <f t="shared" si="12"/>
        <v>0</v>
      </c>
      <c r="Y19" s="21">
        <f t="shared" si="13"/>
        <v>0</v>
      </c>
      <c r="Z19" s="52"/>
      <c r="AA19" s="57">
        <f t="shared" si="14"/>
        <v>0</v>
      </c>
      <c r="AB19" s="54">
        <f t="shared" si="15"/>
        <v>0</v>
      </c>
      <c r="AE19" s="21">
        <f t="shared" si="16"/>
        <v>0</v>
      </c>
      <c r="AF19" s="52"/>
      <c r="AG19" s="57">
        <f t="shared" si="17"/>
        <v>0</v>
      </c>
      <c r="AH19" s="54">
        <f t="shared" si="18"/>
        <v>0</v>
      </c>
      <c r="AK19" s="21">
        <f t="shared" si="19"/>
        <v>0</v>
      </c>
      <c r="AL19" s="52"/>
      <c r="AM19" s="57">
        <f t="shared" si="20"/>
        <v>0</v>
      </c>
      <c r="AN19" s="54">
        <f t="shared" si="21"/>
        <v>0</v>
      </c>
      <c r="AQ19" s="21">
        <f t="shared" si="22"/>
        <v>0</v>
      </c>
      <c r="AR19" s="52"/>
      <c r="AS19" s="57">
        <f t="shared" si="23"/>
        <v>0</v>
      </c>
      <c r="AT19" s="54">
        <f t="shared" si="24"/>
        <v>0</v>
      </c>
      <c r="AW19" s="21">
        <f t="shared" si="25"/>
        <v>0</v>
      </c>
      <c r="AX19" s="52"/>
      <c r="AY19" s="57">
        <f t="shared" si="26"/>
        <v>0</v>
      </c>
      <c r="AZ19" s="54">
        <f t="shared" si="27"/>
        <v>0</v>
      </c>
      <c r="BC19" s="21">
        <f t="shared" si="28"/>
        <v>0</v>
      </c>
      <c r="BD19" s="52"/>
      <c r="BE19" s="57">
        <f t="shared" si="29"/>
        <v>0</v>
      </c>
      <c r="BF19" s="54">
        <f t="shared" si="30"/>
        <v>0</v>
      </c>
      <c r="BG19" s="30"/>
      <c r="BH19" s="30"/>
      <c r="BI19" s="30"/>
      <c r="BJ19" s="30"/>
      <c r="BK19" s="30"/>
      <c r="BL19" s="30"/>
      <c r="BM19" s="30"/>
      <c r="BN19" s="30"/>
      <c r="BO19" s="30"/>
      <c r="BP19" s="30"/>
    </row>
    <row r="20">
      <c r="A20" s="19">
        <v>45279.0</v>
      </c>
      <c r="B20" s="20">
        <f t="shared" si="1"/>
        <v>0</v>
      </c>
      <c r="C20" s="21">
        <f t="shared" si="3"/>
        <v>0</v>
      </c>
      <c r="D20" s="52">
        <f t="shared" si="2"/>
        <v>0</v>
      </c>
      <c r="E20" s="57">
        <f t="shared" si="4"/>
        <v>0</v>
      </c>
      <c r="F20" s="54">
        <f t="shared" si="5"/>
        <v>0</v>
      </c>
      <c r="H20" s="55"/>
      <c r="I20" s="55"/>
      <c r="J20" s="57">
        <f t="shared" si="6"/>
        <v>0</v>
      </c>
      <c r="M20" s="21">
        <f t="shared" si="7"/>
        <v>0</v>
      </c>
      <c r="N20" s="52"/>
      <c r="O20" s="57">
        <f t="shared" si="8"/>
        <v>0</v>
      </c>
      <c r="P20" s="54">
        <f t="shared" si="9"/>
        <v>0</v>
      </c>
      <c r="S20" s="21">
        <f t="shared" si="10"/>
        <v>0</v>
      </c>
      <c r="T20" s="52"/>
      <c r="U20" s="57">
        <f t="shared" si="11"/>
        <v>0</v>
      </c>
      <c r="V20" s="54">
        <f t="shared" si="12"/>
        <v>0</v>
      </c>
      <c r="Y20" s="21">
        <f t="shared" si="13"/>
        <v>0</v>
      </c>
      <c r="Z20" s="52"/>
      <c r="AA20" s="57">
        <f t="shared" si="14"/>
        <v>0</v>
      </c>
      <c r="AB20" s="54">
        <f t="shared" si="15"/>
        <v>0</v>
      </c>
      <c r="AE20" s="21">
        <f t="shared" si="16"/>
        <v>0</v>
      </c>
      <c r="AF20" s="52"/>
      <c r="AG20" s="57">
        <f t="shared" si="17"/>
        <v>0</v>
      </c>
      <c r="AH20" s="54">
        <f t="shared" si="18"/>
        <v>0</v>
      </c>
      <c r="AK20" s="21">
        <f t="shared" si="19"/>
        <v>0</v>
      </c>
      <c r="AL20" s="52"/>
      <c r="AM20" s="57">
        <f t="shared" si="20"/>
        <v>0</v>
      </c>
      <c r="AN20" s="54">
        <f t="shared" si="21"/>
        <v>0</v>
      </c>
      <c r="AQ20" s="21">
        <f t="shared" si="22"/>
        <v>0</v>
      </c>
      <c r="AR20" s="52"/>
      <c r="AS20" s="57">
        <f t="shared" si="23"/>
        <v>0</v>
      </c>
      <c r="AT20" s="54">
        <f t="shared" si="24"/>
        <v>0</v>
      </c>
      <c r="AW20" s="21">
        <f t="shared" si="25"/>
        <v>0</v>
      </c>
      <c r="AX20" s="52"/>
      <c r="AY20" s="57">
        <f t="shared" si="26"/>
        <v>0</v>
      </c>
      <c r="AZ20" s="54">
        <f t="shared" si="27"/>
        <v>0</v>
      </c>
      <c r="BC20" s="21">
        <f t="shared" si="28"/>
        <v>0</v>
      </c>
      <c r="BD20" s="52"/>
      <c r="BE20" s="57">
        <f t="shared" si="29"/>
        <v>0</v>
      </c>
      <c r="BF20" s="54">
        <f t="shared" si="30"/>
        <v>0</v>
      </c>
      <c r="BG20" s="30"/>
      <c r="BH20" s="30"/>
      <c r="BI20" s="30"/>
      <c r="BJ20" s="30"/>
      <c r="BK20" s="30"/>
      <c r="BL20" s="30"/>
      <c r="BM20" s="30"/>
      <c r="BN20" s="30"/>
      <c r="BO20" s="30"/>
      <c r="BP20" s="30"/>
    </row>
    <row r="21">
      <c r="A21" s="19">
        <v>45280.0</v>
      </c>
      <c r="B21" s="20">
        <f t="shared" si="1"/>
        <v>0</v>
      </c>
      <c r="C21" s="21">
        <f t="shared" si="3"/>
        <v>0</v>
      </c>
      <c r="D21" s="52">
        <f t="shared" si="2"/>
        <v>0</v>
      </c>
      <c r="E21" s="57">
        <f t="shared" si="4"/>
        <v>0</v>
      </c>
      <c r="F21" s="54">
        <f t="shared" si="5"/>
        <v>0</v>
      </c>
      <c r="H21" s="55"/>
      <c r="I21" s="55"/>
      <c r="J21" s="57">
        <f t="shared" si="6"/>
        <v>0</v>
      </c>
      <c r="M21" s="21">
        <f t="shared" si="7"/>
        <v>0</v>
      </c>
      <c r="N21" s="52"/>
      <c r="O21" s="57">
        <f t="shared" si="8"/>
        <v>0</v>
      </c>
      <c r="P21" s="54">
        <f t="shared" si="9"/>
        <v>0</v>
      </c>
      <c r="S21" s="21">
        <f t="shared" si="10"/>
        <v>0</v>
      </c>
      <c r="T21" s="52"/>
      <c r="U21" s="57">
        <f t="shared" si="11"/>
        <v>0</v>
      </c>
      <c r="V21" s="54">
        <f t="shared" si="12"/>
        <v>0</v>
      </c>
      <c r="Y21" s="21">
        <f t="shared" si="13"/>
        <v>0</v>
      </c>
      <c r="Z21" s="52"/>
      <c r="AA21" s="57">
        <f t="shared" si="14"/>
        <v>0</v>
      </c>
      <c r="AB21" s="54">
        <f t="shared" si="15"/>
        <v>0</v>
      </c>
      <c r="AE21" s="21">
        <f t="shared" si="16"/>
        <v>0</v>
      </c>
      <c r="AF21" s="52"/>
      <c r="AG21" s="57">
        <f t="shared" si="17"/>
        <v>0</v>
      </c>
      <c r="AH21" s="54">
        <f t="shared" si="18"/>
        <v>0</v>
      </c>
      <c r="AK21" s="21">
        <f t="shared" si="19"/>
        <v>0</v>
      </c>
      <c r="AL21" s="52"/>
      <c r="AM21" s="57">
        <f t="shared" si="20"/>
        <v>0</v>
      </c>
      <c r="AN21" s="54">
        <f t="shared" si="21"/>
        <v>0</v>
      </c>
      <c r="AQ21" s="21">
        <f t="shared" si="22"/>
        <v>0</v>
      </c>
      <c r="AR21" s="52"/>
      <c r="AS21" s="57">
        <f t="shared" si="23"/>
        <v>0</v>
      </c>
      <c r="AT21" s="54">
        <f t="shared" si="24"/>
        <v>0</v>
      </c>
      <c r="AW21" s="21">
        <f t="shared" si="25"/>
        <v>0</v>
      </c>
      <c r="AX21" s="52"/>
      <c r="AY21" s="57">
        <f t="shared" si="26"/>
        <v>0</v>
      </c>
      <c r="AZ21" s="54">
        <f t="shared" si="27"/>
        <v>0</v>
      </c>
      <c r="BC21" s="21">
        <f t="shared" si="28"/>
        <v>0</v>
      </c>
      <c r="BD21" s="52"/>
      <c r="BE21" s="57">
        <f t="shared" si="29"/>
        <v>0</v>
      </c>
      <c r="BF21" s="54">
        <f t="shared" si="30"/>
        <v>0</v>
      </c>
      <c r="BG21" s="30"/>
      <c r="BH21" s="30"/>
      <c r="BI21" s="30"/>
      <c r="BJ21" s="30"/>
      <c r="BK21" s="30"/>
      <c r="BL21" s="30"/>
      <c r="BM21" s="30"/>
      <c r="BN21" s="30"/>
      <c r="BO21" s="30"/>
      <c r="BP21" s="30"/>
    </row>
    <row r="22">
      <c r="A22" s="19">
        <v>45281.0</v>
      </c>
      <c r="B22" s="20">
        <f t="shared" si="1"/>
        <v>0</v>
      </c>
      <c r="C22" s="21">
        <f t="shared" si="3"/>
        <v>0</v>
      </c>
      <c r="D22" s="52">
        <f t="shared" si="2"/>
        <v>0</v>
      </c>
      <c r="E22" s="57">
        <f t="shared" si="4"/>
        <v>0</v>
      </c>
      <c r="F22" s="54">
        <f t="shared" si="5"/>
        <v>0</v>
      </c>
      <c r="H22" s="55"/>
      <c r="I22" s="55"/>
      <c r="J22" s="57">
        <f t="shared" si="6"/>
        <v>0</v>
      </c>
      <c r="M22" s="21">
        <f t="shared" si="7"/>
        <v>0</v>
      </c>
      <c r="N22" s="52"/>
      <c r="O22" s="57">
        <f t="shared" si="8"/>
        <v>0</v>
      </c>
      <c r="P22" s="54">
        <f t="shared" si="9"/>
        <v>0</v>
      </c>
      <c r="S22" s="21">
        <f t="shared" si="10"/>
        <v>0</v>
      </c>
      <c r="T22" s="52"/>
      <c r="U22" s="57">
        <f t="shared" si="11"/>
        <v>0</v>
      </c>
      <c r="V22" s="54">
        <f t="shared" si="12"/>
        <v>0</v>
      </c>
      <c r="Y22" s="21">
        <f t="shared" si="13"/>
        <v>0</v>
      </c>
      <c r="Z22" s="52"/>
      <c r="AA22" s="57">
        <f t="shared" si="14"/>
        <v>0</v>
      </c>
      <c r="AB22" s="54">
        <f t="shared" si="15"/>
        <v>0</v>
      </c>
      <c r="AE22" s="21">
        <f t="shared" si="16"/>
        <v>0</v>
      </c>
      <c r="AF22" s="52"/>
      <c r="AG22" s="57">
        <f t="shared" si="17"/>
        <v>0</v>
      </c>
      <c r="AH22" s="54">
        <f t="shared" si="18"/>
        <v>0</v>
      </c>
      <c r="AK22" s="21">
        <f t="shared" si="19"/>
        <v>0</v>
      </c>
      <c r="AL22" s="52"/>
      <c r="AM22" s="57">
        <f t="shared" si="20"/>
        <v>0</v>
      </c>
      <c r="AN22" s="54">
        <f t="shared" si="21"/>
        <v>0</v>
      </c>
      <c r="AQ22" s="21">
        <f t="shared" si="22"/>
        <v>0</v>
      </c>
      <c r="AR22" s="52"/>
      <c r="AS22" s="57">
        <f t="shared" si="23"/>
        <v>0</v>
      </c>
      <c r="AT22" s="54">
        <f t="shared" si="24"/>
        <v>0</v>
      </c>
      <c r="AW22" s="21">
        <f t="shared" si="25"/>
        <v>0</v>
      </c>
      <c r="AX22" s="52"/>
      <c r="AY22" s="57">
        <f t="shared" si="26"/>
        <v>0</v>
      </c>
      <c r="AZ22" s="54">
        <f t="shared" si="27"/>
        <v>0</v>
      </c>
      <c r="BC22" s="21">
        <f t="shared" si="28"/>
        <v>0</v>
      </c>
      <c r="BD22" s="52"/>
      <c r="BE22" s="57">
        <f t="shared" si="29"/>
        <v>0</v>
      </c>
      <c r="BF22" s="54">
        <f t="shared" si="30"/>
        <v>0</v>
      </c>
      <c r="BG22" s="30"/>
      <c r="BH22" s="30"/>
      <c r="BI22" s="30"/>
      <c r="BJ22" s="30"/>
      <c r="BK22" s="30"/>
      <c r="BL22" s="30"/>
      <c r="BM22" s="30"/>
      <c r="BN22" s="30"/>
      <c r="BO22" s="30"/>
      <c r="BP22" s="30"/>
    </row>
    <row r="23">
      <c r="A23" s="19">
        <v>45282.0</v>
      </c>
      <c r="B23" s="20">
        <f t="shared" si="1"/>
        <v>0</v>
      </c>
      <c r="C23" s="21">
        <f t="shared" si="3"/>
        <v>0</v>
      </c>
      <c r="D23" s="52">
        <f t="shared" si="2"/>
        <v>0</v>
      </c>
      <c r="E23" s="57">
        <f t="shared" si="4"/>
        <v>0</v>
      </c>
      <c r="F23" s="54">
        <f t="shared" si="5"/>
        <v>0</v>
      </c>
      <c r="H23" s="55"/>
      <c r="I23" s="55"/>
      <c r="J23" s="57">
        <f t="shared" si="6"/>
        <v>0</v>
      </c>
      <c r="L23" s="20"/>
      <c r="M23" s="21">
        <f t="shared" si="7"/>
        <v>0</v>
      </c>
      <c r="N23" s="52"/>
      <c r="O23" s="57">
        <f t="shared" si="8"/>
        <v>0</v>
      </c>
      <c r="P23" s="54">
        <f t="shared" si="9"/>
        <v>0</v>
      </c>
      <c r="R23" s="20"/>
      <c r="S23" s="21">
        <f t="shared" si="10"/>
        <v>0</v>
      </c>
      <c r="T23" s="52"/>
      <c r="U23" s="57">
        <f t="shared" si="11"/>
        <v>0</v>
      </c>
      <c r="V23" s="54">
        <f t="shared" si="12"/>
        <v>0</v>
      </c>
      <c r="X23" s="20"/>
      <c r="Y23" s="21">
        <f t="shared" si="13"/>
        <v>0</v>
      </c>
      <c r="Z23" s="52"/>
      <c r="AA23" s="57">
        <f t="shared" si="14"/>
        <v>0</v>
      </c>
      <c r="AB23" s="54">
        <f t="shared" si="15"/>
        <v>0</v>
      </c>
      <c r="AD23" s="20"/>
      <c r="AE23" s="21">
        <f t="shared" si="16"/>
        <v>0</v>
      </c>
      <c r="AF23" s="52"/>
      <c r="AG23" s="57">
        <f t="shared" si="17"/>
        <v>0</v>
      </c>
      <c r="AH23" s="54">
        <f t="shared" si="18"/>
        <v>0</v>
      </c>
      <c r="AJ23" s="20"/>
      <c r="AK23" s="21">
        <f t="shared" si="19"/>
        <v>0</v>
      </c>
      <c r="AL23" s="52"/>
      <c r="AM23" s="57">
        <f t="shared" si="20"/>
        <v>0</v>
      </c>
      <c r="AN23" s="54">
        <f t="shared" si="21"/>
        <v>0</v>
      </c>
      <c r="AP23" s="20"/>
      <c r="AQ23" s="21">
        <f t="shared" si="22"/>
        <v>0</v>
      </c>
      <c r="AR23" s="52"/>
      <c r="AS23" s="57">
        <f t="shared" si="23"/>
        <v>0</v>
      </c>
      <c r="AT23" s="54">
        <f t="shared" si="24"/>
        <v>0</v>
      </c>
      <c r="AV23" s="20"/>
      <c r="AW23" s="21">
        <f t="shared" si="25"/>
        <v>0</v>
      </c>
      <c r="AX23" s="52"/>
      <c r="AY23" s="57">
        <f t="shared" si="26"/>
        <v>0</v>
      </c>
      <c r="AZ23" s="54">
        <f t="shared" si="27"/>
        <v>0</v>
      </c>
      <c r="BB23" s="20"/>
      <c r="BC23" s="21">
        <f t="shared" si="28"/>
        <v>0</v>
      </c>
      <c r="BD23" s="52"/>
      <c r="BE23" s="57">
        <f t="shared" si="29"/>
        <v>0</v>
      </c>
      <c r="BF23" s="54">
        <f t="shared" si="30"/>
        <v>0</v>
      </c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>
      <c r="A24" s="19">
        <v>45283.0</v>
      </c>
      <c r="B24" s="20">
        <f t="shared" si="1"/>
        <v>0</v>
      </c>
      <c r="C24" s="21">
        <f t="shared" si="3"/>
        <v>0</v>
      </c>
      <c r="D24" s="52">
        <f t="shared" si="2"/>
        <v>0</v>
      </c>
      <c r="E24" s="57">
        <f t="shared" si="4"/>
        <v>0</v>
      </c>
      <c r="F24" s="54">
        <f t="shared" si="5"/>
        <v>0</v>
      </c>
      <c r="H24" s="55"/>
      <c r="I24" s="55"/>
      <c r="J24" s="57">
        <f t="shared" si="6"/>
        <v>0</v>
      </c>
      <c r="M24" s="21">
        <f t="shared" si="7"/>
        <v>0</v>
      </c>
      <c r="N24" s="52"/>
      <c r="O24" s="57">
        <f t="shared" si="8"/>
        <v>0</v>
      </c>
      <c r="P24" s="54">
        <f t="shared" si="9"/>
        <v>0</v>
      </c>
      <c r="S24" s="21">
        <f t="shared" si="10"/>
        <v>0</v>
      </c>
      <c r="T24" s="52"/>
      <c r="U24" s="57">
        <f t="shared" si="11"/>
        <v>0</v>
      </c>
      <c r="V24" s="54">
        <f t="shared" si="12"/>
        <v>0</v>
      </c>
      <c r="Y24" s="21">
        <f t="shared" si="13"/>
        <v>0</v>
      </c>
      <c r="Z24" s="52"/>
      <c r="AA24" s="57">
        <f t="shared" si="14"/>
        <v>0</v>
      </c>
      <c r="AB24" s="54">
        <f t="shared" si="15"/>
        <v>0</v>
      </c>
      <c r="AE24" s="21">
        <f t="shared" si="16"/>
        <v>0</v>
      </c>
      <c r="AF24" s="52"/>
      <c r="AG24" s="57">
        <f t="shared" si="17"/>
        <v>0</v>
      </c>
      <c r="AH24" s="54">
        <f t="shared" si="18"/>
        <v>0</v>
      </c>
      <c r="AK24" s="21">
        <f t="shared" si="19"/>
        <v>0</v>
      </c>
      <c r="AL24" s="52"/>
      <c r="AM24" s="57">
        <f t="shared" si="20"/>
        <v>0</v>
      </c>
      <c r="AN24" s="54">
        <f t="shared" si="21"/>
        <v>0</v>
      </c>
      <c r="AQ24" s="21">
        <f t="shared" si="22"/>
        <v>0</v>
      </c>
      <c r="AR24" s="52"/>
      <c r="AS24" s="57">
        <f t="shared" si="23"/>
        <v>0</v>
      </c>
      <c r="AT24" s="54">
        <f t="shared" si="24"/>
        <v>0</v>
      </c>
      <c r="AW24" s="21">
        <f t="shared" si="25"/>
        <v>0</v>
      </c>
      <c r="AX24" s="52"/>
      <c r="AY24" s="57">
        <f t="shared" si="26"/>
        <v>0</v>
      </c>
      <c r="AZ24" s="54">
        <f t="shared" si="27"/>
        <v>0</v>
      </c>
      <c r="BC24" s="21">
        <f t="shared" si="28"/>
        <v>0</v>
      </c>
      <c r="BD24" s="52"/>
      <c r="BE24" s="57">
        <f t="shared" si="29"/>
        <v>0</v>
      </c>
      <c r="BF24" s="54">
        <f t="shared" si="30"/>
        <v>0</v>
      </c>
      <c r="BG24" s="30"/>
      <c r="BH24" s="30"/>
      <c r="BI24" s="30"/>
      <c r="BJ24" s="30"/>
      <c r="BK24" s="30"/>
      <c r="BL24" s="30"/>
      <c r="BM24" s="30"/>
      <c r="BN24" s="30"/>
      <c r="BO24" s="30"/>
      <c r="BP24" s="30"/>
    </row>
    <row r="25">
      <c r="A25" s="19">
        <v>45284.0</v>
      </c>
      <c r="B25" s="20">
        <f t="shared" si="1"/>
        <v>0</v>
      </c>
      <c r="C25" s="21">
        <f t="shared" si="3"/>
        <v>0</v>
      </c>
      <c r="D25" s="52">
        <f t="shared" si="2"/>
        <v>0</v>
      </c>
      <c r="E25" s="57">
        <f t="shared" si="4"/>
        <v>0</v>
      </c>
      <c r="F25" s="54">
        <f t="shared" si="5"/>
        <v>0</v>
      </c>
      <c r="H25" s="55"/>
      <c r="I25" s="55"/>
      <c r="J25" s="57">
        <f t="shared" si="6"/>
        <v>0</v>
      </c>
      <c r="M25" s="21">
        <f t="shared" si="7"/>
        <v>0</v>
      </c>
      <c r="N25" s="52"/>
      <c r="O25" s="57">
        <f t="shared" si="8"/>
        <v>0</v>
      </c>
      <c r="P25" s="54">
        <f t="shared" si="9"/>
        <v>0</v>
      </c>
      <c r="S25" s="21">
        <f t="shared" si="10"/>
        <v>0</v>
      </c>
      <c r="T25" s="52"/>
      <c r="U25" s="57">
        <f t="shared" si="11"/>
        <v>0</v>
      </c>
      <c r="V25" s="54">
        <f t="shared" si="12"/>
        <v>0</v>
      </c>
      <c r="Y25" s="21">
        <f t="shared" si="13"/>
        <v>0</v>
      </c>
      <c r="Z25" s="52"/>
      <c r="AA25" s="57">
        <f t="shared" si="14"/>
        <v>0</v>
      </c>
      <c r="AB25" s="54">
        <f t="shared" si="15"/>
        <v>0</v>
      </c>
      <c r="AE25" s="21">
        <f t="shared" si="16"/>
        <v>0</v>
      </c>
      <c r="AF25" s="52"/>
      <c r="AG25" s="57">
        <f t="shared" si="17"/>
        <v>0</v>
      </c>
      <c r="AH25" s="54">
        <f t="shared" si="18"/>
        <v>0</v>
      </c>
      <c r="AK25" s="21">
        <f t="shared" si="19"/>
        <v>0</v>
      </c>
      <c r="AL25" s="52"/>
      <c r="AM25" s="57">
        <f t="shared" si="20"/>
        <v>0</v>
      </c>
      <c r="AN25" s="54">
        <f t="shared" si="21"/>
        <v>0</v>
      </c>
      <c r="AQ25" s="21">
        <f t="shared" si="22"/>
        <v>0</v>
      </c>
      <c r="AR25" s="52"/>
      <c r="AS25" s="57">
        <f t="shared" si="23"/>
        <v>0</v>
      </c>
      <c r="AT25" s="54">
        <f t="shared" si="24"/>
        <v>0</v>
      </c>
      <c r="AW25" s="21">
        <f t="shared" si="25"/>
        <v>0</v>
      </c>
      <c r="AX25" s="52"/>
      <c r="AY25" s="57">
        <f t="shared" si="26"/>
        <v>0</v>
      </c>
      <c r="AZ25" s="54">
        <f t="shared" si="27"/>
        <v>0</v>
      </c>
      <c r="BC25" s="21">
        <f t="shared" si="28"/>
        <v>0</v>
      </c>
      <c r="BD25" s="52"/>
      <c r="BE25" s="57">
        <f t="shared" si="29"/>
        <v>0</v>
      </c>
      <c r="BF25" s="54">
        <f t="shared" si="30"/>
        <v>0</v>
      </c>
      <c r="BG25" s="30"/>
      <c r="BH25" s="30"/>
      <c r="BI25" s="30"/>
      <c r="BJ25" s="30"/>
      <c r="BK25" s="30"/>
      <c r="BL25" s="30"/>
      <c r="BM25" s="30"/>
      <c r="BN25" s="30"/>
      <c r="BO25" s="30"/>
      <c r="BP25" s="30"/>
    </row>
    <row r="26">
      <c r="A26" s="19">
        <v>45285.0</v>
      </c>
      <c r="B26" s="20">
        <f t="shared" si="1"/>
        <v>0</v>
      </c>
      <c r="C26" s="21">
        <f t="shared" si="3"/>
        <v>0</v>
      </c>
      <c r="D26" s="52">
        <f t="shared" si="2"/>
        <v>0</v>
      </c>
      <c r="E26" s="57">
        <f t="shared" si="4"/>
        <v>0</v>
      </c>
      <c r="F26" s="54">
        <f t="shared" si="5"/>
        <v>0</v>
      </c>
      <c r="H26" s="55"/>
      <c r="I26" s="55"/>
      <c r="J26" s="57">
        <f t="shared" si="6"/>
        <v>0</v>
      </c>
      <c r="M26" s="21">
        <f t="shared" si="7"/>
        <v>0</v>
      </c>
      <c r="N26" s="52"/>
      <c r="O26" s="57">
        <f t="shared" si="8"/>
        <v>0</v>
      </c>
      <c r="P26" s="54">
        <f t="shared" si="9"/>
        <v>0</v>
      </c>
      <c r="S26" s="21">
        <f t="shared" si="10"/>
        <v>0</v>
      </c>
      <c r="T26" s="52"/>
      <c r="U26" s="57">
        <f t="shared" si="11"/>
        <v>0</v>
      </c>
      <c r="V26" s="54">
        <f t="shared" si="12"/>
        <v>0</v>
      </c>
      <c r="Y26" s="21">
        <f t="shared" si="13"/>
        <v>0</v>
      </c>
      <c r="Z26" s="52"/>
      <c r="AA26" s="57">
        <f t="shared" si="14"/>
        <v>0</v>
      </c>
      <c r="AB26" s="54">
        <f t="shared" si="15"/>
        <v>0</v>
      </c>
      <c r="AE26" s="21">
        <f t="shared" si="16"/>
        <v>0</v>
      </c>
      <c r="AF26" s="52"/>
      <c r="AG26" s="57">
        <f t="shared" si="17"/>
        <v>0</v>
      </c>
      <c r="AH26" s="54">
        <f t="shared" si="18"/>
        <v>0</v>
      </c>
      <c r="AK26" s="21">
        <f t="shared" si="19"/>
        <v>0</v>
      </c>
      <c r="AL26" s="52"/>
      <c r="AM26" s="57">
        <f t="shared" si="20"/>
        <v>0</v>
      </c>
      <c r="AN26" s="54">
        <f t="shared" si="21"/>
        <v>0</v>
      </c>
      <c r="AQ26" s="21">
        <f t="shared" si="22"/>
        <v>0</v>
      </c>
      <c r="AR26" s="52"/>
      <c r="AS26" s="57">
        <f t="shared" si="23"/>
        <v>0</v>
      </c>
      <c r="AT26" s="54">
        <f t="shared" si="24"/>
        <v>0</v>
      </c>
      <c r="AW26" s="21">
        <f t="shared" si="25"/>
        <v>0</v>
      </c>
      <c r="AX26" s="52"/>
      <c r="AY26" s="57">
        <f t="shared" si="26"/>
        <v>0</v>
      </c>
      <c r="AZ26" s="54">
        <f t="shared" si="27"/>
        <v>0</v>
      </c>
      <c r="BC26" s="21">
        <f t="shared" si="28"/>
        <v>0</v>
      </c>
      <c r="BD26" s="52"/>
      <c r="BE26" s="57">
        <f t="shared" si="29"/>
        <v>0</v>
      </c>
      <c r="BF26" s="54">
        <f t="shared" si="30"/>
        <v>0</v>
      </c>
      <c r="BG26" s="30"/>
      <c r="BH26" s="30"/>
      <c r="BI26" s="30"/>
      <c r="BJ26" s="30"/>
      <c r="BK26" s="30"/>
      <c r="BL26" s="30"/>
      <c r="BM26" s="30"/>
      <c r="BN26" s="30"/>
      <c r="BO26" s="30"/>
      <c r="BP26" s="30"/>
    </row>
    <row r="27">
      <c r="A27" s="19">
        <v>45286.0</v>
      </c>
      <c r="B27" s="20">
        <f t="shared" si="1"/>
        <v>0</v>
      </c>
      <c r="C27" s="21">
        <f t="shared" si="3"/>
        <v>0</v>
      </c>
      <c r="D27" s="52">
        <f t="shared" si="2"/>
        <v>0</v>
      </c>
      <c r="E27" s="57">
        <f t="shared" si="4"/>
        <v>0</v>
      </c>
      <c r="F27" s="54">
        <f t="shared" si="5"/>
        <v>0</v>
      </c>
      <c r="H27" s="55"/>
      <c r="I27" s="55"/>
      <c r="J27" s="57">
        <f t="shared" si="6"/>
        <v>0</v>
      </c>
      <c r="M27" s="21">
        <f t="shared" si="7"/>
        <v>0</v>
      </c>
      <c r="N27" s="52"/>
      <c r="O27" s="57">
        <f t="shared" si="8"/>
        <v>0</v>
      </c>
      <c r="P27" s="54">
        <f t="shared" si="9"/>
        <v>0</v>
      </c>
      <c r="S27" s="21">
        <f t="shared" si="10"/>
        <v>0</v>
      </c>
      <c r="T27" s="52"/>
      <c r="U27" s="57">
        <f t="shared" si="11"/>
        <v>0</v>
      </c>
      <c r="V27" s="54">
        <f t="shared" si="12"/>
        <v>0</v>
      </c>
      <c r="Y27" s="21">
        <f t="shared" si="13"/>
        <v>0</v>
      </c>
      <c r="Z27" s="52"/>
      <c r="AA27" s="57">
        <f t="shared" si="14"/>
        <v>0</v>
      </c>
      <c r="AB27" s="54">
        <f t="shared" si="15"/>
        <v>0</v>
      </c>
      <c r="AE27" s="21">
        <f t="shared" si="16"/>
        <v>0</v>
      </c>
      <c r="AF27" s="52"/>
      <c r="AG27" s="57">
        <f t="shared" si="17"/>
        <v>0</v>
      </c>
      <c r="AH27" s="54">
        <f t="shared" si="18"/>
        <v>0</v>
      </c>
      <c r="AK27" s="21">
        <f t="shared" si="19"/>
        <v>0</v>
      </c>
      <c r="AL27" s="52"/>
      <c r="AM27" s="57">
        <f t="shared" si="20"/>
        <v>0</v>
      </c>
      <c r="AN27" s="54">
        <f t="shared" si="21"/>
        <v>0</v>
      </c>
      <c r="AQ27" s="21">
        <f t="shared" si="22"/>
        <v>0</v>
      </c>
      <c r="AR27" s="52"/>
      <c r="AS27" s="57">
        <f t="shared" si="23"/>
        <v>0</v>
      </c>
      <c r="AT27" s="54">
        <f t="shared" si="24"/>
        <v>0</v>
      </c>
      <c r="AW27" s="21">
        <f t="shared" si="25"/>
        <v>0</v>
      </c>
      <c r="AX27" s="52"/>
      <c r="AY27" s="57">
        <f t="shared" si="26"/>
        <v>0</v>
      </c>
      <c r="AZ27" s="54">
        <f t="shared" si="27"/>
        <v>0</v>
      </c>
      <c r="BC27" s="21">
        <f t="shared" si="28"/>
        <v>0</v>
      </c>
      <c r="BD27" s="52"/>
      <c r="BE27" s="57">
        <f t="shared" si="29"/>
        <v>0</v>
      </c>
      <c r="BF27" s="54">
        <f t="shared" si="30"/>
        <v>0</v>
      </c>
      <c r="BG27" s="30"/>
      <c r="BH27" s="30"/>
      <c r="BI27" s="30"/>
      <c r="BJ27" s="30"/>
      <c r="BK27" s="30"/>
      <c r="BL27" s="30"/>
      <c r="BM27" s="30"/>
      <c r="BN27" s="30"/>
      <c r="BO27" s="30"/>
      <c r="BP27" s="30"/>
    </row>
    <row r="28">
      <c r="A28" s="19">
        <v>45287.0</v>
      </c>
      <c r="B28" s="20">
        <f t="shared" si="1"/>
        <v>0</v>
      </c>
      <c r="C28" s="21">
        <f t="shared" si="3"/>
        <v>0</v>
      </c>
      <c r="D28" s="52">
        <f t="shared" si="2"/>
        <v>0</v>
      </c>
      <c r="E28" s="57">
        <f t="shared" si="4"/>
        <v>0</v>
      </c>
      <c r="F28" s="54">
        <f t="shared" si="5"/>
        <v>0</v>
      </c>
      <c r="H28" s="55"/>
      <c r="I28" s="55"/>
      <c r="J28" s="57">
        <f t="shared" si="6"/>
        <v>0</v>
      </c>
      <c r="M28" s="21">
        <f t="shared" si="7"/>
        <v>0</v>
      </c>
      <c r="N28" s="52"/>
      <c r="O28" s="57">
        <f t="shared" si="8"/>
        <v>0</v>
      </c>
      <c r="P28" s="54">
        <f t="shared" si="9"/>
        <v>0</v>
      </c>
      <c r="S28" s="21">
        <f t="shared" si="10"/>
        <v>0</v>
      </c>
      <c r="T28" s="52"/>
      <c r="U28" s="57">
        <f t="shared" si="11"/>
        <v>0</v>
      </c>
      <c r="V28" s="54">
        <f t="shared" si="12"/>
        <v>0</v>
      </c>
      <c r="Y28" s="21">
        <f t="shared" si="13"/>
        <v>0</v>
      </c>
      <c r="Z28" s="52"/>
      <c r="AA28" s="57">
        <f t="shared" si="14"/>
        <v>0</v>
      </c>
      <c r="AB28" s="54">
        <f t="shared" si="15"/>
        <v>0</v>
      </c>
      <c r="AE28" s="21">
        <f t="shared" si="16"/>
        <v>0</v>
      </c>
      <c r="AF28" s="52"/>
      <c r="AG28" s="57">
        <f t="shared" si="17"/>
        <v>0</v>
      </c>
      <c r="AH28" s="54">
        <f t="shared" si="18"/>
        <v>0</v>
      </c>
      <c r="AK28" s="21">
        <f t="shared" si="19"/>
        <v>0</v>
      </c>
      <c r="AL28" s="52"/>
      <c r="AM28" s="57">
        <f t="shared" si="20"/>
        <v>0</v>
      </c>
      <c r="AN28" s="54">
        <f t="shared" si="21"/>
        <v>0</v>
      </c>
      <c r="AQ28" s="21">
        <f t="shared" si="22"/>
        <v>0</v>
      </c>
      <c r="AR28" s="52"/>
      <c r="AS28" s="57">
        <f t="shared" si="23"/>
        <v>0</v>
      </c>
      <c r="AT28" s="54">
        <f t="shared" si="24"/>
        <v>0</v>
      </c>
      <c r="AW28" s="21">
        <f t="shared" si="25"/>
        <v>0</v>
      </c>
      <c r="AX28" s="52"/>
      <c r="AY28" s="57">
        <f t="shared" si="26"/>
        <v>0</v>
      </c>
      <c r="AZ28" s="54">
        <f t="shared" si="27"/>
        <v>0</v>
      </c>
      <c r="BC28" s="21">
        <f t="shared" si="28"/>
        <v>0</v>
      </c>
      <c r="BD28" s="52"/>
      <c r="BE28" s="57">
        <f t="shared" si="29"/>
        <v>0</v>
      </c>
      <c r="BF28" s="54">
        <f t="shared" si="30"/>
        <v>0</v>
      </c>
      <c r="BG28" s="30"/>
      <c r="BH28" s="30"/>
      <c r="BI28" s="30"/>
      <c r="BJ28" s="30"/>
      <c r="BK28" s="30"/>
      <c r="BL28" s="30"/>
      <c r="BM28" s="30"/>
      <c r="BN28" s="30"/>
      <c r="BO28" s="30"/>
      <c r="BP28" s="30"/>
    </row>
    <row r="29">
      <c r="A29" s="19">
        <v>45288.0</v>
      </c>
      <c r="B29" s="20">
        <f t="shared" si="1"/>
        <v>0</v>
      </c>
      <c r="C29" s="21">
        <f t="shared" si="3"/>
        <v>0</v>
      </c>
      <c r="D29" s="52">
        <f t="shared" si="2"/>
        <v>0</v>
      </c>
      <c r="E29" s="57">
        <f t="shared" si="4"/>
        <v>0</v>
      </c>
      <c r="F29" s="54">
        <f t="shared" si="5"/>
        <v>0</v>
      </c>
      <c r="H29" s="55"/>
      <c r="I29" s="55"/>
      <c r="J29" s="57">
        <f t="shared" si="6"/>
        <v>0</v>
      </c>
      <c r="L29" s="20"/>
      <c r="M29" s="21">
        <f t="shared" si="7"/>
        <v>0</v>
      </c>
      <c r="N29" s="52"/>
      <c r="O29" s="57">
        <f t="shared" si="8"/>
        <v>0</v>
      </c>
      <c r="P29" s="54">
        <f t="shared" si="9"/>
        <v>0</v>
      </c>
      <c r="R29" s="20"/>
      <c r="S29" s="21">
        <f t="shared" si="10"/>
        <v>0</v>
      </c>
      <c r="T29" s="61"/>
      <c r="U29" s="57">
        <f t="shared" si="11"/>
        <v>0</v>
      </c>
      <c r="V29" s="54">
        <f t="shared" si="12"/>
        <v>0</v>
      </c>
      <c r="X29" s="20"/>
      <c r="Y29" s="21">
        <f t="shared" si="13"/>
        <v>0</v>
      </c>
      <c r="Z29" s="52"/>
      <c r="AA29" s="57">
        <f t="shared" si="14"/>
        <v>0</v>
      </c>
      <c r="AB29" s="54">
        <f t="shared" si="15"/>
        <v>0</v>
      </c>
      <c r="AD29" s="20"/>
      <c r="AE29" s="21">
        <f t="shared" si="16"/>
        <v>0</v>
      </c>
      <c r="AF29" s="52"/>
      <c r="AG29" s="57">
        <f t="shared" si="17"/>
        <v>0</v>
      </c>
      <c r="AH29" s="54">
        <f t="shared" si="18"/>
        <v>0</v>
      </c>
      <c r="AJ29" s="20"/>
      <c r="AK29" s="21">
        <f t="shared" si="19"/>
        <v>0</v>
      </c>
      <c r="AL29" s="52"/>
      <c r="AM29" s="57">
        <f t="shared" si="20"/>
        <v>0</v>
      </c>
      <c r="AN29" s="54">
        <f t="shared" si="21"/>
        <v>0</v>
      </c>
      <c r="AP29" s="20"/>
      <c r="AQ29" s="21">
        <f t="shared" si="22"/>
        <v>0</v>
      </c>
      <c r="AR29" s="52"/>
      <c r="AS29" s="57">
        <f t="shared" si="23"/>
        <v>0</v>
      </c>
      <c r="AT29" s="54">
        <f t="shared" si="24"/>
        <v>0</v>
      </c>
      <c r="AV29" s="20"/>
      <c r="AW29" s="21">
        <f t="shared" si="25"/>
        <v>0</v>
      </c>
      <c r="AX29" s="52"/>
      <c r="AY29" s="57">
        <f t="shared" si="26"/>
        <v>0</v>
      </c>
      <c r="AZ29" s="54">
        <f t="shared" si="27"/>
        <v>0</v>
      </c>
      <c r="BB29" s="20"/>
      <c r="BC29" s="21">
        <f t="shared" si="28"/>
        <v>0</v>
      </c>
      <c r="BD29" s="52"/>
      <c r="BE29" s="57">
        <f t="shared" si="29"/>
        <v>0</v>
      </c>
      <c r="BF29" s="54">
        <f t="shared" si="30"/>
        <v>0</v>
      </c>
      <c r="BG29" s="30"/>
      <c r="BH29" s="30"/>
      <c r="BI29" s="30"/>
      <c r="BJ29" s="30"/>
      <c r="BK29" s="30"/>
      <c r="BL29" s="30"/>
      <c r="BM29" s="30"/>
      <c r="BN29" s="30"/>
      <c r="BO29" s="30"/>
      <c r="BP29" s="30"/>
    </row>
    <row r="30">
      <c r="A30" s="19">
        <v>45289.0</v>
      </c>
      <c r="B30" s="20">
        <f t="shared" si="1"/>
        <v>0</v>
      </c>
      <c r="C30" s="21">
        <f t="shared" si="3"/>
        <v>0</v>
      </c>
      <c r="D30" s="52">
        <f t="shared" si="2"/>
        <v>0</v>
      </c>
      <c r="E30" s="57">
        <f t="shared" si="4"/>
        <v>0</v>
      </c>
      <c r="F30" s="54">
        <f t="shared" si="5"/>
        <v>0</v>
      </c>
      <c r="H30" s="55"/>
      <c r="I30" s="55"/>
      <c r="J30" s="57">
        <f t="shared" si="6"/>
        <v>0</v>
      </c>
      <c r="M30" s="21">
        <f t="shared" si="7"/>
        <v>0</v>
      </c>
      <c r="N30" s="52"/>
      <c r="O30" s="57">
        <f t="shared" si="8"/>
        <v>0</v>
      </c>
      <c r="P30" s="54">
        <f t="shared" si="9"/>
        <v>0</v>
      </c>
      <c r="S30" s="21">
        <f t="shared" si="10"/>
        <v>0</v>
      </c>
      <c r="T30" s="52"/>
      <c r="U30" s="57">
        <f t="shared" si="11"/>
        <v>0</v>
      </c>
      <c r="V30" s="54">
        <f t="shared" si="12"/>
        <v>0</v>
      </c>
      <c r="Y30" s="21">
        <f t="shared" si="13"/>
        <v>0</v>
      </c>
      <c r="Z30" s="52"/>
      <c r="AA30" s="57">
        <f t="shared" si="14"/>
        <v>0</v>
      </c>
      <c r="AB30" s="54">
        <f t="shared" si="15"/>
        <v>0</v>
      </c>
      <c r="AE30" s="21">
        <f t="shared" si="16"/>
        <v>0</v>
      </c>
      <c r="AF30" s="52"/>
      <c r="AG30" s="57">
        <f t="shared" si="17"/>
        <v>0</v>
      </c>
      <c r="AH30" s="54">
        <f t="shared" si="18"/>
        <v>0</v>
      </c>
      <c r="AK30" s="21">
        <f t="shared" si="19"/>
        <v>0</v>
      </c>
      <c r="AL30" s="52"/>
      <c r="AM30" s="57">
        <f t="shared" si="20"/>
        <v>0</v>
      </c>
      <c r="AN30" s="54">
        <f t="shared" si="21"/>
        <v>0</v>
      </c>
      <c r="AQ30" s="21">
        <f t="shared" si="22"/>
        <v>0</v>
      </c>
      <c r="AR30" s="52"/>
      <c r="AS30" s="57">
        <f t="shared" si="23"/>
        <v>0</v>
      </c>
      <c r="AT30" s="54">
        <f t="shared" si="24"/>
        <v>0</v>
      </c>
      <c r="AW30" s="21">
        <f t="shared" si="25"/>
        <v>0</v>
      </c>
      <c r="AX30" s="52"/>
      <c r="AY30" s="57">
        <f t="shared" si="26"/>
        <v>0</v>
      </c>
      <c r="AZ30" s="54">
        <f t="shared" si="27"/>
        <v>0</v>
      </c>
      <c r="BC30" s="21">
        <f t="shared" si="28"/>
        <v>0</v>
      </c>
      <c r="BD30" s="52"/>
      <c r="BE30" s="57">
        <f t="shared" si="29"/>
        <v>0</v>
      </c>
      <c r="BF30" s="54">
        <f t="shared" si="30"/>
        <v>0</v>
      </c>
      <c r="BG30" s="30"/>
      <c r="BH30" s="30"/>
      <c r="BI30" s="30"/>
      <c r="BJ30" s="30"/>
      <c r="BK30" s="30"/>
      <c r="BL30" s="30"/>
      <c r="BM30" s="30"/>
      <c r="BN30" s="30"/>
      <c r="BO30" s="30"/>
      <c r="BP30" s="30"/>
    </row>
    <row r="31">
      <c r="A31" s="19">
        <v>45290.0</v>
      </c>
      <c r="B31" s="20">
        <f t="shared" si="1"/>
        <v>0</v>
      </c>
      <c r="C31" s="21">
        <f t="shared" si="3"/>
        <v>0</v>
      </c>
      <c r="D31" s="52">
        <f t="shared" si="2"/>
        <v>0</v>
      </c>
      <c r="E31" s="57">
        <f t="shared" si="4"/>
        <v>0</v>
      </c>
      <c r="F31" s="54">
        <f t="shared" si="5"/>
        <v>0</v>
      </c>
      <c r="H31" s="55"/>
      <c r="I31" s="55"/>
      <c r="J31" s="57">
        <f t="shared" si="6"/>
        <v>0</v>
      </c>
      <c r="L31" s="20"/>
      <c r="M31" s="21">
        <f t="shared" si="7"/>
        <v>0</v>
      </c>
      <c r="N31" s="52"/>
      <c r="O31" s="57">
        <f t="shared" si="8"/>
        <v>0</v>
      </c>
      <c r="P31" s="54">
        <f t="shared" si="9"/>
        <v>0</v>
      </c>
      <c r="R31" s="20"/>
      <c r="S31" s="21">
        <f t="shared" si="10"/>
        <v>0</v>
      </c>
      <c r="T31" s="52"/>
      <c r="U31" s="57">
        <f t="shared" si="11"/>
        <v>0</v>
      </c>
      <c r="V31" s="54">
        <f t="shared" si="12"/>
        <v>0</v>
      </c>
      <c r="X31" s="20"/>
      <c r="Y31" s="21">
        <f t="shared" si="13"/>
        <v>0</v>
      </c>
      <c r="Z31" s="52"/>
      <c r="AA31" s="57">
        <f t="shared" si="14"/>
        <v>0</v>
      </c>
      <c r="AB31" s="54">
        <f t="shared" si="15"/>
        <v>0</v>
      </c>
      <c r="AD31" s="20"/>
      <c r="AE31" s="21">
        <f t="shared" si="16"/>
        <v>0</v>
      </c>
      <c r="AF31" s="52"/>
      <c r="AG31" s="57">
        <f t="shared" si="17"/>
        <v>0</v>
      </c>
      <c r="AH31" s="54">
        <f t="shared" si="18"/>
        <v>0</v>
      </c>
      <c r="AJ31" s="20"/>
      <c r="AK31" s="21">
        <f t="shared" si="19"/>
        <v>0</v>
      </c>
      <c r="AL31" s="52"/>
      <c r="AM31" s="57">
        <f t="shared" si="20"/>
        <v>0</v>
      </c>
      <c r="AN31" s="54">
        <f t="shared" si="21"/>
        <v>0</v>
      </c>
      <c r="AP31" s="20"/>
      <c r="AQ31" s="21">
        <f t="shared" si="22"/>
        <v>0</v>
      </c>
      <c r="AR31" s="52"/>
      <c r="AS31" s="57">
        <f t="shared" si="23"/>
        <v>0</v>
      </c>
      <c r="AT31" s="54">
        <f t="shared" si="24"/>
        <v>0</v>
      </c>
      <c r="AV31" s="20"/>
      <c r="AW31" s="21">
        <f t="shared" si="25"/>
        <v>0</v>
      </c>
      <c r="AX31" s="52"/>
      <c r="AY31" s="57">
        <f t="shared" si="26"/>
        <v>0</v>
      </c>
      <c r="AZ31" s="54">
        <f t="shared" si="27"/>
        <v>0</v>
      </c>
      <c r="BB31" s="20"/>
      <c r="BC31" s="21">
        <f t="shared" si="28"/>
        <v>0</v>
      </c>
      <c r="BD31" s="52"/>
      <c r="BE31" s="57">
        <f t="shared" si="29"/>
        <v>0</v>
      </c>
      <c r="BF31" s="54">
        <f t="shared" si="30"/>
        <v>0</v>
      </c>
      <c r="BG31" s="30"/>
      <c r="BH31" s="30"/>
      <c r="BI31" s="30"/>
      <c r="BJ31" s="30"/>
      <c r="BK31" s="30"/>
      <c r="BL31" s="30"/>
      <c r="BM31" s="30"/>
      <c r="BN31" s="30"/>
      <c r="BO31" s="30"/>
      <c r="BP31" s="30"/>
    </row>
    <row r="32">
      <c r="A32" s="19">
        <v>45291.0</v>
      </c>
      <c r="B32" s="20">
        <f t="shared" si="1"/>
        <v>0</v>
      </c>
      <c r="C32" s="21">
        <f t="shared" si="3"/>
        <v>0</v>
      </c>
      <c r="D32" s="52">
        <f t="shared" si="2"/>
        <v>0</v>
      </c>
      <c r="E32" s="57">
        <f t="shared" si="4"/>
        <v>0</v>
      </c>
      <c r="F32" s="54">
        <f t="shared" si="5"/>
        <v>0</v>
      </c>
      <c r="H32" s="55"/>
      <c r="I32" s="55"/>
      <c r="J32" s="57">
        <f t="shared" si="6"/>
        <v>0</v>
      </c>
      <c r="L32" s="20"/>
      <c r="M32" s="21">
        <f t="shared" si="7"/>
        <v>0</v>
      </c>
      <c r="N32" s="52"/>
      <c r="O32" s="57">
        <f t="shared" si="8"/>
        <v>0</v>
      </c>
      <c r="P32" s="54">
        <f t="shared" si="9"/>
        <v>0</v>
      </c>
      <c r="R32" s="20"/>
      <c r="S32" s="21">
        <f t="shared" si="10"/>
        <v>0</v>
      </c>
      <c r="T32" s="52"/>
      <c r="U32" s="57">
        <f t="shared" si="11"/>
        <v>0</v>
      </c>
      <c r="V32" s="54">
        <f t="shared" si="12"/>
        <v>0</v>
      </c>
      <c r="X32" s="20"/>
      <c r="Y32" s="21">
        <f t="shared" si="13"/>
        <v>0</v>
      </c>
      <c r="Z32" s="52"/>
      <c r="AA32" s="57">
        <f t="shared" si="14"/>
        <v>0</v>
      </c>
      <c r="AB32" s="54">
        <f t="shared" si="15"/>
        <v>0</v>
      </c>
      <c r="AD32" s="20"/>
      <c r="AE32" s="21">
        <f t="shared" si="16"/>
        <v>0</v>
      </c>
      <c r="AF32" s="52"/>
      <c r="AG32" s="57">
        <f t="shared" si="17"/>
        <v>0</v>
      </c>
      <c r="AH32" s="54">
        <f t="shared" si="18"/>
        <v>0</v>
      </c>
      <c r="AJ32" s="20"/>
      <c r="AK32" s="21">
        <f t="shared" si="19"/>
        <v>0</v>
      </c>
      <c r="AL32" s="52"/>
      <c r="AM32" s="57">
        <f t="shared" si="20"/>
        <v>0</v>
      </c>
      <c r="AN32" s="54">
        <f t="shared" si="21"/>
        <v>0</v>
      </c>
      <c r="AP32" s="20"/>
      <c r="AQ32" s="21">
        <f t="shared" si="22"/>
        <v>0</v>
      </c>
      <c r="AR32" s="52"/>
      <c r="AS32" s="57">
        <f t="shared" si="23"/>
        <v>0</v>
      </c>
      <c r="AT32" s="54">
        <f t="shared" si="24"/>
        <v>0</v>
      </c>
      <c r="AV32" s="20"/>
      <c r="AW32" s="21">
        <f t="shared" si="25"/>
        <v>0</v>
      </c>
      <c r="AX32" s="52"/>
      <c r="AY32" s="57">
        <f t="shared" si="26"/>
        <v>0</v>
      </c>
      <c r="AZ32" s="54">
        <f t="shared" si="27"/>
        <v>0</v>
      </c>
      <c r="BB32" s="20"/>
      <c r="BC32" s="21">
        <f t="shared" si="28"/>
        <v>0</v>
      </c>
      <c r="BD32" s="52"/>
      <c r="BE32" s="57">
        <f t="shared" si="29"/>
        <v>0</v>
      </c>
      <c r="BF32" s="54">
        <f t="shared" si="30"/>
        <v>0</v>
      </c>
      <c r="BG32" s="30"/>
      <c r="BH32" s="30"/>
      <c r="BI32" s="30"/>
      <c r="BJ32" s="30"/>
      <c r="BK32" s="30"/>
      <c r="BL32" s="30"/>
      <c r="BM32" s="30"/>
      <c r="BN32" s="30"/>
      <c r="BO32" s="30"/>
      <c r="BP32" s="30"/>
    </row>
    <row r="33">
      <c r="A33" s="33" t="s">
        <v>37</v>
      </c>
      <c r="B33" s="34"/>
      <c r="C33" s="34">
        <f>SUM(C2:C31)</f>
        <v>0</v>
      </c>
      <c r="D33" s="62"/>
      <c r="E33" s="62">
        <f>SUM(E2:E31)</f>
        <v>0</v>
      </c>
      <c r="F33" s="63">
        <f>IF(E33=0, 0, (E33)/C33)</f>
        <v>0</v>
      </c>
      <c r="G33" s="37">
        <f>SUM(G2:G31)</f>
        <v>0</v>
      </c>
      <c r="H33" s="62">
        <f t="shared" ref="H33:I33" si="31">SUM(H1:H31)</f>
        <v>0</v>
      </c>
      <c r="I33" s="62">
        <f t="shared" si="31"/>
        <v>0</v>
      </c>
      <c r="J33" s="62">
        <f t="shared" si="6"/>
        <v>0</v>
      </c>
      <c r="L33" s="34"/>
      <c r="M33" s="34">
        <f>SUM(M2:M31)</f>
        <v>0</v>
      </c>
      <c r="N33" s="62"/>
      <c r="O33" s="62">
        <f>SUM(O2:O31)</f>
        <v>0</v>
      </c>
      <c r="P33" s="63" t="str">
        <f>O33/M33</f>
        <v>#DIV/0!</v>
      </c>
      <c r="R33" s="34"/>
      <c r="S33" s="34">
        <f>SUM(S2:S31)</f>
        <v>0</v>
      </c>
      <c r="T33" s="62"/>
      <c r="U33" s="62">
        <f>SUM(U2:U31)</f>
        <v>0</v>
      </c>
      <c r="V33" s="63" t="str">
        <f>U33/S33</f>
        <v>#DIV/0!</v>
      </c>
      <c r="X33" s="34"/>
      <c r="Y33" s="34">
        <f>SUM(Y2:Y31)</f>
        <v>0</v>
      </c>
      <c r="Z33" s="62"/>
      <c r="AA33" s="62">
        <f>SUM(AA2:AA31)</f>
        <v>0</v>
      </c>
      <c r="AB33" s="63" t="str">
        <f>AA33/Y33</f>
        <v>#DIV/0!</v>
      </c>
      <c r="AD33" s="34"/>
      <c r="AE33" s="34">
        <f>SUM(AE2:AE31)</f>
        <v>0</v>
      </c>
      <c r="AF33" s="62"/>
      <c r="AG33" s="62">
        <f>SUM(AG2:AG31)</f>
        <v>0</v>
      </c>
      <c r="AH33" s="63" t="str">
        <f>AG33/AE33</f>
        <v>#DIV/0!</v>
      </c>
      <c r="AJ33" s="34"/>
      <c r="AK33" s="34">
        <f>SUM(AK2:AK31)</f>
        <v>0</v>
      </c>
      <c r="AL33" s="62"/>
      <c r="AM33" s="62">
        <f>SUM(AM2:AM31)</f>
        <v>0</v>
      </c>
      <c r="AN33" s="63" t="str">
        <f>AM33/AK33</f>
        <v>#DIV/0!</v>
      </c>
      <c r="AP33" s="34"/>
      <c r="AQ33" s="34">
        <f>SUM(AQ2:AQ31)</f>
        <v>0</v>
      </c>
      <c r="AR33" s="62"/>
      <c r="AS33" s="62">
        <f>SUM(AS2:AS31)</f>
        <v>0</v>
      </c>
      <c r="AT33" s="63" t="str">
        <f>AS33/AQ33</f>
        <v>#DIV/0!</v>
      </c>
      <c r="AV33" s="34"/>
      <c r="AW33" s="34">
        <f>SUM(AW2:AW31)</f>
        <v>0</v>
      </c>
      <c r="AX33" s="62"/>
      <c r="AY33" s="62">
        <f>SUM(AY2:AY31)</f>
        <v>0</v>
      </c>
      <c r="AZ33" s="63" t="str">
        <f>AY33/AW33</f>
        <v>#DIV/0!</v>
      </c>
      <c r="BB33" s="34"/>
      <c r="BC33" s="34">
        <f>SUM(BC2:BC31)</f>
        <v>0</v>
      </c>
      <c r="BD33" s="62"/>
      <c r="BE33" s="62">
        <f>SUM(BE2:BE31)</f>
        <v>0</v>
      </c>
      <c r="BF33" s="63" t="str">
        <f>BE33/BC33</f>
        <v>#DIV/0!</v>
      </c>
      <c r="BG33" s="38"/>
      <c r="BH33" s="38"/>
      <c r="BI33" s="38"/>
      <c r="BJ33" s="38"/>
      <c r="BK33" s="38"/>
      <c r="BL33" s="38"/>
      <c r="BM33" s="38"/>
      <c r="BN33" s="38"/>
      <c r="BO33" s="38"/>
      <c r="BP33" s="38"/>
    </row>
    <row r="34"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>
      <c r="A35" s="40" t="s">
        <v>4</v>
      </c>
      <c r="B35" s="64">
        <f>E33</f>
        <v>0</v>
      </c>
      <c r="C35" s="42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  <row r="36">
      <c r="A36" s="40" t="s">
        <v>38</v>
      </c>
      <c r="B36" s="65">
        <f>H33</f>
        <v>0</v>
      </c>
      <c r="C36" s="44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</row>
    <row r="37">
      <c r="A37" s="40" t="s">
        <v>39</v>
      </c>
      <c r="B37" s="45" t="str">
        <f>B36/E33</f>
        <v>#DIV/0!</v>
      </c>
      <c r="C37" s="46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</row>
    <row r="38">
      <c r="A38" s="40" t="s">
        <v>10</v>
      </c>
      <c r="B38" s="66">
        <f>I33</f>
        <v>0</v>
      </c>
      <c r="C38" s="46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</row>
    <row r="39">
      <c r="A39" s="40" t="s">
        <v>40</v>
      </c>
      <c r="B39" s="45" t="str">
        <f>B38/B35</f>
        <v>#DIV/0!</v>
      </c>
      <c r="C39" s="46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</row>
    <row r="40">
      <c r="A40" s="40" t="s">
        <v>41</v>
      </c>
      <c r="B40" s="48">
        <f>C33</f>
        <v>0</v>
      </c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</row>
    <row r="41">
      <c r="D41" s="49"/>
      <c r="H41" s="4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</row>
    <row r="42">
      <c r="A42" s="50"/>
      <c r="B42" s="50"/>
      <c r="C42" s="50"/>
      <c r="D42" s="50"/>
      <c r="E42" s="50"/>
      <c r="F42" s="50"/>
      <c r="G42" s="50"/>
      <c r="H42" s="50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>
      <c r="A43" s="39"/>
      <c r="B43" s="51"/>
      <c r="C43" s="39"/>
      <c r="D43" s="39"/>
      <c r="E43" s="39"/>
      <c r="F43" s="5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44">
      <c r="A44" s="39"/>
      <c r="B44" s="51"/>
      <c r="C44" s="39"/>
      <c r="D44" s="39"/>
      <c r="E44" s="39"/>
      <c r="F44" s="5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</row>
    <row r="45">
      <c r="A45" s="39"/>
      <c r="B45" s="51"/>
      <c r="C45" s="39"/>
      <c r="D45" s="39"/>
      <c r="E45" s="39"/>
      <c r="F45" s="5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</row>
    <row r="46">
      <c r="A46" s="39"/>
      <c r="B46" s="51"/>
      <c r="C46" s="39"/>
      <c r="D46" s="39"/>
      <c r="E46" s="39"/>
      <c r="F46" s="5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</row>
    <row r="47">
      <c r="A47" s="39"/>
      <c r="B47" s="51"/>
      <c r="C47" s="39"/>
      <c r="D47" s="39"/>
      <c r="E47" s="39"/>
      <c r="F47" s="5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</row>
    <row r="48">
      <c r="A48" s="39"/>
      <c r="B48" s="51"/>
      <c r="C48" s="39"/>
      <c r="D48" s="39"/>
      <c r="E48" s="39"/>
      <c r="F48" s="5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>
      <c r="A49" s="39"/>
      <c r="B49" s="51"/>
      <c r="C49" s="39"/>
      <c r="D49" s="39"/>
      <c r="E49" s="39"/>
      <c r="F49" s="5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</row>
    <row r="50">
      <c r="A50" s="39"/>
      <c r="B50" s="51"/>
      <c r="C50" s="39"/>
      <c r="D50" s="39"/>
      <c r="E50" s="39"/>
      <c r="F50" s="5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</row>
    <row r="51">
      <c r="A51" s="39"/>
      <c r="B51" s="51"/>
      <c r="C51" s="39"/>
      <c r="D51" s="39"/>
      <c r="E51" s="39"/>
      <c r="F51" s="5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</row>
    <row r="52">
      <c r="A52" s="39"/>
      <c r="B52" s="51"/>
      <c r="C52" s="39"/>
      <c r="D52" s="39"/>
      <c r="E52" s="39"/>
      <c r="F52" s="5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</row>
    <row r="53">
      <c r="A53" s="39"/>
      <c r="B53" s="51"/>
      <c r="C53" s="39"/>
      <c r="D53" s="39"/>
      <c r="E53" s="39"/>
      <c r="F53" s="5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</row>
    <row r="54">
      <c r="A54" s="39"/>
      <c r="B54" s="51"/>
      <c r="C54" s="39"/>
      <c r="D54" s="39"/>
      <c r="E54" s="39"/>
      <c r="F54" s="5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</row>
    <row r="55">
      <c r="A55" s="39"/>
      <c r="B55" s="51"/>
      <c r="C55" s="39"/>
      <c r="D55" s="39"/>
      <c r="E55" s="39"/>
      <c r="F55" s="5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</row>
    <row r="56">
      <c r="A56" s="39"/>
      <c r="B56" s="51"/>
      <c r="C56" s="39"/>
      <c r="D56" s="39"/>
      <c r="E56" s="39"/>
      <c r="F56" s="5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</row>
    <row r="57">
      <c r="A57" s="39"/>
      <c r="B57" s="51"/>
      <c r="C57" s="39"/>
      <c r="D57" s="39"/>
      <c r="E57" s="39"/>
      <c r="F57" s="5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</row>
    <row r="58">
      <c r="A58" s="39"/>
      <c r="B58" s="51"/>
      <c r="C58" s="39"/>
      <c r="D58" s="39"/>
      <c r="E58" s="39"/>
      <c r="F58" s="5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</row>
    <row r="59">
      <c r="A59" s="39"/>
      <c r="B59" s="51"/>
      <c r="C59" s="39"/>
      <c r="D59" s="39"/>
      <c r="E59" s="39"/>
      <c r="F59" s="5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</row>
    <row r="60">
      <c r="A60" s="39"/>
      <c r="B60" s="51"/>
      <c r="C60" s="39"/>
      <c r="D60" s="39"/>
      <c r="E60" s="39"/>
      <c r="F60" s="5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</row>
    <row r="61">
      <c r="A61" s="39"/>
      <c r="B61" s="51"/>
      <c r="C61" s="39"/>
      <c r="D61" s="39"/>
      <c r="E61" s="39"/>
      <c r="F61" s="5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</row>
    <row r="62">
      <c r="A62" s="39"/>
      <c r="B62" s="51"/>
      <c r="C62" s="39"/>
      <c r="D62" s="39"/>
      <c r="E62" s="39"/>
      <c r="F62" s="5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</row>
    <row r="63">
      <c r="A63" s="39"/>
      <c r="B63" s="51"/>
      <c r="C63" s="39"/>
      <c r="D63" s="39"/>
      <c r="E63" s="39"/>
      <c r="F63" s="5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</row>
    <row r="64">
      <c r="A64" s="39"/>
      <c r="B64" s="51"/>
      <c r="C64" s="39"/>
      <c r="D64" s="39"/>
      <c r="E64" s="39"/>
      <c r="F64" s="5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</row>
    <row r="65">
      <c r="A65" s="39"/>
      <c r="B65" s="51"/>
      <c r="C65" s="39"/>
      <c r="D65" s="39"/>
      <c r="E65" s="39"/>
      <c r="F65" s="5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</row>
    <row r="66">
      <c r="A66" s="39"/>
      <c r="B66" s="51"/>
      <c r="C66" s="39"/>
      <c r="D66" s="39"/>
      <c r="E66" s="39"/>
      <c r="F66" s="5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</row>
    <row r="67">
      <c r="A67" s="39"/>
      <c r="B67" s="51"/>
      <c r="C67" s="39"/>
      <c r="D67" s="39"/>
      <c r="E67" s="39"/>
      <c r="F67" s="5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</row>
    <row r="68">
      <c r="A68" s="39"/>
      <c r="B68" s="51"/>
      <c r="C68" s="39"/>
      <c r="D68" s="39"/>
      <c r="E68" s="39"/>
      <c r="F68" s="5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</row>
    <row r="69">
      <c r="A69" s="39"/>
      <c r="B69" s="51"/>
      <c r="C69" s="39"/>
      <c r="D69" s="39"/>
      <c r="E69" s="39"/>
      <c r="F69" s="5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</row>
    <row r="70">
      <c r="A70" s="39"/>
      <c r="B70" s="51"/>
      <c r="C70" s="39"/>
      <c r="D70" s="39"/>
      <c r="E70" s="39"/>
      <c r="F70" s="5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</row>
    <row r="71">
      <c r="A71" s="39"/>
      <c r="B71" s="51"/>
      <c r="C71" s="39"/>
      <c r="D71" s="39"/>
      <c r="E71" s="39"/>
      <c r="F71" s="5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</row>
    <row r="72">
      <c r="A72" s="39"/>
      <c r="B72" s="51"/>
      <c r="C72" s="39"/>
      <c r="D72" s="39"/>
      <c r="E72" s="39"/>
      <c r="F72" s="5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</row>
    <row r="73">
      <c r="A73" s="39"/>
      <c r="B73" s="51"/>
      <c r="C73" s="39"/>
      <c r="D73" s="39"/>
      <c r="E73" s="39"/>
      <c r="F73" s="51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</row>
    <row r="74">
      <c r="A74" s="39"/>
      <c r="B74" s="39"/>
      <c r="C74" s="39"/>
      <c r="D74" s="51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</row>
    <row r="75">
      <c r="A75" s="39"/>
      <c r="B75" s="39"/>
      <c r="C75" s="39"/>
      <c r="D75" s="51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</row>
    <row r="76">
      <c r="A76" s="39"/>
      <c r="B76" s="39"/>
      <c r="C76" s="39"/>
      <c r="D76" s="51"/>
      <c r="E76" s="39"/>
      <c r="F76" s="39"/>
      <c r="G76" s="39"/>
      <c r="H76" s="39"/>
      <c r="I76" s="39"/>
      <c r="K76" s="39"/>
      <c r="L76" s="39"/>
      <c r="M76" s="39"/>
      <c r="N76" s="39"/>
      <c r="O76" s="39"/>
      <c r="P76" s="39"/>
      <c r="Q76" s="39"/>
    </row>
    <row r="77">
      <c r="A77" s="39"/>
      <c r="B77" s="39"/>
      <c r="C77" s="39"/>
      <c r="D77" s="51"/>
      <c r="E77" s="39"/>
      <c r="F77" s="39"/>
      <c r="G77" s="39"/>
      <c r="H77" s="39"/>
      <c r="I77" s="39"/>
      <c r="K77" s="39"/>
      <c r="L77" s="39"/>
      <c r="M77" s="39"/>
      <c r="N77" s="39"/>
      <c r="O77" s="39"/>
      <c r="P77" s="39"/>
      <c r="Q77" s="39"/>
    </row>
    <row r="78">
      <c r="A78" s="39"/>
      <c r="B78" s="39"/>
      <c r="C78" s="39"/>
      <c r="D78" s="51"/>
      <c r="E78" s="39"/>
      <c r="F78" s="39"/>
      <c r="G78" s="39"/>
      <c r="H78" s="39"/>
      <c r="I78" s="39"/>
      <c r="K78" s="39"/>
      <c r="L78" s="39"/>
      <c r="M78" s="39"/>
      <c r="N78" s="39"/>
      <c r="O78" s="39"/>
      <c r="P78" s="39"/>
      <c r="Q78" s="39"/>
    </row>
    <row r="79">
      <c r="C79" s="39"/>
      <c r="D79" s="51"/>
      <c r="E79" s="39"/>
      <c r="F79" s="39"/>
      <c r="G79" s="39"/>
      <c r="K79" s="39"/>
      <c r="L79" s="39"/>
      <c r="M79" s="39"/>
      <c r="N79" s="39"/>
      <c r="O79" s="39"/>
      <c r="P79" s="39"/>
      <c r="Q79" s="39"/>
    </row>
    <row r="80">
      <c r="C80" s="39"/>
      <c r="D80" s="51"/>
      <c r="E80" s="39"/>
      <c r="F80" s="39"/>
      <c r="G80" s="39"/>
      <c r="K80" s="39"/>
      <c r="L80" s="39"/>
      <c r="M80" s="39"/>
      <c r="N80" s="39"/>
      <c r="O80" s="39"/>
      <c r="P80" s="39"/>
      <c r="Q80" s="39"/>
    </row>
    <row r="81">
      <c r="C81" s="39"/>
      <c r="D81" s="51"/>
      <c r="E81" s="39"/>
      <c r="F81" s="39"/>
      <c r="G81" s="39"/>
      <c r="K81" s="39"/>
      <c r="L81" s="39"/>
      <c r="M81" s="39"/>
      <c r="N81" s="39"/>
      <c r="O81" s="39"/>
      <c r="P81" s="39"/>
      <c r="Q81" s="39"/>
    </row>
    <row r="82">
      <c r="C82" s="39"/>
      <c r="D82" s="51"/>
      <c r="E82" s="39"/>
      <c r="F82" s="39"/>
      <c r="G82" s="39"/>
      <c r="K82" s="39"/>
      <c r="L82" s="39"/>
      <c r="M82" s="39"/>
      <c r="N82" s="39"/>
      <c r="O82" s="39"/>
      <c r="P82" s="39"/>
      <c r="Q82" s="39"/>
    </row>
    <row r="83">
      <c r="C83" s="39"/>
      <c r="D83" s="51"/>
      <c r="E83" s="39"/>
      <c r="F83" s="39"/>
      <c r="G83" s="39"/>
      <c r="K83" s="39"/>
      <c r="L83" s="39"/>
      <c r="M83" s="39"/>
      <c r="N83" s="39"/>
      <c r="O83" s="39"/>
      <c r="P83" s="39"/>
      <c r="Q83" s="39"/>
    </row>
    <row r="84">
      <c r="C84" s="39"/>
      <c r="D84" s="51"/>
      <c r="E84" s="39"/>
      <c r="F84" s="39"/>
      <c r="G84" s="39"/>
      <c r="K84" s="39"/>
      <c r="L84" s="39"/>
      <c r="M84" s="39"/>
      <c r="N84" s="39"/>
      <c r="O84" s="39"/>
      <c r="P84" s="39"/>
      <c r="Q84" s="39"/>
    </row>
    <row r="85">
      <c r="C85" s="39"/>
      <c r="D85" s="51"/>
      <c r="E85" s="39"/>
      <c r="F85" s="39"/>
      <c r="G85" s="39"/>
      <c r="K85" s="39"/>
      <c r="L85" s="39"/>
      <c r="M85" s="39"/>
      <c r="N85" s="39"/>
      <c r="O85" s="39"/>
      <c r="P85" s="39"/>
      <c r="Q85" s="39"/>
    </row>
    <row r="86">
      <c r="C86" s="39"/>
      <c r="D86" s="51"/>
      <c r="E86" s="39"/>
      <c r="F86" s="39"/>
      <c r="G86" s="39"/>
      <c r="K86" s="39"/>
      <c r="L86" s="39"/>
      <c r="M86" s="39"/>
      <c r="N86" s="39"/>
      <c r="O86" s="39"/>
      <c r="P86" s="39"/>
      <c r="Q86" s="39"/>
    </row>
    <row r="87">
      <c r="C87" s="39"/>
      <c r="D87" s="51"/>
      <c r="E87" s="39"/>
      <c r="F87" s="39"/>
      <c r="G87" s="39"/>
      <c r="K87" s="39"/>
      <c r="L87" s="39"/>
      <c r="M87" s="39"/>
      <c r="N87" s="39"/>
      <c r="O87" s="39"/>
      <c r="P87" s="39"/>
      <c r="Q87" s="39"/>
    </row>
    <row r="88">
      <c r="C88" s="39"/>
      <c r="D88" s="51"/>
      <c r="E88" s="39"/>
      <c r="F88" s="39"/>
      <c r="G88" s="39"/>
      <c r="K88" s="39"/>
      <c r="L88" s="39"/>
      <c r="M88" s="39"/>
      <c r="N88" s="39"/>
      <c r="O88" s="39"/>
      <c r="P88" s="39"/>
      <c r="Q88" s="39"/>
    </row>
    <row r="89">
      <c r="C89" s="39"/>
      <c r="D89" s="51"/>
      <c r="E89" s="39"/>
      <c r="F89" s="39"/>
      <c r="G89" s="39"/>
      <c r="K89" s="39"/>
      <c r="L89" s="39"/>
      <c r="M89" s="39"/>
      <c r="N89" s="39"/>
      <c r="O89" s="39"/>
      <c r="P89" s="39"/>
      <c r="Q89" s="39"/>
    </row>
    <row r="90">
      <c r="C90" s="39"/>
      <c r="D90" s="51"/>
      <c r="E90" s="39"/>
      <c r="F90" s="39"/>
      <c r="G90" s="39"/>
      <c r="K90" s="39"/>
      <c r="L90" s="39"/>
      <c r="M90" s="39"/>
      <c r="N90" s="39"/>
      <c r="O90" s="39"/>
      <c r="P90" s="39"/>
      <c r="Q90" s="39"/>
    </row>
    <row r="91">
      <c r="D91" s="49"/>
      <c r="K91" s="39"/>
      <c r="L91" s="39"/>
      <c r="M91" s="39"/>
      <c r="N91" s="39"/>
      <c r="O91" s="39"/>
      <c r="P91" s="39"/>
      <c r="Q91" s="39"/>
    </row>
    <row r="92">
      <c r="D92" s="49"/>
      <c r="K92" s="39"/>
      <c r="L92" s="39"/>
      <c r="M92" s="39"/>
      <c r="N92" s="39"/>
      <c r="O92" s="39"/>
      <c r="P92" s="39"/>
      <c r="Q92" s="39"/>
    </row>
    <row r="93">
      <c r="D93" s="49"/>
      <c r="K93" s="39"/>
      <c r="L93" s="39"/>
      <c r="M93" s="39"/>
      <c r="N93" s="39"/>
      <c r="O93" s="39"/>
      <c r="P93" s="39"/>
      <c r="Q93" s="39"/>
    </row>
    <row r="94">
      <c r="D94" s="49"/>
      <c r="K94" s="39"/>
      <c r="L94" s="39"/>
      <c r="M94" s="39"/>
      <c r="N94" s="39"/>
      <c r="O94" s="39"/>
      <c r="P94" s="39"/>
      <c r="Q94" s="39"/>
    </row>
    <row r="95">
      <c r="D95" s="49"/>
      <c r="K95" s="39"/>
      <c r="L95" s="39"/>
      <c r="M95" s="39"/>
      <c r="N95" s="39"/>
      <c r="O95" s="39"/>
      <c r="P95" s="39"/>
      <c r="Q95" s="39"/>
    </row>
    <row r="96">
      <c r="D96" s="49"/>
      <c r="K96" s="39"/>
      <c r="L96" s="39"/>
      <c r="M96" s="39"/>
      <c r="N96" s="39"/>
      <c r="O96" s="39"/>
      <c r="P96" s="39"/>
      <c r="Q96" s="39"/>
    </row>
    <row r="97">
      <c r="D97" s="49"/>
      <c r="K97" s="39"/>
      <c r="L97" s="39"/>
      <c r="M97" s="39"/>
      <c r="N97" s="39"/>
      <c r="O97" s="39"/>
      <c r="P97" s="39"/>
      <c r="Q97" s="39"/>
    </row>
    <row r="98">
      <c r="D98" s="49"/>
      <c r="K98" s="39"/>
      <c r="L98" s="39"/>
      <c r="M98" s="39"/>
      <c r="N98" s="39"/>
      <c r="O98" s="39"/>
      <c r="P98" s="39"/>
      <c r="Q98" s="39"/>
    </row>
    <row r="99">
      <c r="D99" s="49"/>
      <c r="K99" s="39"/>
      <c r="L99" s="39"/>
      <c r="M99" s="39"/>
      <c r="N99" s="39"/>
      <c r="O99" s="39"/>
      <c r="P99" s="39"/>
      <c r="Q99" s="39"/>
    </row>
    <row r="100">
      <c r="D100" s="49"/>
      <c r="K100" s="39"/>
      <c r="L100" s="39"/>
      <c r="M100" s="39"/>
      <c r="N100" s="39"/>
      <c r="O100" s="39"/>
      <c r="P100" s="39"/>
      <c r="Q100" s="39"/>
    </row>
    <row r="101">
      <c r="D101" s="49"/>
      <c r="K101" s="39"/>
      <c r="L101" s="39"/>
      <c r="M101" s="39"/>
      <c r="N101" s="39"/>
      <c r="O101" s="39"/>
      <c r="P101" s="39"/>
      <c r="Q101" s="39"/>
    </row>
    <row r="102">
      <c r="D102" s="49"/>
      <c r="K102" s="39"/>
      <c r="L102" s="39"/>
      <c r="M102" s="39"/>
      <c r="N102" s="39"/>
      <c r="O102" s="39"/>
      <c r="P102" s="39"/>
      <c r="Q102" s="39"/>
    </row>
    <row r="103">
      <c r="D103" s="49"/>
      <c r="K103" s="39"/>
      <c r="L103" s="39"/>
      <c r="M103" s="39"/>
      <c r="N103" s="39"/>
      <c r="O103" s="39"/>
      <c r="P103" s="39"/>
      <c r="Q103" s="39"/>
    </row>
    <row r="104">
      <c r="D104" s="49"/>
      <c r="K104" s="39"/>
      <c r="L104" s="39"/>
      <c r="M104" s="39"/>
      <c r="N104" s="39"/>
      <c r="O104" s="39"/>
      <c r="P104" s="39"/>
      <c r="Q104" s="39"/>
    </row>
    <row r="105">
      <c r="D105" s="49"/>
      <c r="K105" s="39"/>
      <c r="L105" s="39"/>
      <c r="M105" s="39"/>
      <c r="N105" s="39"/>
      <c r="O105" s="39"/>
      <c r="P105" s="39"/>
      <c r="Q105" s="39"/>
    </row>
    <row r="106">
      <c r="D106" s="49"/>
      <c r="K106" s="39"/>
      <c r="L106" s="39"/>
      <c r="M106" s="39"/>
      <c r="N106" s="39"/>
      <c r="O106" s="39"/>
      <c r="P106" s="39"/>
      <c r="Q106" s="39"/>
    </row>
    <row r="107">
      <c r="D107" s="49"/>
      <c r="K107" s="39"/>
      <c r="L107" s="39"/>
      <c r="M107" s="39"/>
      <c r="N107" s="39"/>
      <c r="O107" s="39"/>
      <c r="P107" s="39"/>
      <c r="Q107" s="39"/>
    </row>
    <row r="108">
      <c r="D108" s="49"/>
      <c r="K108" s="39"/>
      <c r="L108" s="39"/>
      <c r="M108" s="39"/>
      <c r="N108" s="39"/>
      <c r="O108" s="39"/>
      <c r="P108" s="39"/>
      <c r="Q108" s="39"/>
    </row>
    <row r="109">
      <c r="D109" s="49"/>
      <c r="K109" s="39"/>
      <c r="L109" s="39"/>
      <c r="M109" s="39"/>
      <c r="N109" s="39"/>
      <c r="O109" s="39"/>
      <c r="P109" s="39"/>
      <c r="Q109" s="39"/>
    </row>
    <row r="110">
      <c r="D110" s="49"/>
      <c r="K110" s="39"/>
      <c r="L110" s="39"/>
      <c r="M110" s="39"/>
      <c r="N110" s="39"/>
      <c r="O110" s="39"/>
      <c r="P110" s="39"/>
      <c r="Q110" s="39"/>
    </row>
    <row r="111">
      <c r="D111" s="49"/>
      <c r="K111" s="39"/>
      <c r="L111" s="39"/>
      <c r="M111" s="39"/>
      <c r="N111" s="39"/>
      <c r="O111" s="39"/>
      <c r="P111" s="39"/>
      <c r="Q111" s="39"/>
    </row>
    <row r="112">
      <c r="D112" s="49"/>
      <c r="K112" s="39"/>
      <c r="L112" s="39"/>
      <c r="M112" s="39"/>
      <c r="N112" s="39"/>
      <c r="O112" s="39"/>
      <c r="P112" s="39"/>
      <c r="Q112" s="39"/>
    </row>
    <row r="113">
      <c r="D113" s="49"/>
      <c r="K113" s="39"/>
      <c r="L113" s="39"/>
      <c r="M113" s="39"/>
      <c r="N113" s="39"/>
      <c r="O113" s="39"/>
      <c r="P113" s="39"/>
      <c r="Q113" s="39"/>
    </row>
    <row r="114">
      <c r="D114" s="49"/>
      <c r="K114" s="39"/>
      <c r="L114" s="39"/>
      <c r="M114" s="39"/>
      <c r="N114" s="39"/>
      <c r="O114" s="39"/>
      <c r="P114" s="39"/>
      <c r="Q114" s="39"/>
    </row>
    <row r="115">
      <c r="D115" s="49"/>
      <c r="K115" s="39"/>
      <c r="L115" s="39"/>
      <c r="M115" s="39"/>
      <c r="N115" s="39"/>
      <c r="O115" s="39"/>
      <c r="P115" s="39"/>
      <c r="Q115" s="39"/>
    </row>
    <row r="116">
      <c r="D116" s="49"/>
      <c r="K116" s="39"/>
      <c r="L116" s="39"/>
      <c r="M116" s="39"/>
      <c r="N116" s="39"/>
      <c r="O116" s="39"/>
      <c r="P116" s="39"/>
      <c r="Q116" s="39"/>
    </row>
    <row r="117">
      <c r="D117" s="49"/>
      <c r="K117" s="39"/>
      <c r="L117" s="39"/>
      <c r="M117" s="39"/>
      <c r="N117" s="39"/>
      <c r="O117" s="39"/>
      <c r="P117" s="39"/>
      <c r="Q117" s="39"/>
    </row>
    <row r="118">
      <c r="D118" s="49"/>
      <c r="K118" s="39"/>
      <c r="L118" s="39"/>
      <c r="M118" s="39"/>
      <c r="N118" s="39"/>
      <c r="O118" s="39"/>
      <c r="P118" s="39"/>
      <c r="Q118" s="39"/>
    </row>
    <row r="119">
      <c r="D119" s="49"/>
      <c r="K119" s="39"/>
      <c r="L119" s="39"/>
      <c r="M119" s="39"/>
      <c r="N119" s="39"/>
      <c r="O119" s="39"/>
      <c r="P119" s="39"/>
      <c r="Q119" s="39"/>
    </row>
    <row r="120">
      <c r="D120" s="49"/>
      <c r="K120" s="39"/>
      <c r="L120" s="39"/>
      <c r="M120" s="39"/>
      <c r="N120" s="39"/>
      <c r="O120" s="39"/>
      <c r="P120" s="39"/>
      <c r="Q120" s="39"/>
    </row>
    <row r="121">
      <c r="D121" s="49"/>
      <c r="K121" s="39"/>
      <c r="L121" s="39"/>
      <c r="M121" s="39"/>
      <c r="N121" s="39"/>
      <c r="O121" s="39"/>
      <c r="P121" s="39"/>
      <c r="Q121" s="39"/>
    </row>
    <row r="122">
      <c r="D122" s="49"/>
      <c r="K122" s="39"/>
      <c r="L122" s="39"/>
      <c r="M122" s="39"/>
      <c r="N122" s="39"/>
      <c r="O122" s="39"/>
      <c r="P122" s="39"/>
      <c r="Q122" s="39"/>
    </row>
    <row r="123">
      <c r="D123" s="49"/>
      <c r="K123" s="39"/>
      <c r="L123" s="39"/>
      <c r="M123" s="39"/>
      <c r="N123" s="39"/>
      <c r="O123" s="39"/>
      <c r="P123" s="39"/>
      <c r="Q123" s="39"/>
    </row>
    <row r="124">
      <c r="D124" s="49"/>
      <c r="K124" s="39"/>
      <c r="L124" s="39"/>
      <c r="M124" s="39"/>
      <c r="N124" s="39"/>
      <c r="O124" s="39"/>
      <c r="P124" s="39"/>
      <c r="Q124" s="39"/>
    </row>
    <row r="125">
      <c r="D125" s="49"/>
      <c r="K125" s="39"/>
      <c r="L125" s="39"/>
      <c r="M125" s="39"/>
      <c r="N125" s="39"/>
      <c r="O125" s="39"/>
      <c r="P125" s="39"/>
      <c r="Q125" s="39"/>
    </row>
    <row r="126">
      <c r="D126" s="49"/>
      <c r="K126" s="39"/>
      <c r="L126" s="39"/>
      <c r="M126" s="39"/>
      <c r="N126" s="39"/>
      <c r="O126" s="39"/>
      <c r="P126" s="39"/>
      <c r="Q126" s="39"/>
    </row>
    <row r="127">
      <c r="D127" s="49"/>
      <c r="K127" s="39"/>
      <c r="L127" s="39"/>
      <c r="M127" s="39"/>
      <c r="N127" s="39"/>
      <c r="O127" s="39"/>
      <c r="P127" s="39"/>
      <c r="Q127" s="39"/>
    </row>
    <row r="128">
      <c r="D128" s="49"/>
      <c r="K128" s="39"/>
      <c r="L128" s="39"/>
      <c r="M128" s="39"/>
      <c r="N128" s="39"/>
      <c r="O128" s="39"/>
      <c r="P128" s="39"/>
      <c r="Q128" s="39"/>
    </row>
    <row r="129">
      <c r="D129" s="49"/>
      <c r="K129" s="39"/>
      <c r="L129" s="39"/>
      <c r="M129" s="39"/>
      <c r="N129" s="39"/>
      <c r="O129" s="39"/>
      <c r="P129" s="39"/>
      <c r="Q129" s="39"/>
    </row>
    <row r="130">
      <c r="D130" s="49"/>
      <c r="K130" s="39"/>
      <c r="L130" s="39"/>
      <c r="M130" s="39"/>
      <c r="N130" s="39"/>
      <c r="O130" s="39"/>
      <c r="P130" s="39"/>
      <c r="Q130" s="39"/>
    </row>
    <row r="131">
      <c r="D131" s="49"/>
      <c r="K131" s="39"/>
      <c r="L131" s="39"/>
      <c r="M131" s="39"/>
      <c r="N131" s="39"/>
      <c r="O131" s="39"/>
      <c r="P131" s="39"/>
      <c r="Q131" s="39"/>
    </row>
    <row r="132">
      <c r="D132" s="49"/>
      <c r="K132" s="39"/>
      <c r="L132" s="39"/>
      <c r="M132" s="39"/>
      <c r="N132" s="39"/>
      <c r="O132" s="39"/>
      <c r="P132" s="39"/>
      <c r="Q132" s="39"/>
    </row>
    <row r="133">
      <c r="D133" s="49"/>
      <c r="K133" s="39"/>
      <c r="L133" s="39"/>
      <c r="M133" s="39"/>
      <c r="N133" s="39"/>
      <c r="O133" s="39"/>
      <c r="P133" s="39"/>
      <c r="Q133" s="39"/>
    </row>
    <row r="134">
      <c r="D134" s="49"/>
      <c r="K134" s="39"/>
      <c r="L134" s="39"/>
      <c r="M134" s="39"/>
      <c r="N134" s="39"/>
      <c r="O134" s="39"/>
      <c r="P134" s="39"/>
      <c r="Q134" s="39"/>
    </row>
    <row r="135">
      <c r="D135" s="49"/>
      <c r="K135" s="39"/>
      <c r="L135" s="39"/>
      <c r="M135" s="39"/>
      <c r="N135" s="39"/>
      <c r="O135" s="39"/>
      <c r="P135" s="39"/>
      <c r="Q135" s="39"/>
    </row>
    <row r="136">
      <c r="D136" s="49"/>
      <c r="K136" s="39"/>
      <c r="L136" s="39"/>
      <c r="M136" s="39"/>
      <c r="N136" s="39"/>
      <c r="O136" s="39"/>
      <c r="P136" s="39"/>
      <c r="Q136" s="39"/>
    </row>
    <row r="137">
      <c r="D137" s="49"/>
      <c r="K137" s="39"/>
      <c r="L137" s="39"/>
      <c r="M137" s="39"/>
      <c r="N137" s="39"/>
      <c r="O137" s="39"/>
      <c r="P137" s="39"/>
      <c r="Q137" s="39"/>
    </row>
    <row r="138">
      <c r="D138" s="49"/>
      <c r="K138" s="39"/>
      <c r="L138" s="39"/>
      <c r="M138" s="39"/>
      <c r="N138" s="39"/>
      <c r="O138" s="39"/>
      <c r="P138" s="39"/>
      <c r="Q138" s="39"/>
    </row>
    <row r="139">
      <c r="D139" s="49"/>
      <c r="K139" s="39"/>
      <c r="L139" s="39"/>
      <c r="M139" s="39"/>
      <c r="N139" s="39"/>
      <c r="O139" s="39"/>
      <c r="P139" s="39"/>
      <c r="Q139" s="39"/>
    </row>
    <row r="140">
      <c r="D140" s="49"/>
      <c r="K140" s="39"/>
      <c r="L140" s="39"/>
      <c r="M140" s="39"/>
      <c r="N140" s="39"/>
      <c r="O140" s="39"/>
      <c r="P140" s="39"/>
      <c r="Q140" s="39"/>
    </row>
    <row r="141">
      <c r="D141" s="49"/>
      <c r="K141" s="39"/>
      <c r="L141" s="39"/>
      <c r="M141" s="39"/>
      <c r="N141" s="39"/>
      <c r="O141" s="39"/>
      <c r="P141" s="39"/>
      <c r="Q141" s="39"/>
    </row>
    <row r="142">
      <c r="D142" s="49"/>
      <c r="K142" s="39"/>
      <c r="L142" s="39"/>
      <c r="M142" s="39"/>
      <c r="N142" s="39"/>
      <c r="O142" s="39"/>
      <c r="P142" s="39"/>
      <c r="Q142" s="39"/>
    </row>
    <row r="143">
      <c r="D143" s="49"/>
      <c r="K143" s="39"/>
      <c r="L143" s="39"/>
      <c r="M143" s="39"/>
      <c r="N143" s="39"/>
      <c r="O143" s="39"/>
      <c r="P143" s="39"/>
      <c r="Q143" s="39"/>
    </row>
    <row r="144">
      <c r="D144" s="49"/>
      <c r="K144" s="39"/>
      <c r="L144" s="39"/>
      <c r="M144" s="39"/>
      <c r="N144" s="39"/>
      <c r="O144" s="39"/>
      <c r="P144" s="39"/>
      <c r="Q144" s="39"/>
    </row>
    <row r="145">
      <c r="D145" s="49"/>
      <c r="K145" s="39"/>
      <c r="L145" s="39"/>
      <c r="M145" s="39"/>
      <c r="N145" s="39"/>
      <c r="O145" s="39"/>
      <c r="P145" s="39"/>
      <c r="Q145" s="39"/>
    </row>
    <row r="146">
      <c r="D146" s="49"/>
      <c r="K146" s="39"/>
      <c r="L146" s="39"/>
      <c r="M146" s="39"/>
      <c r="N146" s="39"/>
      <c r="O146" s="39"/>
      <c r="P146" s="39"/>
      <c r="Q146" s="39"/>
    </row>
    <row r="147">
      <c r="D147" s="49"/>
      <c r="K147" s="39"/>
      <c r="L147" s="39"/>
      <c r="M147" s="39"/>
      <c r="N147" s="39"/>
      <c r="O147" s="39"/>
      <c r="P147" s="39"/>
      <c r="Q147" s="39"/>
    </row>
    <row r="148">
      <c r="D148" s="49"/>
      <c r="K148" s="39"/>
      <c r="L148" s="39"/>
      <c r="M148" s="39"/>
      <c r="N148" s="39"/>
      <c r="O148" s="39"/>
      <c r="P148" s="39"/>
      <c r="Q148" s="39"/>
    </row>
    <row r="149">
      <c r="D149" s="49"/>
      <c r="K149" s="39"/>
      <c r="L149" s="39"/>
      <c r="M149" s="39"/>
      <c r="N149" s="39"/>
      <c r="O149" s="39"/>
      <c r="P149" s="39"/>
      <c r="Q149" s="39"/>
    </row>
    <row r="150">
      <c r="D150" s="49"/>
      <c r="K150" s="39"/>
      <c r="L150" s="39"/>
      <c r="M150" s="39"/>
      <c r="N150" s="39"/>
      <c r="O150" s="39"/>
      <c r="P150" s="39"/>
      <c r="Q150" s="39"/>
    </row>
    <row r="151">
      <c r="D151" s="49"/>
      <c r="K151" s="39"/>
      <c r="L151" s="39"/>
      <c r="M151" s="39"/>
      <c r="N151" s="39"/>
      <c r="O151" s="39"/>
      <c r="P151" s="39"/>
      <c r="Q151" s="39"/>
    </row>
    <row r="152">
      <c r="D152" s="49"/>
      <c r="K152" s="39"/>
      <c r="L152" s="39"/>
      <c r="M152" s="39"/>
      <c r="N152" s="39"/>
      <c r="O152" s="39"/>
      <c r="P152" s="39"/>
      <c r="Q152" s="39"/>
    </row>
    <row r="153">
      <c r="D153" s="49"/>
      <c r="K153" s="39"/>
      <c r="L153" s="39"/>
      <c r="M153" s="39"/>
      <c r="N153" s="39"/>
      <c r="O153" s="39"/>
      <c r="P153" s="39"/>
      <c r="Q153" s="39"/>
    </row>
    <row r="154">
      <c r="D154" s="49"/>
      <c r="K154" s="39"/>
      <c r="L154" s="39"/>
      <c r="M154" s="39"/>
      <c r="N154" s="39"/>
      <c r="O154" s="39"/>
      <c r="P154" s="39"/>
      <c r="Q154" s="39"/>
    </row>
    <row r="155">
      <c r="D155" s="49"/>
      <c r="K155" s="39"/>
      <c r="L155" s="39"/>
      <c r="M155" s="39"/>
      <c r="N155" s="39"/>
      <c r="O155" s="39"/>
      <c r="P155" s="39"/>
      <c r="Q155" s="39"/>
    </row>
    <row r="156">
      <c r="D156" s="49"/>
      <c r="K156" s="39"/>
      <c r="L156" s="39"/>
      <c r="M156" s="39"/>
      <c r="N156" s="39"/>
      <c r="O156" s="39"/>
      <c r="P156" s="39"/>
      <c r="Q156" s="39"/>
    </row>
    <row r="157">
      <c r="D157" s="49"/>
      <c r="K157" s="39"/>
      <c r="L157" s="39"/>
      <c r="M157" s="39"/>
      <c r="N157" s="39"/>
      <c r="O157" s="39"/>
      <c r="P157" s="39"/>
      <c r="Q157" s="39"/>
    </row>
    <row r="158">
      <c r="D158" s="49"/>
      <c r="K158" s="39"/>
      <c r="L158" s="39"/>
      <c r="M158" s="39"/>
      <c r="N158" s="39"/>
      <c r="O158" s="39"/>
      <c r="P158" s="39"/>
      <c r="Q158" s="39"/>
    </row>
    <row r="159">
      <c r="D159" s="49"/>
      <c r="K159" s="39"/>
      <c r="L159" s="39"/>
      <c r="M159" s="39"/>
      <c r="N159" s="39"/>
      <c r="O159" s="39"/>
      <c r="P159" s="39"/>
      <c r="Q159" s="39"/>
    </row>
    <row r="160">
      <c r="D160" s="49"/>
      <c r="K160" s="39"/>
      <c r="L160" s="39"/>
      <c r="M160" s="39"/>
      <c r="N160" s="39"/>
      <c r="O160" s="39"/>
      <c r="P160" s="39"/>
      <c r="Q160" s="39"/>
    </row>
    <row r="161">
      <c r="D161" s="49"/>
      <c r="K161" s="39"/>
      <c r="L161" s="39"/>
      <c r="M161" s="39"/>
      <c r="N161" s="39"/>
      <c r="O161" s="39"/>
      <c r="P161" s="39"/>
      <c r="Q161" s="39"/>
    </row>
    <row r="162">
      <c r="D162" s="49"/>
      <c r="K162" s="39"/>
      <c r="L162" s="39"/>
      <c r="M162" s="39"/>
      <c r="N162" s="39"/>
      <c r="O162" s="39"/>
      <c r="P162" s="39"/>
      <c r="Q162" s="39"/>
    </row>
    <row r="163">
      <c r="D163" s="49"/>
      <c r="K163" s="39"/>
      <c r="L163" s="39"/>
      <c r="M163" s="39"/>
      <c r="N163" s="39"/>
      <c r="O163" s="39"/>
      <c r="P163" s="39"/>
      <c r="Q163" s="39"/>
    </row>
    <row r="164">
      <c r="D164" s="49"/>
      <c r="K164" s="39"/>
      <c r="L164" s="39"/>
      <c r="M164" s="39"/>
      <c r="N164" s="39"/>
      <c r="O164" s="39"/>
      <c r="P164" s="39"/>
      <c r="Q164" s="39"/>
    </row>
    <row r="165">
      <c r="D165" s="49"/>
      <c r="K165" s="39"/>
      <c r="L165" s="39"/>
      <c r="M165" s="39"/>
      <c r="N165" s="39"/>
      <c r="O165" s="39"/>
      <c r="P165" s="39"/>
      <c r="Q165" s="39"/>
    </row>
    <row r="166">
      <c r="D166" s="49"/>
      <c r="K166" s="39"/>
      <c r="L166" s="39"/>
      <c r="M166" s="39"/>
      <c r="N166" s="39"/>
      <c r="O166" s="39"/>
      <c r="P166" s="39"/>
      <c r="Q166" s="39"/>
    </row>
    <row r="167">
      <c r="D167" s="49"/>
      <c r="K167" s="39"/>
      <c r="L167" s="39"/>
      <c r="M167" s="39"/>
      <c r="N167" s="39"/>
      <c r="O167" s="39"/>
      <c r="P167" s="39"/>
      <c r="Q167" s="39"/>
    </row>
    <row r="168">
      <c r="D168" s="49"/>
      <c r="K168" s="39"/>
      <c r="L168" s="39"/>
      <c r="M168" s="39"/>
      <c r="N168" s="39"/>
      <c r="O168" s="39"/>
      <c r="P168" s="39"/>
      <c r="Q168" s="39"/>
    </row>
    <row r="169">
      <c r="D169" s="49"/>
      <c r="K169" s="39"/>
      <c r="L169" s="39"/>
      <c r="M169" s="39"/>
      <c r="N169" s="39"/>
      <c r="O169" s="39"/>
      <c r="P169" s="39"/>
      <c r="Q169" s="39"/>
    </row>
    <row r="170">
      <c r="D170" s="49"/>
      <c r="K170" s="39"/>
      <c r="L170" s="39"/>
      <c r="M170" s="39"/>
      <c r="N170" s="39"/>
      <c r="O170" s="39"/>
      <c r="P170" s="39"/>
      <c r="Q170" s="39"/>
    </row>
    <row r="171">
      <c r="D171" s="49"/>
      <c r="K171" s="39"/>
      <c r="L171" s="39"/>
      <c r="M171" s="39"/>
      <c r="N171" s="39"/>
      <c r="O171" s="39"/>
      <c r="P171" s="39"/>
      <c r="Q171" s="39"/>
    </row>
    <row r="172">
      <c r="D172" s="49"/>
      <c r="K172" s="39"/>
      <c r="L172" s="39"/>
      <c r="M172" s="39"/>
      <c r="N172" s="39"/>
      <c r="O172" s="39"/>
      <c r="P172" s="39"/>
      <c r="Q172" s="39"/>
    </row>
    <row r="173">
      <c r="D173" s="49"/>
      <c r="K173" s="39"/>
      <c r="L173" s="39"/>
      <c r="M173" s="39"/>
      <c r="N173" s="39"/>
      <c r="O173" s="39"/>
      <c r="P173" s="39"/>
      <c r="Q173" s="39"/>
    </row>
    <row r="174">
      <c r="D174" s="49"/>
      <c r="K174" s="39"/>
      <c r="L174" s="39"/>
      <c r="M174" s="39"/>
      <c r="N174" s="39"/>
      <c r="O174" s="39"/>
      <c r="P174" s="39"/>
      <c r="Q174" s="39"/>
    </row>
    <row r="175">
      <c r="D175" s="49"/>
      <c r="K175" s="39"/>
      <c r="L175" s="39"/>
      <c r="M175" s="39"/>
      <c r="N175" s="39"/>
      <c r="O175" s="39"/>
      <c r="P175" s="39"/>
      <c r="Q175" s="39"/>
    </row>
    <row r="176">
      <c r="D176" s="49"/>
      <c r="K176" s="39"/>
      <c r="L176" s="39"/>
      <c r="M176" s="39"/>
      <c r="N176" s="39"/>
      <c r="O176" s="39"/>
      <c r="P176" s="39"/>
      <c r="Q176" s="39"/>
    </row>
    <row r="177">
      <c r="D177" s="49"/>
      <c r="K177" s="39"/>
      <c r="L177" s="39"/>
      <c r="M177" s="39"/>
      <c r="N177" s="39"/>
      <c r="O177" s="39"/>
      <c r="P177" s="39"/>
      <c r="Q177" s="39"/>
    </row>
    <row r="178">
      <c r="D178" s="49"/>
      <c r="K178" s="39"/>
      <c r="L178" s="39"/>
      <c r="M178" s="39"/>
      <c r="N178" s="39"/>
      <c r="O178" s="39"/>
      <c r="P178" s="39"/>
      <c r="Q178" s="39"/>
    </row>
    <row r="179">
      <c r="D179" s="49"/>
      <c r="K179" s="39"/>
      <c r="L179" s="39"/>
      <c r="M179" s="39"/>
      <c r="N179" s="39"/>
      <c r="O179" s="39"/>
      <c r="P179" s="39"/>
      <c r="Q179" s="39"/>
    </row>
    <row r="180">
      <c r="D180" s="49"/>
      <c r="K180" s="39"/>
      <c r="L180" s="39"/>
      <c r="M180" s="39"/>
      <c r="N180" s="39"/>
      <c r="O180" s="39"/>
      <c r="P180" s="39"/>
      <c r="Q180" s="39"/>
    </row>
    <row r="181">
      <c r="D181" s="49"/>
      <c r="K181" s="39"/>
      <c r="L181" s="39"/>
      <c r="M181" s="39"/>
      <c r="N181" s="39"/>
      <c r="O181" s="39"/>
      <c r="P181" s="39"/>
      <c r="Q181" s="39"/>
    </row>
    <row r="182">
      <c r="D182" s="49"/>
      <c r="K182" s="39"/>
      <c r="L182" s="39"/>
      <c r="M182" s="39"/>
      <c r="N182" s="39"/>
      <c r="O182" s="39"/>
      <c r="P182" s="39"/>
      <c r="Q182" s="39"/>
    </row>
    <row r="183">
      <c r="D183" s="49"/>
      <c r="K183" s="39"/>
      <c r="L183" s="39"/>
      <c r="M183" s="39"/>
      <c r="N183" s="39"/>
      <c r="O183" s="39"/>
      <c r="P183" s="39"/>
      <c r="Q183" s="39"/>
    </row>
    <row r="184">
      <c r="D184" s="49"/>
      <c r="K184" s="39"/>
      <c r="L184" s="39"/>
      <c r="M184" s="39"/>
      <c r="N184" s="39"/>
      <c r="O184" s="39"/>
      <c r="P184" s="39"/>
      <c r="Q184" s="39"/>
    </row>
    <row r="185">
      <c r="D185" s="49"/>
      <c r="K185" s="39"/>
      <c r="L185" s="39"/>
      <c r="M185" s="39"/>
      <c r="N185" s="39"/>
      <c r="O185" s="39"/>
      <c r="P185" s="39"/>
      <c r="Q185" s="39"/>
    </row>
    <row r="186">
      <c r="D186" s="49"/>
      <c r="K186" s="39"/>
      <c r="L186" s="39"/>
      <c r="M186" s="39"/>
      <c r="N186" s="39"/>
      <c r="O186" s="39"/>
      <c r="P186" s="39"/>
      <c r="Q186" s="39"/>
    </row>
    <row r="187">
      <c r="D187" s="49"/>
      <c r="K187" s="39"/>
      <c r="L187" s="39"/>
      <c r="M187" s="39"/>
      <c r="N187" s="39"/>
      <c r="O187" s="39"/>
      <c r="P187" s="39"/>
      <c r="Q187" s="39"/>
    </row>
    <row r="188">
      <c r="D188" s="49"/>
      <c r="K188" s="39"/>
      <c r="L188" s="39"/>
      <c r="M188" s="39"/>
      <c r="N188" s="39"/>
      <c r="O188" s="39"/>
      <c r="P188" s="39"/>
      <c r="Q188" s="39"/>
    </row>
    <row r="189">
      <c r="D189" s="49"/>
      <c r="K189" s="39"/>
      <c r="L189" s="39"/>
      <c r="M189" s="39"/>
      <c r="N189" s="39"/>
      <c r="O189" s="39"/>
      <c r="P189" s="39"/>
      <c r="Q189" s="39"/>
    </row>
    <row r="190">
      <c r="D190" s="49"/>
      <c r="K190" s="39"/>
      <c r="L190" s="39"/>
      <c r="M190" s="39"/>
      <c r="N190" s="39"/>
      <c r="O190" s="39"/>
      <c r="P190" s="39"/>
      <c r="Q190" s="39"/>
    </row>
    <row r="191">
      <c r="D191" s="49"/>
      <c r="K191" s="39"/>
      <c r="L191" s="39"/>
      <c r="M191" s="39"/>
      <c r="N191" s="39"/>
      <c r="O191" s="39"/>
      <c r="P191" s="39"/>
      <c r="Q191" s="39"/>
    </row>
    <row r="192">
      <c r="D192" s="49"/>
      <c r="K192" s="39"/>
      <c r="L192" s="39"/>
      <c r="M192" s="39"/>
      <c r="N192" s="39"/>
      <c r="O192" s="39"/>
      <c r="P192" s="39"/>
      <c r="Q192" s="39"/>
    </row>
    <row r="193">
      <c r="D193" s="49"/>
      <c r="K193" s="39"/>
      <c r="L193" s="39"/>
      <c r="M193" s="39"/>
      <c r="N193" s="39"/>
      <c r="O193" s="39"/>
      <c r="P193" s="39"/>
      <c r="Q193" s="39"/>
    </row>
    <row r="194">
      <c r="D194" s="49"/>
      <c r="K194" s="39"/>
      <c r="L194" s="39"/>
      <c r="M194" s="39"/>
      <c r="N194" s="39"/>
      <c r="O194" s="39"/>
      <c r="P194" s="39"/>
      <c r="Q194" s="39"/>
    </row>
    <row r="195">
      <c r="D195" s="49"/>
      <c r="K195" s="39"/>
      <c r="L195" s="39"/>
      <c r="M195" s="39"/>
      <c r="N195" s="39"/>
      <c r="O195" s="39"/>
      <c r="P195" s="39"/>
      <c r="Q195" s="39"/>
    </row>
    <row r="196">
      <c r="D196" s="49"/>
      <c r="K196" s="39"/>
      <c r="L196" s="39"/>
      <c r="M196" s="39"/>
      <c r="N196" s="39"/>
      <c r="O196" s="39"/>
      <c r="P196" s="39"/>
      <c r="Q196" s="39"/>
    </row>
    <row r="197">
      <c r="D197" s="49"/>
      <c r="K197" s="39"/>
      <c r="L197" s="39"/>
      <c r="M197" s="39"/>
      <c r="N197" s="39"/>
      <c r="O197" s="39"/>
      <c r="P197" s="39"/>
      <c r="Q197" s="39"/>
    </row>
    <row r="198">
      <c r="D198" s="49"/>
      <c r="K198" s="39"/>
      <c r="L198" s="39"/>
      <c r="M198" s="39"/>
      <c r="N198" s="39"/>
      <c r="O198" s="39"/>
      <c r="P198" s="39"/>
      <c r="Q198" s="39"/>
    </row>
    <row r="199">
      <c r="D199" s="49"/>
      <c r="K199" s="39"/>
      <c r="L199" s="39"/>
      <c r="M199" s="39"/>
      <c r="N199" s="39"/>
      <c r="O199" s="39"/>
      <c r="P199" s="39"/>
      <c r="Q199" s="39"/>
    </row>
    <row r="200">
      <c r="D200" s="49"/>
      <c r="K200" s="39"/>
      <c r="L200" s="39"/>
      <c r="M200" s="39"/>
      <c r="N200" s="39"/>
      <c r="O200" s="39"/>
      <c r="P200" s="39"/>
      <c r="Q200" s="39"/>
    </row>
    <row r="201">
      <c r="D201" s="49"/>
      <c r="K201" s="39"/>
      <c r="L201" s="39"/>
      <c r="M201" s="39"/>
      <c r="N201" s="39"/>
      <c r="O201" s="39"/>
      <c r="P201" s="39"/>
      <c r="Q201" s="39"/>
    </row>
    <row r="202">
      <c r="D202" s="49"/>
      <c r="K202" s="39"/>
      <c r="L202" s="39"/>
      <c r="M202" s="39"/>
      <c r="N202" s="39"/>
      <c r="O202" s="39"/>
      <c r="P202" s="39"/>
      <c r="Q202" s="39"/>
    </row>
    <row r="203">
      <c r="D203" s="49"/>
      <c r="K203" s="39"/>
      <c r="L203" s="39"/>
      <c r="M203" s="39"/>
      <c r="N203" s="39"/>
      <c r="O203" s="39"/>
      <c r="P203" s="39"/>
      <c r="Q203" s="39"/>
    </row>
    <row r="204">
      <c r="D204" s="49"/>
      <c r="K204" s="39"/>
      <c r="L204" s="39"/>
      <c r="M204" s="39"/>
      <c r="N204" s="39"/>
      <c r="O204" s="39"/>
      <c r="P204" s="39"/>
      <c r="Q204" s="39"/>
    </row>
    <row r="205">
      <c r="D205" s="49"/>
      <c r="K205" s="39"/>
      <c r="L205" s="39"/>
      <c r="M205" s="39"/>
      <c r="N205" s="39"/>
      <c r="O205" s="39"/>
      <c r="P205" s="39"/>
      <c r="Q205" s="39"/>
    </row>
    <row r="206">
      <c r="D206" s="49"/>
      <c r="K206" s="39"/>
      <c r="L206" s="39"/>
      <c r="M206" s="39"/>
      <c r="N206" s="39"/>
      <c r="O206" s="39"/>
      <c r="P206" s="39"/>
      <c r="Q206" s="39"/>
    </row>
    <row r="207">
      <c r="D207" s="49"/>
      <c r="K207" s="39"/>
      <c r="L207" s="39"/>
      <c r="M207" s="39"/>
      <c r="N207" s="39"/>
      <c r="O207" s="39"/>
      <c r="P207" s="39"/>
      <c r="Q207" s="39"/>
    </row>
    <row r="208">
      <c r="D208" s="49"/>
      <c r="K208" s="39"/>
      <c r="L208" s="39"/>
      <c r="M208" s="39"/>
      <c r="N208" s="39"/>
      <c r="O208" s="39"/>
      <c r="P208" s="39"/>
      <c r="Q208" s="39"/>
    </row>
    <row r="209">
      <c r="D209" s="49"/>
      <c r="K209" s="39"/>
      <c r="L209" s="39"/>
      <c r="M209" s="39"/>
      <c r="N209" s="39"/>
      <c r="O209" s="39"/>
      <c r="P209" s="39"/>
      <c r="Q209" s="39"/>
    </row>
    <row r="210">
      <c r="D210" s="49"/>
      <c r="K210" s="39"/>
      <c r="L210" s="39"/>
      <c r="M210" s="39"/>
      <c r="N210" s="39"/>
      <c r="O210" s="39"/>
      <c r="P210" s="39"/>
      <c r="Q210" s="39"/>
    </row>
    <row r="211">
      <c r="D211" s="49"/>
      <c r="K211" s="39"/>
      <c r="L211" s="39"/>
      <c r="M211" s="39"/>
      <c r="N211" s="39"/>
      <c r="O211" s="39"/>
      <c r="P211" s="39"/>
      <c r="Q211" s="39"/>
    </row>
    <row r="212">
      <c r="D212" s="49"/>
      <c r="K212" s="39"/>
      <c r="L212" s="39"/>
      <c r="M212" s="39"/>
      <c r="N212" s="39"/>
      <c r="O212" s="39"/>
      <c r="P212" s="39"/>
      <c r="Q212" s="39"/>
    </row>
    <row r="213">
      <c r="D213" s="49"/>
      <c r="K213" s="39"/>
      <c r="L213" s="39"/>
      <c r="M213" s="39"/>
      <c r="N213" s="39"/>
      <c r="O213" s="39"/>
      <c r="P213" s="39"/>
      <c r="Q213" s="39"/>
    </row>
    <row r="214">
      <c r="D214" s="49"/>
      <c r="K214" s="39"/>
      <c r="L214" s="39"/>
      <c r="M214" s="39"/>
      <c r="N214" s="39"/>
      <c r="O214" s="39"/>
      <c r="P214" s="39"/>
      <c r="Q214" s="39"/>
    </row>
    <row r="215">
      <c r="D215" s="49"/>
      <c r="K215" s="39"/>
      <c r="L215" s="39"/>
      <c r="M215" s="39"/>
      <c r="N215" s="39"/>
      <c r="O215" s="39"/>
      <c r="P215" s="39"/>
      <c r="Q215" s="39"/>
    </row>
    <row r="216">
      <c r="D216" s="49"/>
      <c r="K216" s="39"/>
      <c r="L216" s="39"/>
      <c r="M216" s="39"/>
      <c r="N216" s="39"/>
      <c r="O216" s="39"/>
      <c r="P216" s="39"/>
      <c r="Q216" s="39"/>
    </row>
    <row r="217">
      <c r="D217" s="49"/>
      <c r="K217" s="39"/>
      <c r="L217" s="39"/>
      <c r="M217" s="39"/>
      <c r="N217" s="39"/>
      <c r="O217" s="39"/>
      <c r="P217" s="39"/>
      <c r="Q217" s="39"/>
    </row>
    <row r="218">
      <c r="D218" s="49"/>
      <c r="K218" s="39"/>
      <c r="L218" s="39"/>
      <c r="M218" s="39"/>
      <c r="N218" s="39"/>
      <c r="O218" s="39"/>
      <c r="P218" s="39"/>
      <c r="Q218" s="39"/>
    </row>
    <row r="219">
      <c r="D219" s="49"/>
      <c r="K219" s="39"/>
      <c r="L219" s="39"/>
      <c r="M219" s="39"/>
      <c r="N219" s="39"/>
      <c r="O219" s="39"/>
      <c r="P219" s="39"/>
      <c r="Q219" s="39"/>
    </row>
    <row r="220">
      <c r="D220" s="49"/>
      <c r="K220" s="39"/>
      <c r="L220" s="39"/>
      <c r="M220" s="39"/>
      <c r="N220" s="39"/>
      <c r="O220" s="39"/>
      <c r="P220" s="39"/>
      <c r="Q220" s="39"/>
    </row>
    <row r="221">
      <c r="D221" s="49"/>
      <c r="K221" s="39"/>
      <c r="L221" s="39"/>
      <c r="M221" s="39"/>
      <c r="N221" s="39"/>
      <c r="O221" s="39"/>
      <c r="P221" s="39"/>
      <c r="Q221" s="39"/>
    </row>
    <row r="222">
      <c r="D222" s="49"/>
      <c r="K222" s="39"/>
      <c r="L222" s="39"/>
      <c r="M222" s="39"/>
      <c r="N222" s="39"/>
      <c r="O222" s="39"/>
      <c r="P222" s="39"/>
      <c r="Q222" s="39"/>
    </row>
    <row r="223">
      <c r="D223" s="49"/>
      <c r="K223" s="39"/>
      <c r="L223" s="39"/>
      <c r="M223" s="39"/>
      <c r="N223" s="39"/>
      <c r="O223" s="39"/>
      <c r="P223" s="39"/>
      <c r="Q223" s="39"/>
    </row>
    <row r="224">
      <c r="D224" s="49"/>
      <c r="K224" s="39"/>
      <c r="L224" s="39"/>
      <c r="M224" s="39"/>
      <c r="N224" s="39"/>
      <c r="O224" s="39"/>
      <c r="P224" s="39"/>
      <c r="Q224" s="39"/>
    </row>
    <row r="225">
      <c r="D225" s="49"/>
      <c r="K225" s="39"/>
      <c r="L225" s="39"/>
      <c r="M225" s="39"/>
      <c r="N225" s="39"/>
      <c r="O225" s="39"/>
      <c r="P225" s="39"/>
      <c r="Q225" s="39"/>
    </row>
    <row r="226">
      <c r="D226" s="49"/>
      <c r="K226" s="39"/>
      <c r="L226" s="39"/>
      <c r="M226" s="39"/>
      <c r="N226" s="39"/>
      <c r="O226" s="39"/>
      <c r="P226" s="39"/>
      <c r="Q226" s="39"/>
    </row>
    <row r="227">
      <c r="D227" s="49"/>
      <c r="K227" s="39"/>
      <c r="L227" s="39"/>
      <c r="M227" s="39"/>
      <c r="N227" s="39"/>
      <c r="O227" s="39"/>
      <c r="P227" s="39"/>
      <c r="Q227" s="39"/>
    </row>
    <row r="228">
      <c r="D228" s="49"/>
      <c r="K228" s="39"/>
      <c r="L228" s="39"/>
      <c r="M228" s="39"/>
      <c r="N228" s="39"/>
      <c r="O228" s="39"/>
      <c r="P228" s="39"/>
      <c r="Q228" s="39"/>
    </row>
    <row r="229">
      <c r="D229" s="49"/>
      <c r="K229" s="39"/>
      <c r="L229" s="39"/>
      <c r="M229" s="39"/>
      <c r="N229" s="39"/>
      <c r="O229" s="39"/>
      <c r="P229" s="39"/>
      <c r="Q229" s="39"/>
    </row>
    <row r="230">
      <c r="D230" s="49"/>
      <c r="K230" s="39"/>
      <c r="L230" s="39"/>
      <c r="M230" s="39"/>
      <c r="N230" s="39"/>
      <c r="O230" s="39"/>
      <c r="P230" s="39"/>
      <c r="Q230" s="39"/>
    </row>
    <row r="231">
      <c r="D231" s="49"/>
      <c r="K231" s="39"/>
      <c r="L231" s="39"/>
      <c r="M231" s="39"/>
      <c r="N231" s="39"/>
      <c r="O231" s="39"/>
      <c r="P231" s="39"/>
      <c r="Q231" s="39"/>
    </row>
    <row r="232">
      <c r="D232" s="49"/>
      <c r="K232" s="39"/>
      <c r="L232" s="39"/>
      <c r="M232" s="39"/>
      <c r="N232" s="39"/>
      <c r="O232" s="39"/>
      <c r="P232" s="39"/>
      <c r="Q232" s="39"/>
    </row>
    <row r="233">
      <c r="D233" s="49"/>
      <c r="K233" s="39"/>
      <c r="L233" s="39"/>
      <c r="M233" s="39"/>
      <c r="N233" s="39"/>
      <c r="O233" s="39"/>
      <c r="P233" s="39"/>
      <c r="Q233" s="39"/>
    </row>
    <row r="234">
      <c r="D234" s="49"/>
      <c r="K234" s="39"/>
      <c r="L234" s="39"/>
      <c r="M234" s="39"/>
      <c r="N234" s="39"/>
      <c r="O234" s="39"/>
      <c r="P234" s="39"/>
      <c r="Q234" s="39"/>
    </row>
    <row r="235">
      <c r="D235" s="49"/>
      <c r="K235" s="39"/>
      <c r="L235" s="39"/>
      <c r="M235" s="39"/>
      <c r="N235" s="39"/>
      <c r="O235" s="39"/>
      <c r="P235" s="39"/>
      <c r="Q235" s="39"/>
    </row>
    <row r="236">
      <c r="D236" s="49"/>
      <c r="K236" s="39"/>
      <c r="L236" s="39"/>
      <c r="M236" s="39"/>
      <c r="N236" s="39"/>
      <c r="O236" s="39"/>
      <c r="P236" s="39"/>
      <c r="Q236" s="39"/>
    </row>
    <row r="237">
      <c r="D237" s="49"/>
      <c r="K237" s="39"/>
      <c r="L237" s="39"/>
      <c r="M237" s="39"/>
      <c r="N237" s="39"/>
      <c r="O237" s="39"/>
      <c r="P237" s="39"/>
      <c r="Q237" s="39"/>
    </row>
    <row r="238">
      <c r="D238" s="49"/>
      <c r="K238" s="39"/>
      <c r="L238" s="39"/>
      <c r="M238" s="39"/>
      <c r="N238" s="39"/>
      <c r="O238" s="39"/>
      <c r="P238" s="39"/>
      <c r="Q238" s="39"/>
    </row>
    <row r="239">
      <c r="D239" s="49"/>
      <c r="K239" s="39"/>
      <c r="L239" s="39"/>
      <c r="M239" s="39"/>
      <c r="N239" s="39"/>
      <c r="O239" s="39"/>
      <c r="P239" s="39"/>
      <c r="Q239" s="39"/>
    </row>
    <row r="240">
      <c r="D240" s="49"/>
      <c r="K240" s="39"/>
      <c r="L240" s="39"/>
      <c r="M240" s="39"/>
      <c r="N240" s="39"/>
      <c r="O240" s="39"/>
      <c r="P240" s="39"/>
      <c r="Q240" s="39"/>
    </row>
    <row r="241">
      <c r="D241" s="49"/>
      <c r="K241" s="39"/>
      <c r="L241" s="39"/>
      <c r="M241" s="39"/>
      <c r="N241" s="39"/>
      <c r="O241" s="39"/>
      <c r="P241" s="39"/>
      <c r="Q241" s="39"/>
    </row>
    <row r="242">
      <c r="D242" s="49"/>
      <c r="K242" s="39"/>
      <c r="L242" s="39"/>
      <c r="M242" s="39"/>
      <c r="N242" s="39"/>
      <c r="O242" s="39"/>
      <c r="P242" s="39"/>
      <c r="Q242" s="39"/>
    </row>
    <row r="243">
      <c r="D243" s="49"/>
      <c r="K243" s="39"/>
      <c r="L243" s="39"/>
      <c r="M243" s="39"/>
      <c r="N243" s="39"/>
      <c r="O243" s="39"/>
      <c r="P243" s="39"/>
      <c r="Q243" s="39"/>
    </row>
    <row r="244">
      <c r="D244" s="49"/>
      <c r="K244" s="39"/>
      <c r="L244" s="39"/>
      <c r="M244" s="39"/>
      <c r="N244" s="39"/>
      <c r="O244" s="39"/>
      <c r="P244" s="39"/>
      <c r="Q244" s="39"/>
    </row>
    <row r="245">
      <c r="D245" s="49"/>
      <c r="K245" s="39"/>
      <c r="L245" s="39"/>
      <c r="M245" s="39"/>
      <c r="N245" s="39"/>
      <c r="O245" s="39"/>
      <c r="P245" s="39"/>
      <c r="Q245" s="39"/>
    </row>
    <row r="246">
      <c r="D246" s="49"/>
      <c r="K246" s="39"/>
      <c r="L246" s="39"/>
      <c r="M246" s="39"/>
      <c r="N246" s="39"/>
      <c r="O246" s="39"/>
      <c r="P246" s="39"/>
      <c r="Q246" s="39"/>
    </row>
    <row r="247">
      <c r="D247" s="49"/>
      <c r="K247" s="39"/>
      <c r="L247" s="39"/>
      <c r="M247" s="39"/>
      <c r="N247" s="39"/>
      <c r="O247" s="39"/>
      <c r="P247" s="39"/>
      <c r="Q247" s="39"/>
    </row>
    <row r="248">
      <c r="D248" s="49"/>
      <c r="K248" s="39"/>
      <c r="L248" s="39"/>
      <c r="M248" s="39"/>
      <c r="N248" s="39"/>
      <c r="O248" s="39"/>
      <c r="P248" s="39"/>
      <c r="Q248" s="39"/>
    </row>
    <row r="249">
      <c r="D249" s="49"/>
      <c r="K249" s="39"/>
      <c r="L249" s="39"/>
      <c r="M249" s="39"/>
      <c r="N249" s="39"/>
      <c r="O249" s="39"/>
      <c r="P249" s="39"/>
      <c r="Q249" s="39"/>
    </row>
    <row r="250">
      <c r="D250" s="49"/>
      <c r="K250" s="39"/>
      <c r="L250" s="39"/>
      <c r="M250" s="39"/>
      <c r="N250" s="39"/>
      <c r="O250" s="39"/>
      <c r="P250" s="39"/>
      <c r="Q250" s="39"/>
    </row>
    <row r="251">
      <c r="D251" s="49"/>
      <c r="K251" s="39"/>
      <c r="L251" s="39"/>
      <c r="M251" s="39"/>
      <c r="N251" s="39"/>
      <c r="O251" s="39"/>
      <c r="P251" s="39"/>
      <c r="Q251" s="39"/>
    </row>
    <row r="252">
      <c r="D252" s="49"/>
      <c r="K252" s="39"/>
      <c r="L252" s="39"/>
      <c r="M252" s="39"/>
      <c r="N252" s="39"/>
      <c r="O252" s="39"/>
      <c r="P252" s="39"/>
      <c r="Q252" s="39"/>
    </row>
    <row r="253">
      <c r="D253" s="49"/>
      <c r="K253" s="39"/>
      <c r="L253" s="39"/>
      <c r="M253" s="39"/>
      <c r="N253" s="39"/>
      <c r="O253" s="39"/>
      <c r="P253" s="39"/>
      <c r="Q253" s="39"/>
    </row>
    <row r="254">
      <c r="D254" s="49"/>
      <c r="K254" s="39"/>
      <c r="L254" s="39"/>
      <c r="M254" s="39"/>
      <c r="N254" s="39"/>
      <c r="O254" s="39"/>
      <c r="P254" s="39"/>
      <c r="Q254" s="39"/>
    </row>
    <row r="255">
      <c r="D255" s="49"/>
      <c r="K255" s="39"/>
      <c r="L255" s="39"/>
      <c r="M255" s="39"/>
      <c r="N255" s="39"/>
      <c r="O255" s="39"/>
      <c r="P255" s="39"/>
      <c r="Q255" s="39"/>
    </row>
    <row r="256">
      <c r="D256" s="49"/>
      <c r="K256" s="39"/>
      <c r="L256" s="39"/>
      <c r="M256" s="39"/>
      <c r="N256" s="39"/>
      <c r="O256" s="39"/>
      <c r="P256" s="39"/>
      <c r="Q256" s="39"/>
    </row>
    <row r="257">
      <c r="D257" s="49"/>
      <c r="K257" s="39"/>
      <c r="L257" s="39"/>
      <c r="M257" s="39"/>
      <c r="N257" s="39"/>
      <c r="O257" s="39"/>
      <c r="P257" s="39"/>
      <c r="Q257" s="39"/>
    </row>
    <row r="258">
      <c r="D258" s="49"/>
      <c r="K258" s="39"/>
      <c r="L258" s="39"/>
      <c r="M258" s="39"/>
      <c r="N258" s="39"/>
      <c r="O258" s="39"/>
      <c r="P258" s="39"/>
      <c r="Q258" s="39"/>
    </row>
    <row r="259">
      <c r="D259" s="49"/>
      <c r="K259" s="39"/>
      <c r="L259" s="39"/>
      <c r="M259" s="39"/>
      <c r="N259" s="39"/>
      <c r="O259" s="39"/>
      <c r="P259" s="39"/>
      <c r="Q259" s="39"/>
    </row>
    <row r="260">
      <c r="D260" s="49"/>
      <c r="K260" s="39"/>
      <c r="L260" s="39"/>
      <c r="M260" s="39"/>
      <c r="N260" s="39"/>
      <c r="O260" s="39"/>
      <c r="P260" s="39"/>
      <c r="Q260" s="39"/>
    </row>
    <row r="261">
      <c r="D261" s="49"/>
      <c r="K261" s="39"/>
      <c r="L261" s="39"/>
      <c r="M261" s="39"/>
      <c r="N261" s="39"/>
      <c r="O261" s="39"/>
      <c r="P261" s="39"/>
      <c r="Q261" s="39"/>
    </row>
    <row r="262">
      <c r="D262" s="49"/>
      <c r="K262" s="39"/>
      <c r="L262" s="39"/>
      <c r="M262" s="39"/>
      <c r="N262" s="39"/>
      <c r="O262" s="39"/>
      <c r="P262" s="39"/>
      <c r="Q262" s="39"/>
    </row>
    <row r="263">
      <c r="D263" s="49"/>
      <c r="K263" s="39"/>
      <c r="L263" s="39"/>
      <c r="M263" s="39"/>
      <c r="N263" s="39"/>
      <c r="O263" s="39"/>
      <c r="P263" s="39"/>
      <c r="Q263" s="39"/>
    </row>
    <row r="264">
      <c r="D264" s="49"/>
      <c r="K264" s="39"/>
      <c r="L264" s="39"/>
      <c r="M264" s="39"/>
      <c r="N264" s="39"/>
      <c r="O264" s="39"/>
      <c r="P264" s="39"/>
      <c r="Q264" s="39"/>
    </row>
    <row r="265">
      <c r="D265" s="49"/>
      <c r="K265" s="39"/>
      <c r="L265" s="39"/>
      <c r="M265" s="39"/>
      <c r="N265" s="39"/>
      <c r="O265" s="39"/>
      <c r="P265" s="39"/>
      <c r="Q265" s="39"/>
    </row>
    <row r="266">
      <c r="D266" s="49"/>
      <c r="K266" s="39"/>
      <c r="L266" s="39"/>
      <c r="M266" s="39"/>
      <c r="N266" s="39"/>
      <c r="O266" s="39"/>
      <c r="P266" s="39"/>
      <c r="Q266" s="39"/>
    </row>
    <row r="267">
      <c r="D267" s="49"/>
      <c r="K267" s="39"/>
      <c r="L267" s="39"/>
      <c r="M267" s="39"/>
      <c r="N267" s="39"/>
      <c r="O267" s="39"/>
      <c r="P267" s="39"/>
      <c r="Q267" s="39"/>
    </row>
    <row r="268">
      <c r="D268" s="49"/>
      <c r="K268" s="39"/>
      <c r="L268" s="39"/>
      <c r="M268" s="39"/>
      <c r="N268" s="39"/>
      <c r="O268" s="39"/>
      <c r="P268" s="39"/>
      <c r="Q268" s="39"/>
    </row>
    <row r="269">
      <c r="D269" s="49"/>
      <c r="K269" s="39"/>
      <c r="L269" s="39"/>
      <c r="M269" s="39"/>
      <c r="N269" s="39"/>
      <c r="O269" s="39"/>
      <c r="P269" s="39"/>
      <c r="Q269" s="39"/>
    </row>
    <row r="270">
      <c r="D270" s="49"/>
      <c r="K270" s="39"/>
      <c r="L270" s="39"/>
      <c r="M270" s="39"/>
      <c r="N270" s="39"/>
      <c r="O270" s="39"/>
      <c r="P270" s="39"/>
      <c r="Q270" s="39"/>
    </row>
    <row r="271">
      <c r="D271" s="49"/>
      <c r="K271" s="39"/>
      <c r="L271" s="39"/>
      <c r="M271" s="39"/>
      <c r="N271" s="39"/>
      <c r="O271" s="39"/>
      <c r="P271" s="39"/>
      <c r="Q271" s="39"/>
    </row>
    <row r="272">
      <c r="D272" s="49"/>
      <c r="K272" s="39"/>
      <c r="L272" s="39"/>
      <c r="M272" s="39"/>
      <c r="N272" s="39"/>
      <c r="O272" s="39"/>
      <c r="P272" s="39"/>
      <c r="Q272" s="39"/>
    </row>
    <row r="273">
      <c r="D273" s="49"/>
      <c r="K273" s="39"/>
      <c r="L273" s="39"/>
      <c r="M273" s="39"/>
      <c r="N273" s="39"/>
      <c r="O273" s="39"/>
      <c r="P273" s="39"/>
      <c r="Q273" s="39"/>
    </row>
    <row r="274">
      <c r="D274" s="49"/>
      <c r="K274" s="39"/>
      <c r="L274" s="39"/>
      <c r="M274" s="39"/>
      <c r="N274" s="39"/>
      <c r="O274" s="39"/>
      <c r="P274" s="39"/>
      <c r="Q274" s="39"/>
    </row>
    <row r="275">
      <c r="D275" s="49"/>
      <c r="K275" s="39"/>
      <c r="L275" s="39"/>
      <c r="M275" s="39"/>
      <c r="N275" s="39"/>
      <c r="O275" s="39"/>
      <c r="P275" s="39"/>
      <c r="Q275" s="39"/>
    </row>
    <row r="276">
      <c r="D276" s="49"/>
      <c r="K276" s="39"/>
      <c r="L276" s="39"/>
      <c r="M276" s="39"/>
      <c r="N276" s="39"/>
      <c r="O276" s="39"/>
      <c r="P276" s="39"/>
      <c r="Q276" s="39"/>
    </row>
    <row r="277">
      <c r="D277" s="49"/>
      <c r="K277" s="39"/>
      <c r="L277" s="39"/>
      <c r="M277" s="39"/>
      <c r="N277" s="39"/>
      <c r="O277" s="39"/>
      <c r="P277" s="39"/>
      <c r="Q277" s="39"/>
    </row>
    <row r="278">
      <c r="D278" s="49"/>
      <c r="K278" s="39"/>
      <c r="L278" s="39"/>
      <c r="M278" s="39"/>
      <c r="N278" s="39"/>
      <c r="O278" s="39"/>
      <c r="P278" s="39"/>
      <c r="Q278" s="39"/>
    </row>
    <row r="279">
      <c r="D279" s="49"/>
      <c r="K279" s="39"/>
      <c r="L279" s="39"/>
      <c r="M279" s="39"/>
      <c r="N279" s="39"/>
      <c r="O279" s="39"/>
      <c r="P279" s="39"/>
      <c r="Q279" s="39"/>
    </row>
    <row r="280">
      <c r="D280" s="49"/>
      <c r="K280" s="39"/>
      <c r="L280" s="39"/>
      <c r="M280" s="39"/>
      <c r="N280" s="39"/>
      <c r="O280" s="39"/>
      <c r="P280" s="39"/>
      <c r="Q280" s="39"/>
    </row>
    <row r="281">
      <c r="D281" s="49"/>
      <c r="K281" s="39"/>
      <c r="L281" s="39"/>
      <c r="M281" s="39"/>
      <c r="N281" s="39"/>
      <c r="O281" s="39"/>
      <c r="P281" s="39"/>
      <c r="Q281" s="39"/>
    </row>
    <row r="282">
      <c r="D282" s="49"/>
      <c r="K282" s="39"/>
      <c r="L282" s="39"/>
      <c r="M282" s="39"/>
      <c r="N282" s="39"/>
      <c r="O282" s="39"/>
      <c r="P282" s="39"/>
      <c r="Q282" s="39"/>
    </row>
    <row r="283">
      <c r="D283" s="49"/>
      <c r="K283" s="39"/>
      <c r="L283" s="39"/>
      <c r="M283" s="39"/>
      <c r="N283" s="39"/>
      <c r="O283" s="39"/>
      <c r="P283" s="39"/>
      <c r="Q283" s="39"/>
    </row>
    <row r="284">
      <c r="D284" s="49"/>
      <c r="K284" s="39"/>
      <c r="L284" s="39"/>
      <c r="M284" s="39"/>
      <c r="N284" s="39"/>
      <c r="O284" s="39"/>
      <c r="P284" s="39"/>
      <c r="Q284" s="39"/>
    </row>
    <row r="285">
      <c r="D285" s="49"/>
      <c r="K285" s="39"/>
      <c r="L285" s="39"/>
      <c r="M285" s="39"/>
      <c r="N285" s="39"/>
      <c r="O285" s="39"/>
      <c r="P285" s="39"/>
      <c r="Q285" s="39"/>
    </row>
    <row r="286">
      <c r="D286" s="49"/>
      <c r="K286" s="39"/>
      <c r="L286" s="39"/>
      <c r="M286" s="39"/>
      <c r="N286" s="39"/>
      <c r="O286" s="39"/>
      <c r="P286" s="39"/>
      <c r="Q286" s="39"/>
    </row>
    <row r="287">
      <c r="D287" s="49"/>
      <c r="K287" s="39"/>
      <c r="L287" s="39"/>
      <c r="M287" s="39"/>
      <c r="N287" s="39"/>
      <c r="O287" s="39"/>
      <c r="P287" s="39"/>
      <c r="Q287" s="39"/>
    </row>
    <row r="288">
      <c r="D288" s="49"/>
      <c r="K288" s="39"/>
      <c r="L288" s="39"/>
      <c r="M288" s="39"/>
      <c r="N288" s="39"/>
      <c r="O288" s="39"/>
      <c r="P288" s="39"/>
      <c r="Q288" s="39"/>
    </row>
    <row r="289">
      <c r="D289" s="49"/>
      <c r="K289" s="39"/>
      <c r="L289" s="39"/>
      <c r="M289" s="39"/>
      <c r="N289" s="39"/>
      <c r="O289" s="39"/>
      <c r="P289" s="39"/>
      <c r="Q289" s="39"/>
    </row>
    <row r="290">
      <c r="D290" s="49"/>
      <c r="K290" s="39"/>
      <c r="L290" s="39"/>
      <c r="M290" s="39"/>
      <c r="N290" s="39"/>
      <c r="O290" s="39"/>
      <c r="P290" s="39"/>
      <c r="Q290" s="39"/>
    </row>
    <row r="291">
      <c r="D291" s="49"/>
      <c r="K291" s="39"/>
      <c r="L291" s="39"/>
      <c r="M291" s="39"/>
      <c r="N291" s="39"/>
      <c r="O291" s="39"/>
      <c r="P291" s="39"/>
      <c r="Q291" s="39"/>
    </row>
    <row r="292">
      <c r="D292" s="49"/>
      <c r="K292" s="39"/>
      <c r="L292" s="39"/>
      <c r="M292" s="39"/>
      <c r="N292" s="39"/>
      <c r="O292" s="39"/>
      <c r="P292" s="39"/>
      <c r="Q292" s="39"/>
    </row>
    <row r="293">
      <c r="D293" s="49"/>
      <c r="K293" s="39"/>
      <c r="L293" s="39"/>
      <c r="M293" s="39"/>
      <c r="N293" s="39"/>
      <c r="O293" s="39"/>
      <c r="P293" s="39"/>
      <c r="Q293" s="39"/>
    </row>
    <row r="294">
      <c r="D294" s="49"/>
      <c r="K294" s="39"/>
      <c r="L294" s="39"/>
      <c r="M294" s="39"/>
      <c r="N294" s="39"/>
      <c r="O294" s="39"/>
      <c r="P294" s="39"/>
      <c r="Q294" s="39"/>
    </row>
    <row r="295">
      <c r="D295" s="49"/>
      <c r="K295" s="39"/>
      <c r="L295" s="39"/>
      <c r="M295" s="39"/>
      <c r="N295" s="39"/>
      <c r="O295" s="39"/>
      <c r="P295" s="39"/>
      <c r="Q295" s="39"/>
    </row>
    <row r="296">
      <c r="D296" s="49"/>
      <c r="K296" s="39"/>
      <c r="L296" s="39"/>
      <c r="M296" s="39"/>
      <c r="N296" s="39"/>
      <c r="O296" s="39"/>
      <c r="P296" s="39"/>
      <c r="Q296" s="39"/>
    </row>
    <row r="297">
      <c r="D297" s="49"/>
      <c r="K297" s="39"/>
      <c r="L297" s="39"/>
      <c r="M297" s="39"/>
      <c r="N297" s="39"/>
      <c r="O297" s="39"/>
      <c r="P297" s="39"/>
      <c r="Q297" s="39"/>
    </row>
    <row r="298">
      <c r="D298" s="49"/>
      <c r="K298" s="39"/>
      <c r="L298" s="39"/>
      <c r="M298" s="39"/>
      <c r="N298" s="39"/>
      <c r="O298" s="39"/>
      <c r="P298" s="39"/>
      <c r="Q298" s="39"/>
    </row>
    <row r="299">
      <c r="D299" s="49"/>
      <c r="K299" s="39"/>
      <c r="L299" s="39"/>
      <c r="M299" s="39"/>
      <c r="N299" s="39"/>
      <c r="O299" s="39"/>
      <c r="P299" s="39"/>
      <c r="Q299" s="39"/>
    </row>
    <row r="300">
      <c r="D300" s="49"/>
      <c r="K300" s="39"/>
      <c r="L300" s="39"/>
      <c r="M300" s="39"/>
      <c r="N300" s="39"/>
      <c r="O300" s="39"/>
      <c r="P300" s="39"/>
      <c r="Q300" s="39"/>
    </row>
    <row r="301">
      <c r="D301" s="49"/>
      <c r="K301" s="39"/>
      <c r="L301" s="39"/>
      <c r="M301" s="39"/>
      <c r="N301" s="39"/>
      <c r="O301" s="39"/>
      <c r="P301" s="39"/>
      <c r="Q301" s="39"/>
    </row>
    <row r="302">
      <c r="D302" s="49"/>
      <c r="K302" s="39"/>
      <c r="L302" s="39"/>
      <c r="M302" s="39"/>
      <c r="N302" s="39"/>
      <c r="O302" s="39"/>
      <c r="P302" s="39"/>
      <c r="Q302" s="39"/>
    </row>
    <row r="303">
      <c r="D303" s="49"/>
      <c r="K303" s="39"/>
      <c r="L303" s="39"/>
      <c r="M303" s="39"/>
      <c r="N303" s="39"/>
      <c r="O303" s="39"/>
      <c r="P303" s="39"/>
      <c r="Q303" s="39"/>
    </row>
    <row r="304">
      <c r="D304" s="49"/>
      <c r="K304" s="39"/>
      <c r="L304" s="39"/>
      <c r="M304" s="39"/>
      <c r="N304" s="39"/>
      <c r="O304" s="39"/>
      <c r="P304" s="39"/>
      <c r="Q304" s="39"/>
    </row>
    <row r="305">
      <c r="D305" s="49"/>
      <c r="K305" s="39"/>
      <c r="L305" s="39"/>
      <c r="M305" s="39"/>
      <c r="N305" s="39"/>
      <c r="O305" s="39"/>
      <c r="P305" s="39"/>
      <c r="Q305" s="39"/>
    </row>
    <row r="306">
      <c r="D306" s="49"/>
      <c r="K306" s="39"/>
      <c r="L306" s="39"/>
      <c r="M306" s="39"/>
      <c r="N306" s="39"/>
      <c r="O306" s="39"/>
      <c r="P306" s="39"/>
      <c r="Q306" s="39"/>
    </row>
    <row r="307">
      <c r="D307" s="49"/>
      <c r="K307" s="39"/>
      <c r="L307" s="39"/>
      <c r="M307" s="39"/>
      <c r="N307" s="39"/>
      <c r="O307" s="39"/>
      <c r="P307" s="39"/>
      <c r="Q307" s="39"/>
    </row>
    <row r="308">
      <c r="D308" s="49"/>
      <c r="K308" s="39"/>
      <c r="L308" s="39"/>
      <c r="M308" s="39"/>
      <c r="N308" s="39"/>
      <c r="O308" s="39"/>
      <c r="P308" s="39"/>
      <c r="Q308" s="39"/>
    </row>
    <row r="309">
      <c r="D309" s="49"/>
      <c r="K309" s="39"/>
      <c r="L309" s="39"/>
      <c r="M309" s="39"/>
      <c r="N309" s="39"/>
      <c r="O309" s="39"/>
      <c r="P309" s="39"/>
      <c r="Q309" s="39"/>
    </row>
    <row r="310">
      <c r="D310" s="49"/>
      <c r="K310" s="39"/>
      <c r="L310" s="39"/>
      <c r="M310" s="39"/>
      <c r="N310" s="39"/>
      <c r="O310" s="39"/>
      <c r="P310" s="39"/>
      <c r="Q310" s="39"/>
    </row>
    <row r="311">
      <c r="D311" s="49"/>
      <c r="K311" s="39"/>
      <c r="L311" s="39"/>
      <c r="M311" s="39"/>
      <c r="N311" s="39"/>
      <c r="O311" s="39"/>
      <c r="P311" s="39"/>
      <c r="Q311" s="39"/>
    </row>
    <row r="312">
      <c r="D312" s="49"/>
      <c r="K312" s="39"/>
      <c r="L312" s="39"/>
      <c r="M312" s="39"/>
      <c r="N312" s="39"/>
      <c r="O312" s="39"/>
      <c r="P312" s="39"/>
      <c r="Q312" s="39"/>
    </row>
    <row r="313">
      <c r="D313" s="49"/>
      <c r="K313" s="39"/>
      <c r="L313" s="39"/>
      <c r="M313" s="39"/>
      <c r="N313" s="39"/>
      <c r="O313" s="39"/>
      <c r="P313" s="39"/>
      <c r="Q313" s="39"/>
    </row>
    <row r="314">
      <c r="D314" s="49"/>
      <c r="K314" s="39"/>
      <c r="L314" s="39"/>
      <c r="M314" s="39"/>
      <c r="N314" s="39"/>
      <c r="O314" s="39"/>
      <c r="P314" s="39"/>
      <c r="Q314" s="39"/>
    </row>
    <row r="315">
      <c r="D315" s="49"/>
      <c r="K315" s="39"/>
      <c r="L315" s="39"/>
      <c r="M315" s="39"/>
      <c r="N315" s="39"/>
      <c r="O315" s="39"/>
      <c r="P315" s="39"/>
      <c r="Q315" s="39"/>
    </row>
    <row r="316">
      <c r="D316" s="49"/>
      <c r="K316" s="39"/>
      <c r="L316" s="39"/>
      <c r="M316" s="39"/>
      <c r="N316" s="39"/>
      <c r="O316" s="39"/>
      <c r="P316" s="39"/>
      <c r="Q316" s="39"/>
    </row>
    <row r="317">
      <c r="D317" s="49"/>
      <c r="K317" s="39"/>
      <c r="L317" s="39"/>
      <c r="M317" s="39"/>
      <c r="N317" s="39"/>
      <c r="O317" s="39"/>
      <c r="P317" s="39"/>
      <c r="Q317" s="39"/>
    </row>
    <row r="318">
      <c r="D318" s="49"/>
      <c r="K318" s="39"/>
      <c r="L318" s="39"/>
      <c r="M318" s="39"/>
      <c r="N318" s="39"/>
      <c r="O318" s="39"/>
      <c r="P318" s="39"/>
      <c r="Q318" s="39"/>
    </row>
    <row r="319">
      <c r="D319" s="49"/>
      <c r="K319" s="39"/>
      <c r="L319" s="39"/>
      <c r="M319" s="39"/>
      <c r="N319" s="39"/>
      <c r="O319" s="39"/>
      <c r="P319" s="39"/>
      <c r="Q319" s="39"/>
    </row>
    <row r="320">
      <c r="D320" s="49"/>
      <c r="K320" s="39"/>
      <c r="L320" s="39"/>
      <c r="M320" s="39"/>
      <c r="N320" s="39"/>
      <c r="O320" s="39"/>
      <c r="P320" s="39"/>
      <c r="Q320" s="39"/>
    </row>
    <row r="321">
      <c r="D321" s="49"/>
      <c r="K321" s="39"/>
      <c r="L321" s="39"/>
      <c r="M321" s="39"/>
      <c r="N321" s="39"/>
      <c r="O321" s="39"/>
      <c r="P321" s="39"/>
      <c r="Q321" s="39"/>
    </row>
    <row r="322">
      <c r="D322" s="49"/>
      <c r="K322" s="39"/>
      <c r="L322" s="39"/>
      <c r="M322" s="39"/>
      <c r="N322" s="39"/>
      <c r="O322" s="39"/>
      <c r="P322" s="39"/>
      <c r="Q322" s="39"/>
    </row>
    <row r="323">
      <c r="D323" s="49"/>
      <c r="K323" s="39"/>
      <c r="L323" s="39"/>
      <c r="M323" s="39"/>
      <c r="N323" s="39"/>
      <c r="O323" s="39"/>
      <c r="P323" s="39"/>
      <c r="Q323" s="39"/>
    </row>
    <row r="324">
      <c r="D324" s="49"/>
      <c r="K324" s="39"/>
      <c r="L324" s="39"/>
      <c r="M324" s="39"/>
      <c r="N324" s="39"/>
      <c r="O324" s="39"/>
      <c r="P324" s="39"/>
      <c r="Q324" s="39"/>
    </row>
    <row r="325">
      <c r="D325" s="49"/>
      <c r="K325" s="39"/>
      <c r="L325" s="39"/>
      <c r="M325" s="39"/>
      <c r="N325" s="39"/>
      <c r="O325" s="39"/>
      <c r="P325" s="39"/>
      <c r="Q325" s="39"/>
    </row>
    <row r="326">
      <c r="D326" s="49"/>
      <c r="K326" s="39"/>
      <c r="L326" s="39"/>
      <c r="M326" s="39"/>
      <c r="N326" s="39"/>
      <c r="O326" s="39"/>
      <c r="P326" s="39"/>
      <c r="Q326" s="39"/>
    </row>
    <row r="327">
      <c r="D327" s="49"/>
      <c r="K327" s="39"/>
      <c r="L327" s="39"/>
      <c r="M327" s="39"/>
      <c r="N327" s="39"/>
      <c r="O327" s="39"/>
      <c r="P327" s="39"/>
      <c r="Q327" s="39"/>
    </row>
    <row r="328">
      <c r="D328" s="49"/>
      <c r="K328" s="39"/>
      <c r="L328" s="39"/>
      <c r="M328" s="39"/>
      <c r="N328" s="39"/>
      <c r="O328" s="39"/>
      <c r="P328" s="39"/>
      <c r="Q328" s="39"/>
    </row>
    <row r="329">
      <c r="D329" s="49"/>
      <c r="K329" s="39"/>
      <c r="L329" s="39"/>
      <c r="M329" s="39"/>
      <c r="N329" s="39"/>
      <c r="O329" s="39"/>
      <c r="P329" s="39"/>
      <c r="Q329" s="39"/>
    </row>
    <row r="330">
      <c r="D330" s="49"/>
      <c r="K330" s="39"/>
      <c r="L330" s="39"/>
      <c r="M330" s="39"/>
      <c r="N330" s="39"/>
      <c r="O330" s="39"/>
      <c r="P330" s="39"/>
      <c r="Q330" s="39"/>
    </row>
    <row r="331">
      <c r="D331" s="49"/>
      <c r="K331" s="39"/>
      <c r="L331" s="39"/>
      <c r="M331" s="39"/>
      <c r="N331" s="39"/>
      <c r="O331" s="39"/>
      <c r="P331" s="39"/>
      <c r="Q331" s="39"/>
    </row>
    <row r="332">
      <c r="D332" s="49"/>
      <c r="K332" s="39"/>
      <c r="L332" s="39"/>
      <c r="M332" s="39"/>
      <c r="N332" s="39"/>
      <c r="O332" s="39"/>
      <c r="P332" s="39"/>
      <c r="Q332" s="39"/>
    </row>
    <row r="333">
      <c r="D333" s="49"/>
      <c r="K333" s="39"/>
      <c r="L333" s="39"/>
      <c r="M333" s="39"/>
      <c r="N333" s="39"/>
      <c r="O333" s="39"/>
      <c r="P333" s="39"/>
      <c r="Q333" s="39"/>
    </row>
    <row r="334">
      <c r="D334" s="49"/>
      <c r="K334" s="39"/>
      <c r="L334" s="39"/>
      <c r="M334" s="39"/>
      <c r="N334" s="39"/>
      <c r="O334" s="39"/>
      <c r="P334" s="39"/>
      <c r="Q334" s="39"/>
    </row>
    <row r="335">
      <c r="D335" s="49"/>
      <c r="K335" s="39"/>
      <c r="L335" s="39"/>
      <c r="M335" s="39"/>
      <c r="N335" s="39"/>
      <c r="O335" s="39"/>
      <c r="P335" s="39"/>
      <c r="Q335" s="39"/>
    </row>
    <row r="336">
      <c r="D336" s="49"/>
      <c r="K336" s="39"/>
      <c r="L336" s="39"/>
      <c r="M336" s="39"/>
      <c r="N336" s="39"/>
      <c r="O336" s="39"/>
      <c r="P336" s="39"/>
      <c r="Q336" s="39"/>
    </row>
    <row r="337">
      <c r="D337" s="49"/>
      <c r="K337" s="39"/>
      <c r="L337" s="39"/>
      <c r="M337" s="39"/>
      <c r="N337" s="39"/>
      <c r="O337" s="39"/>
      <c r="P337" s="39"/>
      <c r="Q337" s="39"/>
    </row>
    <row r="338">
      <c r="D338" s="49"/>
      <c r="K338" s="39"/>
      <c r="L338" s="39"/>
      <c r="M338" s="39"/>
      <c r="N338" s="39"/>
      <c r="O338" s="39"/>
      <c r="P338" s="39"/>
      <c r="Q338" s="39"/>
    </row>
    <row r="339">
      <c r="D339" s="49"/>
      <c r="K339" s="39"/>
      <c r="L339" s="39"/>
      <c r="M339" s="39"/>
      <c r="N339" s="39"/>
      <c r="O339" s="39"/>
      <c r="P339" s="39"/>
      <c r="Q339" s="39"/>
    </row>
    <row r="340">
      <c r="D340" s="49"/>
      <c r="K340" s="39"/>
      <c r="L340" s="39"/>
      <c r="M340" s="39"/>
      <c r="N340" s="39"/>
      <c r="O340" s="39"/>
      <c r="P340" s="39"/>
      <c r="Q340" s="39"/>
    </row>
    <row r="341">
      <c r="D341" s="49"/>
      <c r="K341" s="39"/>
      <c r="L341" s="39"/>
      <c r="M341" s="39"/>
      <c r="N341" s="39"/>
      <c r="O341" s="39"/>
      <c r="P341" s="39"/>
      <c r="Q341" s="39"/>
    </row>
    <row r="342">
      <c r="D342" s="49"/>
      <c r="K342" s="39"/>
      <c r="L342" s="39"/>
      <c r="M342" s="39"/>
      <c r="N342" s="39"/>
      <c r="O342" s="39"/>
      <c r="P342" s="39"/>
      <c r="Q342" s="39"/>
    </row>
    <row r="343">
      <c r="D343" s="49"/>
      <c r="K343" s="39"/>
      <c r="L343" s="39"/>
      <c r="M343" s="39"/>
      <c r="N343" s="39"/>
      <c r="O343" s="39"/>
      <c r="P343" s="39"/>
      <c r="Q343" s="39"/>
    </row>
    <row r="344">
      <c r="D344" s="49"/>
      <c r="K344" s="39"/>
      <c r="L344" s="39"/>
      <c r="M344" s="39"/>
      <c r="N344" s="39"/>
      <c r="O344" s="39"/>
      <c r="P344" s="39"/>
      <c r="Q344" s="39"/>
    </row>
    <row r="345">
      <c r="D345" s="49"/>
      <c r="K345" s="39"/>
      <c r="L345" s="39"/>
      <c r="M345" s="39"/>
      <c r="N345" s="39"/>
      <c r="O345" s="39"/>
      <c r="P345" s="39"/>
      <c r="Q345" s="39"/>
    </row>
    <row r="346">
      <c r="D346" s="49"/>
      <c r="K346" s="39"/>
      <c r="L346" s="39"/>
      <c r="M346" s="39"/>
      <c r="N346" s="39"/>
      <c r="O346" s="39"/>
      <c r="P346" s="39"/>
      <c r="Q346" s="39"/>
    </row>
    <row r="347">
      <c r="D347" s="49"/>
      <c r="K347" s="39"/>
      <c r="L347" s="39"/>
      <c r="M347" s="39"/>
      <c r="N347" s="39"/>
      <c r="O347" s="39"/>
      <c r="P347" s="39"/>
      <c r="Q347" s="39"/>
    </row>
    <row r="348">
      <c r="D348" s="49"/>
      <c r="K348" s="39"/>
      <c r="L348" s="39"/>
      <c r="M348" s="39"/>
      <c r="N348" s="39"/>
      <c r="O348" s="39"/>
      <c r="P348" s="39"/>
      <c r="Q348" s="39"/>
    </row>
    <row r="349">
      <c r="D349" s="49"/>
      <c r="K349" s="39"/>
      <c r="L349" s="39"/>
      <c r="M349" s="39"/>
      <c r="N349" s="39"/>
      <c r="O349" s="39"/>
      <c r="P349" s="39"/>
      <c r="Q349" s="39"/>
    </row>
    <row r="350">
      <c r="D350" s="49"/>
      <c r="K350" s="39"/>
      <c r="L350" s="39"/>
      <c r="M350" s="39"/>
      <c r="N350" s="39"/>
      <c r="O350" s="39"/>
      <c r="P350" s="39"/>
      <c r="Q350" s="39"/>
    </row>
    <row r="351">
      <c r="D351" s="49"/>
      <c r="K351" s="39"/>
      <c r="L351" s="39"/>
      <c r="M351" s="39"/>
      <c r="N351" s="39"/>
      <c r="O351" s="39"/>
      <c r="P351" s="39"/>
      <c r="Q351" s="39"/>
    </row>
    <row r="352">
      <c r="D352" s="49"/>
      <c r="K352" s="39"/>
      <c r="L352" s="39"/>
      <c r="M352" s="39"/>
      <c r="N352" s="39"/>
      <c r="O352" s="39"/>
      <c r="P352" s="39"/>
      <c r="Q352" s="39"/>
    </row>
    <row r="353">
      <c r="D353" s="49"/>
      <c r="K353" s="39"/>
      <c r="L353" s="39"/>
      <c r="M353" s="39"/>
      <c r="N353" s="39"/>
      <c r="O353" s="39"/>
      <c r="P353" s="39"/>
      <c r="Q353" s="39"/>
    </row>
    <row r="354">
      <c r="D354" s="49"/>
      <c r="K354" s="39"/>
      <c r="L354" s="39"/>
      <c r="M354" s="39"/>
      <c r="N354" s="39"/>
      <c r="O354" s="39"/>
      <c r="P354" s="39"/>
      <c r="Q354" s="39"/>
    </row>
    <row r="355">
      <c r="D355" s="49"/>
      <c r="K355" s="39"/>
      <c r="L355" s="39"/>
      <c r="M355" s="39"/>
      <c r="N355" s="39"/>
      <c r="O355" s="39"/>
      <c r="P355" s="39"/>
      <c r="Q355" s="39"/>
    </row>
    <row r="356">
      <c r="D356" s="49"/>
      <c r="K356" s="39"/>
      <c r="L356" s="39"/>
      <c r="M356" s="39"/>
      <c r="N356" s="39"/>
      <c r="O356" s="39"/>
      <c r="P356" s="39"/>
      <c r="Q356" s="39"/>
    </row>
    <row r="357">
      <c r="D357" s="49"/>
      <c r="K357" s="39"/>
      <c r="L357" s="39"/>
      <c r="M357" s="39"/>
      <c r="N357" s="39"/>
      <c r="O357" s="39"/>
      <c r="P357" s="39"/>
      <c r="Q357" s="39"/>
    </row>
    <row r="358">
      <c r="D358" s="49"/>
      <c r="K358" s="39"/>
      <c r="L358" s="39"/>
      <c r="M358" s="39"/>
      <c r="N358" s="39"/>
      <c r="O358" s="39"/>
      <c r="P358" s="39"/>
      <c r="Q358" s="39"/>
    </row>
    <row r="359">
      <c r="D359" s="49"/>
      <c r="K359" s="39"/>
      <c r="L359" s="39"/>
      <c r="M359" s="39"/>
      <c r="N359" s="39"/>
      <c r="O359" s="39"/>
      <c r="P359" s="39"/>
      <c r="Q359" s="39"/>
    </row>
    <row r="360">
      <c r="D360" s="49"/>
      <c r="K360" s="39"/>
      <c r="L360" s="39"/>
      <c r="M360" s="39"/>
      <c r="N360" s="39"/>
      <c r="O360" s="39"/>
      <c r="P360" s="39"/>
      <c r="Q360" s="39"/>
    </row>
    <row r="361">
      <c r="D361" s="49"/>
      <c r="K361" s="39"/>
      <c r="L361" s="39"/>
      <c r="M361" s="39"/>
      <c r="N361" s="39"/>
      <c r="O361" s="39"/>
      <c r="P361" s="39"/>
      <c r="Q361" s="39"/>
    </row>
    <row r="362">
      <c r="D362" s="49"/>
      <c r="K362" s="39"/>
      <c r="L362" s="39"/>
      <c r="M362" s="39"/>
      <c r="N362" s="39"/>
      <c r="O362" s="39"/>
      <c r="P362" s="39"/>
      <c r="Q362" s="39"/>
    </row>
    <row r="363">
      <c r="D363" s="49"/>
      <c r="K363" s="39"/>
      <c r="L363" s="39"/>
      <c r="M363" s="39"/>
      <c r="N363" s="39"/>
      <c r="O363" s="39"/>
      <c r="P363" s="39"/>
      <c r="Q363" s="39"/>
    </row>
    <row r="364">
      <c r="D364" s="49"/>
      <c r="K364" s="39"/>
      <c r="L364" s="39"/>
      <c r="M364" s="39"/>
      <c r="N364" s="39"/>
      <c r="O364" s="39"/>
      <c r="P364" s="39"/>
      <c r="Q364" s="39"/>
    </row>
    <row r="365">
      <c r="D365" s="49"/>
      <c r="K365" s="39"/>
      <c r="L365" s="39"/>
      <c r="M365" s="39"/>
      <c r="N365" s="39"/>
      <c r="O365" s="39"/>
      <c r="P365" s="39"/>
      <c r="Q365" s="39"/>
    </row>
    <row r="366">
      <c r="D366" s="49"/>
      <c r="K366" s="39"/>
      <c r="L366" s="39"/>
      <c r="M366" s="39"/>
      <c r="N366" s="39"/>
      <c r="O366" s="39"/>
      <c r="P366" s="39"/>
      <c r="Q366" s="39"/>
    </row>
    <row r="367">
      <c r="D367" s="49"/>
      <c r="K367" s="39"/>
      <c r="L367" s="39"/>
      <c r="M367" s="39"/>
      <c r="N367" s="39"/>
      <c r="O367" s="39"/>
      <c r="P367" s="39"/>
      <c r="Q367" s="39"/>
    </row>
    <row r="368">
      <c r="D368" s="49"/>
      <c r="K368" s="39"/>
      <c r="L368" s="39"/>
      <c r="M368" s="39"/>
      <c r="N368" s="39"/>
      <c r="O368" s="39"/>
      <c r="P368" s="39"/>
      <c r="Q368" s="39"/>
    </row>
    <row r="369">
      <c r="D369" s="49"/>
      <c r="K369" s="39"/>
      <c r="L369" s="39"/>
      <c r="M369" s="39"/>
      <c r="N369" s="39"/>
      <c r="O369" s="39"/>
      <c r="P369" s="39"/>
      <c r="Q369" s="39"/>
    </row>
    <row r="370">
      <c r="D370" s="49"/>
      <c r="K370" s="39"/>
      <c r="L370" s="39"/>
      <c r="M370" s="39"/>
      <c r="N370" s="39"/>
      <c r="O370" s="39"/>
      <c r="P370" s="39"/>
      <c r="Q370" s="39"/>
    </row>
    <row r="371">
      <c r="D371" s="49"/>
      <c r="K371" s="39"/>
      <c r="L371" s="39"/>
      <c r="M371" s="39"/>
      <c r="N371" s="39"/>
      <c r="O371" s="39"/>
      <c r="P371" s="39"/>
      <c r="Q371" s="39"/>
    </row>
    <row r="372">
      <c r="D372" s="49"/>
      <c r="K372" s="39"/>
      <c r="L372" s="39"/>
      <c r="M372" s="39"/>
      <c r="N372" s="39"/>
      <c r="O372" s="39"/>
      <c r="P372" s="39"/>
      <c r="Q372" s="39"/>
    </row>
    <row r="373">
      <c r="D373" s="49"/>
      <c r="K373" s="39"/>
      <c r="L373" s="39"/>
      <c r="M373" s="39"/>
      <c r="N373" s="39"/>
      <c r="O373" s="39"/>
      <c r="P373" s="39"/>
      <c r="Q373" s="39"/>
    </row>
    <row r="374">
      <c r="D374" s="49"/>
      <c r="K374" s="39"/>
      <c r="L374" s="39"/>
      <c r="M374" s="39"/>
      <c r="N374" s="39"/>
      <c r="O374" s="39"/>
      <c r="P374" s="39"/>
      <c r="Q374" s="39"/>
    </row>
    <row r="375">
      <c r="D375" s="49"/>
      <c r="K375" s="39"/>
      <c r="L375" s="39"/>
      <c r="M375" s="39"/>
      <c r="N375" s="39"/>
      <c r="O375" s="39"/>
      <c r="P375" s="39"/>
      <c r="Q375" s="39"/>
    </row>
    <row r="376">
      <c r="D376" s="49"/>
      <c r="K376" s="39"/>
      <c r="L376" s="39"/>
      <c r="M376" s="39"/>
      <c r="N376" s="39"/>
      <c r="O376" s="39"/>
      <c r="P376" s="39"/>
      <c r="Q376" s="39"/>
    </row>
    <row r="377">
      <c r="D377" s="49"/>
      <c r="K377" s="39"/>
      <c r="L377" s="39"/>
      <c r="M377" s="39"/>
      <c r="N377" s="39"/>
      <c r="O377" s="39"/>
      <c r="P377" s="39"/>
      <c r="Q377" s="39"/>
    </row>
    <row r="378">
      <c r="D378" s="49"/>
      <c r="K378" s="39"/>
      <c r="L378" s="39"/>
      <c r="M378" s="39"/>
      <c r="N378" s="39"/>
      <c r="O378" s="39"/>
      <c r="P378" s="39"/>
      <c r="Q378" s="39"/>
    </row>
    <row r="379">
      <c r="D379" s="49"/>
      <c r="K379" s="39"/>
      <c r="L379" s="39"/>
      <c r="M379" s="39"/>
      <c r="N379" s="39"/>
      <c r="O379" s="39"/>
      <c r="P379" s="39"/>
      <c r="Q379" s="39"/>
    </row>
    <row r="380">
      <c r="D380" s="49"/>
      <c r="K380" s="39"/>
      <c r="L380" s="39"/>
      <c r="M380" s="39"/>
      <c r="N380" s="39"/>
      <c r="O380" s="39"/>
      <c r="P380" s="39"/>
      <c r="Q380" s="39"/>
    </row>
    <row r="381">
      <c r="D381" s="49"/>
      <c r="K381" s="39"/>
      <c r="L381" s="39"/>
      <c r="M381" s="39"/>
      <c r="N381" s="39"/>
      <c r="O381" s="39"/>
      <c r="P381" s="39"/>
      <c r="Q381" s="39"/>
    </row>
    <row r="382">
      <c r="D382" s="49"/>
      <c r="K382" s="39"/>
      <c r="L382" s="39"/>
      <c r="M382" s="39"/>
      <c r="N382" s="39"/>
      <c r="O382" s="39"/>
      <c r="P382" s="39"/>
      <c r="Q382" s="39"/>
    </row>
    <row r="383">
      <c r="D383" s="49"/>
      <c r="K383" s="39"/>
      <c r="L383" s="39"/>
      <c r="M383" s="39"/>
      <c r="N383" s="39"/>
      <c r="O383" s="39"/>
      <c r="P383" s="39"/>
      <c r="Q383" s="39"/>
    </row>
    <row r="384">
      <c r="D384" s="49"/>
      <c r="K384" s="39"/>
      <c r="L384" s="39"/>
      <c r="M384" s="39"/>
      <c r="N384" s="39"/>
      <c r="O384" s="39"/>
      <c r="P384" s="39"/>
      <c r="Q384" s="39"/>
    </row>
    <row r="385">
      <c r="D385" s="49"/>
      <c r="K385" s="39"/>
      <c r="L385" s="39"/>
      <c r="M385" s="39"/>
      <c r="N385" s="39"/>
      <c r="O385" s="39"/>
      <c r="P385" s="39"/>
      <c r="Q385" s="39"/>
    </row>
    <row r="386">
      <c r="D386" s="49"/>
      <c r="K386" s="39"/>
      <c r="L386" s="39"/>
      <c r="M386" s="39"/>
      <c r="N386" s="39"/>
      <c r="O386" s="39"/>
      <c r="P386" s="39"/>
      <c r="Q386" s="39"/>
    </row>
    <row r="387">
      <c r="D387" s="49"/>
      <c r="K387" s="39"/>
      <c r="L387" s="39"/>
      <c r="M387" s="39"/>
      <c r="N387" s="39"/>
      <c r="O387" s="39"/>
      <c r="P387" s="39"/>
      <c r="Q387" s="39"/>
    </row>
    <row r="388">
      <c r="D388" s="49"/>
      <c r="K388" s="39"/>
      <c r="L388" s="39"/>
      <c r="M388" s="39"/>
      <c r="N388" s="39"/>
      <c r="O388" s="39"/>
      <c r="P388" s="39"/>
      <c r="Q388" s="39"/>
    </row>
    <row r="389">
      <c r="D389" s="49"/>
      <c r="K389" s="39"/>
      <c r="L389" s="39"/>
      <c r="M389" s="39"/>
      <c r="N389" s="39"/>
      <c r="O389" s="39"/>
      <c r="P389" s="39"/>
      <c r="Q389" s="39"/>
    </row>
    <row r="390">
      <c r="D390" s="49"/>
      <c r="K390" s="39"/>
      <c r="L390" s="39"/>
      <c r="M390" s="39"/>
      <c r="N390" s="39"/>
      <c r="O390" s="39"/>
      <c r="P390" s="39"/>
      <c r="Q390" s="39"/>
    </row>
    <row r="391">
      <c r="D391" s="49"/>
      <c r="K391" s="39"/>
      <c r="L391" s="39"/>
      <c r="M391" s="39"/>
      <c r="N391" s="39"/>
      <c r="O391" s="39"/>
      <c r="P391" s="39"/>
      <c r="Q391" s="39"/>
    </row>
    <row r="392">
      <c r="D392" s="49"/>
      <c r="K392" s="39"/>
      <c r="L392" s="39"/>
      <c r="M392" s="39"/>
      <c r="N392" s="39"/>
      <c r="O392" s="39"/>
      <c r="P392" s="39"/>
      <c r="Q392" s="39"/>
    </row>
    <row r="393">
      <c r="D393" s="49"/>
      <c r="K393" s="39"/>
      <c r="L393" s="39"/>
      <c r="M393" s="39"/>
      <c r="N393" s="39"/>
      <c r="O393" s="39"/>
      <c r="P393" s="39"/>
      <c r="Q393" s="39"/>
    </row>
    <row r="394">
      <c r="D394" s="49"/>
      <c r="K394" s="39"/>
      <c r="L394" s="39"/>
      <c r="M394" s="39"/>
      <c r="N394" s="39"/>
      <c r="O394" s="39"/>
      <c r="P394" s="39"/>
      <c r="Q394" s="39"/>
    </row>
    <row r="395">
      <c r="D395" s="49"/>
      <c r="K395" s="39"/>
      <c r="L395" s="39"/>
      <c r="M395" s="39"/>
      <c r="N395" s="39"/>
      <c r="O395" s="39"/>
      <c r="P395" s="39"/>
      <c r="Q395" s="39"/>
    </row>
    <row r="396">
      <c r="D396" s="49"/>
      <c r="K396" s="39"/>
      <c r="L396" s="39"/>
      <c r="M396" s="39"/>
      <c r="N396" s="39"/>
      <c r="O396" s="39"/>
      <c r="P396" s="39"/>
      <c r="Q396" s="39"/>
    </row>
    <row r="397">
      <c r="D397" s="49"/>
      <c r="K397" s="39"/>
      <c r="L397" s="39"/>
      <c r="M397" s="39"/>
      <c r="N397" s="39"/>
      <c r="O397" s="39"/>
      <c r="P397" s="39"/>
      <c r="Q397" s="39"/>
    </row>
    <row r="398">
      <c r="D398" s="49"/>
      <c r="K398" s="39"/>
      <c r="L398" s="39"/>
      <c r="M398" s="39"/>
      <c r="N398" s="39"/>
      <c r="O398" s="39"/>
      <c r="P398" s="39"/>
      <c r="Q398" s="39"/>
    </row>
    <row r="399">
      <c r="D399" s="49"/>
      <c r="K399" s="39"/>
      <c r="L399" s="39"/>
      <c r="M399" s="39"/>
      <c r="N399" s="39"/>
      <c r="O399" s="39"/>
      <c r="P399" s="39"/>
      <c r="Q399" s="39"/>
    </row>
    <row r="400">
      <c r="D400" s="49"/>
      <c r="K400" s="39"/>
      <c r="L400" s="39"/>
      <c r="M400" s="39"/>
      <c r="N400" s="39"/>
      <c r="O400" s="39"/>
      <c r="P400" s="39"/>
      <c r="Q400" s="39"/>
    </row>
    <row r="401">
      <c r="D401" s="49"/>
      <c r="K401" s="39"/>
      <c r="L401" s="39"/>
      <c r="M401" s="39"/>
      <c r="N401" s="39"/>
      <c r="O401" s="39"/>
      <c r="P401" s="39"/>
      <c r="Q401" s="39"/>
    </row>
    <row r="402">
      <c r="D402" s="49"/>
      <c r="K402" s="39"/>
      <c r="L402" s="39"/>
      <c r="M402" s="39"/>
      <c r="N402" s="39"/>
      <c r="O402" s="39"/>
      <c r="P402" s="39"/>
      <c r="Q402" s="39"/>
    </row>
    <row r="403">
      <c r="D403" s="49"/>
      <c r="K403" s="39"/>
      <c r="L403" s="39"/>
      <c r="M403" s="39"/>
      <c r="N403" s="39"/>
      <c r="O403" s="39"/>
      <c r="P403" s="39"/>
      <c r="Q403" s="39"/>
    </row>
    <row r="404">
      <c r="D404" s="49"/>
      <c r="K404" s="39"/>
      <c r="L404" s="39"/>
      <c r="M404" s="39"/>
      <c r="N404" s="39"/>
      <c r="O404" s="39"/>
      <c r="P404" s="39"/>
      <c r="Q404" s="39"/>
    </row>
    <row r="405">
      <c r="D405" s="49"/>
      <c r="K405" s="39"/>
      <c r="L405" s="39"/>
      <c r="M405" s="39"/>
      <c r="N405" s="39"/>
      <c r="O405" s="39"/>
      <c r="P405" s="39"/>
      <c r="Q405" s="39"/>
    </row>
    <row r="406">
      <c r="D406" s="49"/>
      <c r="K406" s="39"/>
      <c r="L406" s="39"/>
      <c r="M406" s="39"/>
      <c r="N406" s="39"/>
      <c r="O406" s="39"/>
      <c r="P406" s="39"/>
      <c r="Q406" s="39"/>
    </row>
    <row r="407">
      <c r="D407" s="49"/>
      <c r="K407" s="39"/>
      <c r="L407" s="39"/>
      <c r="M407" s="39"/>
      <c r="N407" s="39"/>
      <c r="O407" s="39"/>
      <c r="P407" s="39"/>
      <c r="Q407" s="39"/>
    </row>
    <row r="408">
      <c r="D408" s="49"/>
      <c r="K408" s="39"/>
      <c r="L408" s="39"/>
      <c r="M408" s="39"/>
      <c r="N408" s="39"/>
      <c r="O408" s="39"/>
      <c r="P408" s="39"/>
      <c r="Q408" s="39"/>
    </row>
    <row r="409">
      <c r="D409" s="49"/>
      <c r="K409" s="39"/>
      <c r="L409" s="39"/>
      <c r="M409" s="39"/>
      <c r="N409" s="39"/>
      <c r="O409" s="39"/>
      <c r="P409" s="39"/>
      <c r="Q409" s="39"/>
    </row>
    <row r="410">
      <c r="D410" s="49"/>
      <c r="K410" s="39"/>
      <c r="L410" s="39"/>
      <c r="M410" s="39"/>
      <c r="N410" s="39"/>
      <c r="O410" s="39"/>
      <c r="P410" s="39"/>
      <c r="Q410" s="39"/>
    </row>
    <row r="411">
      <c r="D411" s="49"/>
      <c r="K411" s="39"/>
      <c r="L411" s="39"/>
      <c r="M411" s="39"/>
      <c r="N411" s="39"/>
      <c r="O411" s="39"/>
      <c r="P411" s="39"/>
      <c r="Q411" s="39"/>
    </row>
    <row r="412">
      <c r="D412" s="49"/>
      <c r="K412" s="39"/>
      <c r="L412" s="39"/>
      <c r="M412" s="39"/>
      <c r="N412" s="39"/>
      <c r="O412" s="39"/>
      <c r="P412" s="39"/>
      <c r="Q412" s="39"/>
    </row>
    <row r="413">
      <c r="D413" s="49"/>
      <c r="K413" s="39"/>
      <c r="L413" s="39"/>
      <c r="M413" s="39"/>
      <c r="N413" s="39"/>
      <c r="O413" s="39"/>
      <c r="P413" s="39"/>
      <c r="Q413" s="39"/>
    </row>
    <row r="414">
      <c r="D414" s="49"/>
      <c r="K414" s="39"/>
      <c r="L414" s="39"/>
      <c r="M414" s="39"/>
      <c r="N414" s="39"/>
      <c r="O414" s="39"/>
      <c r="P414" s="39"/>
      <c r="Q414" s="39"/>
    </row>
    <row r="415">
      <c r="D415" s="49"/>
      <c r="K415" s="39"/>
      <c r="L415" s="39"/>
      <c r="M415" s="39"/>
      <c r="N415" s="39"/>
      <c r="O415" s="39"/>
      <c r="P415" s="39"/>
      <c r="Q415" s="39"/>
    </row>
    <row r="416">
      <c r="D416" s="49"/>
      <c r="K416" s="39"/>
      <c r="L416" s="39"/>
      <c r="M416" s="39"/>
      <c r="N416" s="39"/>
      <c r="O416" s="39"/>
      <c r="P416" s="39"/>
      <c r="Q416" s="39"/>
    </row>
    <row r="417">
      <c r="D417" s="49"/>
      <c r="K417" s="39"/>
      <c r="L417" s="39"/>
      <c r="M417" s="39"/>
      <c r="N417" s="39"/>
      <c r="O417" s="39"/>
      <c r="P417" s="39"/>
      <c r="Q417" s="39"/>
    </row>
    <row r="418">
      <c r="D418" s="49"/>
      <c r="K418" s="39"/>
      <c r="L418" s="39"/>
      <c r="M418" s="39"/>
      <c r="N418" s="39"/>
      <c r="O418" s="39"/>
      <c r="P418" s="39"/>
      <c r="Q418" s="39"/>
    </row>
    <row r="419">
      <c r="D419" s="49"/>
      <c r="K419" s="39"/>
      <c r="L419" s="39"/>
      <c r="M419" s="39"/>
      <c r="N419" s="39"/>
      <c r="O419" s="39"/>
      <c r="P419" s="39"/>
      <c r="Q419" s="39"/>
    </row>
    <row r="420">
      <c r="D420" s="49"/>
      <c r="K420" s="39"/>
      <c r="L420" s="39"/>
      <c r="M420" s="39"/>
      <c r="N420" s="39"/>
      <c r="O420" s="39"/>
      <c r="P420" s="39"/>
      <c r="Q420" s="39"/>
    </row>
    <row r="421">
      <c r="D421" s="49"/>
      <c r="K421" s="39"/>
      <c r="L421" s="39"/>
      <c r="M421" s="39"/>
      <c r="N421" s="39"/>
      <c r="O421" s="39"/>
      <c r="P421" s="39"/>
      <c r="Q421" s="39"/>
    </row>
    <row r="422">
      <c r="D422" s="49"/>
      <c r="K422" s="39"/>
      <c r="L422" s="39"/>
      <c r="M422" s="39"/>
      <c r="N422" s="39"/>
      <c r="O422" s="39"/>
      <c r="P422" s="39"/>
      <c r="Q422" s="39"/>
    </row>
    <row r="423">
      <c r="D423" s="49"/>
      <c r="K423" s="39"/>
      <c r="L423" s="39"/>
      <c r="M423" s="39"/>
      <c r="N423" s="39"/>
      <c r="O423" s="39"/>
      <c r="P423" s="39"/>
      <c r="Q423" s="39"/>
    </row>
    <row r="424">
      <c r="D424" s="49"/>
      <c r="K424" s="39"/>
      <c r="L424" s="39"/>
      <c r="M424" s="39"/>
      <c r="N424" s="39"/>
      <c r="O424" s="39"/>
      <c r="P424" s="39"/>
      <c r="Q424" s="39"/>
    </row>
    <row r="425">
      <c r="D425" s="49"/>
      <c r="K425" s="39"/>
      <c r="L425" s="39"/>
      <c r="M425" s="39"/>
      <c r="N425" s="39"/>
      <c r="O425" s="39"/>
      <c r="P425" s="39"/>
      <c r="Q425" s="39"/>
    </row>
    <row r="426">
      <c r="D426" s="49"/>
      <c r="K426" s="39"/>
      <c r="L426" s="39"/>
      <c r="M426" s="39"/>
      <c r="N426" s="39"/>
      <c r="O426" s="39"/>
      <c r="P426" s="39"/>
      <c r="Q426" s="39"/>
    </row>
    <row r="427">
      <c r="D427" s="49"/>
      <c r="K427" s="39"/>
      <c r="L427" s="39"/>
      <c r="M427" s="39"/>
      <c r="N427" s="39"/>
      <c r="O427" s="39"/>
      <c r="P427" s="39"/>
      <c r="Q427" s="39"/>
    </row>
    <row r="428">
      <c r="D428" s="49"/>
      <c r="K428" s="39"/>
      <c r="L428" s="39"/>
      <c r="M428" s="39"/>
      <c r="N428" s="39"/>
      <c r="O428" s="39"/>
      <c r="P428" s="39"/>
      <c r="Q428" s="39"/>
    </row>
    <row r="429">
      <c r="D429" s="49"/>
      <c r="K429" s="39"/>
      <c r="L429" s="39"/>
      <c r="M429" s="39"/>
      <c r="N429" s="39"/>
      <c r="O429" s="39"/>
      <c r="P429" s="39"/>
      <c r="Q429" s="39"/>
    </row>
    <row r="430">
      <c r="D430" s="49"/>
      <c r="K430" s="39"/>
      <c r="L430" s="39"/>
      <c r="M430" s="39"/>
      <c r="N430" s="39"/>
      <c r="O430" s="39"/>
      <c r="P430" s="39"/>
      <c r="Q430" s="39"/>
    </row>
    <row r="431">
      <c r="D431" s="49"/>
      <c r="K431" s="39"/>
      <c r="L431" s="39"/>
      <c r="M431" s="39"/>
      <c r="N431" s="39"/>
      <c r="O431" s="39"/>
      <c r="P431" s="39"/>
      <c r="Q431" s="39"/>
    </row>
    <row r="432">
      <c r="D432" s="49"/>
      <c r="K432" s="39"/>
      <c r="L432" s="39"/>
      <c r="M432" s="39"/>
      <c r="N432" s="39"/>
      <c r="O432" s="39"/>
      <c r="P432" s="39"/>
      <c r="Q432" s="39"/>
    </row>
    <row r="433">
      <c r="D433" s="49"/>
      <c r="K433" s="39"/>
      <c r="L433" s="39"/>
      <c r="M433" s="39"/>
      <c r="N433" s="39"/>
      <c r="O433" s="39"/>
      <c r="P433" s="39"/>
      <c r="Q433" s="39"/>
    </row>
    <row r="434">
      <c r="D434" s="49"/>
      <c r="K434" s="39"/>
      <c r="L434" s="39"/>
      <c r="M434" s="39"/>
      <c r="N434" s="39"/>
      <c r="O434" s="39"/>
      <c r="P434" s="39"/>
      <c r="Q434" s="39"/>
    </row>
    <row r="435">
      <c r="D435" s="49"/>
      <c r="K435" s="39"/>
      <c r="L435" s="39"/>
      <c r="M435" s="39"/>
      <c r="N435" s="39"/>
      <c r="O435" s="39"/>
      <c r="P435" s="39"/>
      <c r="Q435" s="39"/>
    </row>
    <row r="436">
      <c r="D436" s="49"/>
      <c r="K436" s="39"/>
      <c r="L436" s="39"/>
      <c r="M436" s="39"/>
      <c r="N436" s="39"/>
      <c r="O436" s="39"/>
      <c r="P436" s="39"/>
      <c r="Q436" s="39"/>
    </row>
    <row r="437">
      <c r="D437" s="49"/>
      <c r="K437" s="39"/>
      <c r="L437" s="39"/>
      <c r="M437" s="39"/>
      <c r="N437" s="39"/>
      <c r="O437" s="39"/>
      <c r="P437" s="39"/>
      <c r="Q437" s="39"/>
    </row>
    <row r="438">
      <c r="D438" s="49"/>
      <c r="K438" s="39"/>
      <c r="L438" s="39"/>
      <c r="M438" s="39"/>
      <c r="N438" s="39"/>
      <c r="O438" s="39"/>
      <c r="P438" s="39"/>
      <c r="Q438" s="39"/>
    </row>
    <row r="439">
      <c r="D439" s="49"/>
      <c r="K439" s="39"/>
      <c r="L439" s="39"/>
      <c r="M439" s="39"/>
      <c r="N439" s="39"/>
      <c r="O439" s="39"/>
      <c r="P439" s="39"/>
      <c r="Q439" s="39"/>
    </row>
    <row r="440">
      <c r="D440" s="49"/>
      <c r="K440" s="39"/>
      <c r="L440" s="39"/>
      <c r="M440" s="39"/>
      <c r="N440" s="39"/>
      <c r="O440" s="39"/>
      <c r="P440" s="39"/>
      <c r="Q440" s="39"/>
    </row>
    <row r="441">
      <c r="D441" s="49"/>
      <c r="K441" s="39"/>
      <c r="L441" s="39"/>
      <c r="M441" s="39"/>
      <c r="N441" s="39"/>
      <c r="O441" s="39"/>
      <c r="P441" s="39"/>
      <c r="Q441" s="39"/>
    </row>
    <row r="442">
      <c r="D442" s="49"/>
      <c r="K442" s="39"/>
      <c r="L442" s="39"/>
      <c r="M442" s="39"/>
      <c r="N442" s="39"/>
      <c r="O442" s="39"/>
      <c r="P442" s="39"/>
      <c r="Q442" s="39"/>
    </row>
    <row r="443">
      <c r="D443" s="49"/>
      <c r="K443" s="39"/>
      <c r="L443" s="39"/>
      <c r="M443" s="39"/>
      <c r="N443" s="39"/>
      <c r="O443" s="39"/>
      <c r="P443" s="39"/>
      <c r="Q443" s="39"/>
    </row>
    <row r="444">
      <c r="D444" s="49"/>
      <c r="K444" s="39"/>
      <c r="L444" s="39"/>
      <c r="M444" s="39"/>
      <c r="N444" s="39"/>
      <c r="O444" s="39"/>
      <c r="P444" s="39"/>
      <c r="Q444" s="39"/>
    </row>
    <row r="445">
      <c r="D445" s="49"/>
      <c r="K445" s="39"/>
      <c r="L445" s="39"/>
      <c r="M445" s="39"/>
      <c r="N445" s="39"/>
      <c r="O445" s="39"/>
      <c r="P445" s="39"/>
      <c r="Q445" s="39"/>
    </row>
    <row r="446">
      <c r="D446" s="49"/>
      <c r="K446" s="39"/>
      <c r="L446" s="39"/>
      <c r="M446" s="39"/>
      <c r="N446" s="39"/>
      <c r="O446" s="39"/>
      <c r="P446" s="39"/>
      <c r="Q446" s="39"/>
    </row>
    <row r="447">
      <c r="D447" s="49"/>
      <c r="K447" s="39"/>
      <c r="L447" s="39"/>
      <c r="M447" s="39"/>
      <c r="N447" s="39"/>
      <c r="O447" s="39"/>
      <c r="P447" s="39"/>
      <c r="Q447" s="39"/>
    </row>
    <row r="448">
      <c r="D448" s="49"/>
      <c r="K448" s="39"/>
      <c r="L448" s="39"/>
      <c r="M448" s="39"/>
      <c r="N448" s="39"/>
      <c r="O448" s="39"/>
      <c r="P448" s="39"/>
      <c r="Q448" s="39"/>
    </row>
    <row r="449">
      <c r="D449" s="49"/>
      <c r="K449" s="39"/>
      <c r="L449" s="39"/>
      <c r="M449" s="39"/>
      <c r="N449" s="39"/>
      <c r="O449" s="39"/>
      <c r="P449" s="39"/>
      <c r="Q449" s="39"/>
    </row>
    <row r="450">
      <c r="D450" s="49"/>
      <c r="K450" s="39"/>
      <c r="L450" s="39"/>
      <c r="M450" s="39"/>
      <c r="N450" s="39"/>
      <c r="O450" s="39"/>
      <c r="P450" s="39"/>
      <c r="Q450" s="39"/>
    </row>
    <row r="451">
      <c r="D451" s="49"/>
      <c r="K451" s="39"/>
      <c r="L451" s="39"/>
      <c r="M451" s="39"/>
      <c r="N451" s="39"/>
      <c r="O451" s="39"/>
      <c r="P451" s="39"/>
      <c r="Q451" s="39"/>
    </row>
    <row r="452">
      <c r="D452" s="49"/>
      <c r="K452" s="39"/>
      <c r="L452" s="39"/>
      <c r="M452" s="39"/>
      <c r="N452" s="39"/>
      <c r="O452" s="39"/>
      <c r="P452" s="39"/>
      <c r="Q452" s="39"/>
    </row>
    <row r="453">
      <c r="D453" s="49"/>
      <c r="K453" s="39"/>
      <c r="L453" s="39"/>
      <c r="M453" s="39"/>
      <c r="N453" s="39"/>
      <c r="O453" s="39"/>
      <c r="P453" s="39"/>
      <c r="Q453" s="39"/>
    </row>
    <row r="454">
      <c r="D454" s="49"/>
      <c r="K454" s="39"/>
      <c r="L454" s="39"/>
      <c r="M454" s="39"/>
      <c r="N454" s="39"/>
      <c r="O454" s="39"/>
      <c r="P454" s="39"/>
      <c r="Q454" s="39"/>
    </row>
    <row r="455">
      <c r="D455" s="49"/>
      <c r="K455" s="39"/>
      <c r="L455" s="39"/>
      <c r="M455" s="39"/>
      <c r="N455" s="39"/>
      <c r="O455" s="39"/>
      <c r="P455" s="39"/>
      <c r="Q455" s="39"/>
    </row>
    <row r="456">
      <c r="D456" s="49"/>
      <c r="K456" s="39"/>
      <c r="L456" s="39"/>
      <c r="M456" s="39"/>
      <c r="N456" s="39"/>
      <c r="O456" s="39"/>
      <c r="P456" s="39"/>
      <c r="Q456" s="39"/>
    </row>
    <row r="457">
      <c r="D457" s="49"/>
      <c r="K457" s="39"/>
      <c r="L457" s="39"/>
      <c r="M457" s="39"/>
      <c r="N457" s="39"/>
      <c r="O457" s="39"/>
      <c r="P457" s="39"/>
      <c r="Q457" s="39"/>
    </row>
    <row r="458">
      <c r="D458" s="49"/>
      <c r="K458" s="39"/>
      <c r="L458" s="39"/>
      <c r="M458" s="39"/>
      <c r="N458" s="39"/>
      <c r="O458" s="39"/>
      <c r="P458" s="39"/>
      <c r="Q458" s="39"/>
    </row>
    <row r="459">
      <c r="D459" s="49"/>
      <c r="K459" s="39"/>
      <c r="L459" s="39"/>
      <c r="M459" s="39"/>
      <c r="N459" s="39"/>
      <c r="O459" s="39"/>
      <c r="P459" s="39"/>
      <c r="Q459" s="39"/>
    </row>
    <row r="460">
      <c r="D460" s="49"/>
      <c r="K460" s="39"/>
      <c r="L460" s="39"/>
      <c r="M460" s="39"/>
      <c r="N460" s="39"/>
      <c r="O460" s="39"/>
      <c r="P460" s="39"/>
      <c r="Q460" s="39"/>
    </row>
    <row r="461">
      <c r="D461" s="49"/>
      <c r="K461" s="39"/>
      <c r="L461" s="39"/>
      <c r="M461" s="39"/>
      <c r="N461" s="39"/>
      <c r="O461" s="39"/>
      <c r="P461" s="39"/>
      <c r="Q461" s="39"/>
    </row>
    <row r="462">
      <c r="D462" s="49"/>
      <c r="K462" s="39"/>
      <c r="L462" s="39"/>
      <c r="M462" s="39"/>
      <c r="N462" s="39"/>
      <c r="O462" s="39"/>
      <c r="P462" s="39"/>
      <c r="Q462" s="39"/>
    </row>
    <row r="463">
      <c r="D463" s="49"/>
      <c r="K463" s="39"/>
      <c r="L463" s="39"/>
      <c r="M463" s="39"/>
      <c r="N463" s="39"/>
      <c r="O463" s="39"/>
      <c r="P463" s="39"/>
      <c r="Q463" s="39"/>
    </row>
    <row r="464">
      <c r="D464" s="49"/>
      <c r="K464" s="39"/>
      <c r="L464" s="39"/>
      <c r="M464" s="39"/>
      <c r="N464" s="39"/>
      <c r="O464" s="39"/>
      <c r="P464" s="39"/>
      <c r="Q464" s="39"/>
    </row>
    <row r="465">
      <c r="D465" s="49"/>
      <c r="K465" s="39"/>
      <c r="L465" s="39"/>
      <c r="M465" s="39"/>
      <c r="N465" s="39"/>
      <c r="O465" s="39"/>
      <c r="P465" s="39"/>
      <c r="Q465" s="39"/>
    </row>
    <row r="466">
      <c r="D466" s="49"/>
      <c r="K466" s="39"/>
      <c r="L466" s="39"/>
      <c r="M466" s="39"/>
      <c r="N466" s="39"/>
      <c r="O466" s="39"/>
      <c r="P466" s="39"/>
      <c r="Q466" s="39"/>
    </row>
    <row r="467">
      <c r="D467" s="49"/>
      <c r="K467" s="39"/>
      <c r="L467" s="39"/>
      <c r="M467" s="39"/>
      <c r="N467" s="39"/>
      <c r="O467" s="39"/>
      <c r="P467" s="39"/>
      <c r="Q467" s="39"/>
    </row>
    <row r="468">
      <c r="D468" s="49"/>
      <c r="K468" s="39"/>
      <c r="L468" s="39"/>
      <c r="M468" s="39"/>
      <c r="N468" s="39"/>
      <c r="O468" s="39"/>
      <c r="P468" s="39"/>
      <c r="Q468" s="39"/>
    </row>
    <row r="469">
      <c r="D469" s="49"/>
      <c r="K469" s="39"/>
      <c r="L469" s="39"/>
      <c r="M469" s="39"/>
      <c r="N469" s="39"/>
      <c r="O469" s="39"/>
      <c r="P469" s="39"/>
      <c r="Q469" s="39"/>
    </row>
    <row r="470">
      <c r="D470" s="49"/>
      <c r="K470" s="39"/>
      <c r="L470" s="39"/>
      <c r="M470" s="39"/>
      <c r="N470" s="39"/>
      <c r="O470" s="39"/>
      <c r="P470" s="39"/>
      <c r="Q470" s="39"/>
    </row>
    <row r="471">
      <c r="D471" s="49"/>
      <c r="K471" s="39"/>
      <c r="L471" s="39"/>
      <c r="M471" s="39"/>
      <c r="N471" s="39"/>
      <c r="O471" s="39"/>
      <c r="P471" s="39"/>
      <c r="Q471" s="39"/>
    </row>
    <row r="472">
      <c r="D472" s="49"/>
      <c r="K472" s="39"/>
      <c r="L472" s="39"/>
      <c r="M472" s="39"/>
      <c r="N472" s="39"/>
      <c r="O472" s="39"/>
      <c r="P472" s="39"/>
      <c r="Q472" s="39"/>
    </row>
    <row r="473">
      <c r="D473" s="49"/>
      <c r="K473" s="39"/>
      <c r="L473" s="39"/>
      <c r="M473" s="39"/>
      <c r="N473" s="39"/>
      <c r="O473" s="39"/>
      <c r="P473" s="39"/>
      <c r="Q473" s="39"/>
    </row>
    <row r="474">
      <c r="D474" s="49"/>
      <c r="K474" s="39"/>
      <c r="L474" s="39"/>
      <c r="M474" s="39"/>
      <c r="N474" s="39"/>
      <c r="O474" s="39"/>
      <c r="P474" s="39"/>
      <c r="Q474" s="39"/>
    </row>
    <row r="475">
      <c r="D475" s="49"/>
      <c r="K475" s="39"/>
      <c r="L475" s="39"/>
      <c r="M475" s="39"/>
      <c r="N475" s="39"/>
      <c r="O475" s="39"/>
      <c r="P475" s="39"/>
      <c r="Q475" s="39"/>
    </row>
    <row r="476">
      <c r="D476" s="49"/>
      <c r="K476" s="39"/>
      <c r="L476" s="39"/>
      <c r="M476" s="39"/>
      <c r="N476" s="39"/>
      <c r="O476" s="39"/>
      <c r="P476" s="39"/>
      <c r="Q476" s="39"/>
    </row>
    <row r="477">
      <c r="D477" s="49"/>
      <c r="K477" s="39"/>
      <c r="L477" s="39"/>
      <c r="M477" s="39"/>
      <c r="N477" s="39"/>
      <c r="O477" s="39"/>
      <c r="P477" s="39"/>
      <c r="Q477" s="39"/>
    </row>
    <row r="478">
      <c r="D478" s="49"/>
      <c r="K478" s="39"/>
      <c r="L478" s="39"/>
      <c r="M478" s="39"/>
      <c r="N478" s="39"/>
      <c r="O478" s="39"/>
      <c r="P478" s="39"/>
      <c r="Q478" s="39"/>
    </row>
    <row r="479">
      <c r="D479" s="49"/>
      <c r="K479" s="39"/>
      <c r="L479" s="39"/>
      <c r="M479" s="39"/>
      <c r="N479" s="39"/>
      <c r="O479" s="39"/>
      <c r="P479" s="39"/>
      <c r="Q479" s="39"/>
    </row>
    <row r="480">
      <c r="D480" s="49"/>
      <c r="K480" s="39"/>
      <c r="L480" s="39"/>
      <c r="M480" s="39"/>
      <c r="N480" s="39"/>
      <c r="O480" s="39"/>
      <c r="P480" s="39"/>
      <c r="Q480" s="39"/>
    </row>
    <row r="481">
      <c r="D481" s="49"/>
      <c r="K481" s="39"/>
      <c r="L481" s="39"/>
      <c r="M481" s="39"/>
      <c r="N481" s="39"/>
      <c r="O481" s="39"/>
      <c r="P481" s="39"/>
      <c r="Q481" s="39"/>
    </row>
    <row r="482">
      <c r="D482" s="49"/>
      <c r="K482" s="39"/>
      <c r="L482" s="39"/>
      <c r="M482" s="39"/>
      <c r="N482" s="39"/>
      <c r="O482" s="39"/>
      <c r="P482" s="39"/>
      <c r="Q482" s="39"/>
    </row>
    <row r="483">
      <c r="D483" s="49"/>
      <c r="K483" s="39"/>
      <c r="L483" s="39"/>
      <c r="M483" s="39"/>
      <c r="N483" s="39"/>
      <c r="O483" s="39"/>
      <c r="P483" s="39"/>
      <c r="Q483" s="39"/>
    </row>
    <row r="484">
      <c r="D484" s="49"/>
      <c r="K484" s="39"/>
      <c r="L484" s="39"/>
      <c r="M484" s="39"/>
      <c r="N484" s="39"/>
      <c r="O484" s="39"/>
      <c r="P484" s="39"/>
      <c r="Q484" s="39"/>
    </row>
    <row r="485">
      <c r="D485" s="49"/>
      <c r="K485" s="39"/>
      <c r="L485" s="39"/>
      <c r="M485" s="39"/>
      <c r="N485" s="39"/>
      <c r="O485" s="39"/>
      <c r="P485" s="39"/>
      <c r="Q485" s="39"/>
    </row>
    <row r="486">
      <c r="D486" s="49"/>
      <c r="K486" s="39"/>
      <c r="L486" s="39"/>
      <c r="M486" s="39"/>
      <c r="N486" s="39"/>
      <c r="O486" s="39"/>
      <c r="P486" s="39"/>
      <c r="Q486" s="39"/>
    </row>
    <row r="487">
      <c r="D487" s="49"/>
      <c r="K487" s="39"/>
      <c r="L487" s="39"/>
      <c r="M487" s="39"/>
      <c r="N487" s="39"/>
      <c r="O487" s="39"/>
      <c r="P487" s="39"/>
      <c r="Q487" s="39"/>
    </row>
    <row r="488">
      <c r="D488" s="49"/>
      <c r="K488" s="39"/>
      <c r="L488" s="39"/>
      <c r="M488" s="39"/>
      <c r="N488" s="39"/>
      <c r="O488" s="39"/>
      <c r="P488" s="39"/>
      <c r="Q488" s="39"/>
    </row>
    <row r="489">
      <c r="D489" s="49"/>
      <c r="K489" s="39"/>
      <c r="L489" s="39"/>
      <c r="M489" s="39"/>
      <c r="N489" s="39"/>
      <c r="O489" s="39"/>
      <c r="P489" s="39"/>
      <c r="Q489" s="39"/>
    </row>
    <row r="490">
      <c r="D490" s="49"/>
      <c r="K490" s="39"/>
      <c r="L490" s="39"/>
      <c r="M490" s="39"/>
      <c r="N490" s="39"/>
      <c r="O490" s="39"/>
      <c r="P490" s="39"/>
      <c r="Q490" s="39"/>
    </row>
    <row r="491">
      <c r="D491" s="49"/>
      <c r="K491" s="39"/>
      <c r="L491" s="39"/>
      <c r="M491" s="39"/>
      <c r="N491" s="39"/>
      <c r="O491" s="39"/>
      <c r="P491" s="39"/>
      <c r="Q491" s="39"/>
    </row>
    <row r="492">
      <c r="D492" s="49"/>
      <c r="K492" s="39"/>
      <c r="L492" s="39"/>
      <c r="M492" s="39"/>
      <c r="N492" s="39"/>
      <c r="O492" s="39"/>
      <c r="P492" s="39"/>
      <c r="Q492" s="39"/>
    </row>
    <row r="493">
      <c r="D493" s="49"/>
      <c r="K493" s="39"/>
      <c r="L493" s="39"/>
      <c r="M493" s="39"/>
      <c r="N493" s="39"/>
      <c r="O493" s="39"/>
      <c r="P493" s="39"/>
      <c r="Q493" s="39"/>
    </row>
    <row r="494">
      <c r="D494" s="49"/>
      <c r="K494" s="39"/>
      <c r="L494" s="39"/>
      <c r="M494" s="39"/>
      <c r="N494" s="39"/>
      <c r="O494" s="39"/>
      <c r="P494" s="39"/>
      <c r="Q494" s="39"/>
    </row>
    <row r="495">
      <c r="D495" s="49"/>
      <c r="K495" s="39"/>
      <c r="L495" s="39"/>
      <c r="M495" s="39"/>
      <c r="N495" s="39"/>
      <c r="O495" s="39"/>
      <c r="P495" s="39"/>
      <c r="Q495" s="39"/>
    </row>
    <row r="496">
      <c r="D496" s="49"/>
      <c r="K496" s="39"/>
      <c r="L496" s="39"/>
      <c r="M496" s="39"/>
      <c r="N496" s="39"/>
      <c r="O496" s="39"/>
      <c r="P496" s="39"/>
      <c r="Q496" s="39"/>
    </row>
    <row r="497">
      <c r="D497" s="49"/>
      <c r="K497" s="39"/>
      <c r="L497" s="39"/>
      <c r="M497" s="39"/>
      <c r="N497" s="39"/>
      <c r="O497" s="39"/>
      <c r="P497" s="39"/>
      <c r="Q497" s="39"/>
    </row>
    <row r="498">
      <c r="D498" s="49"/>
      <c r="K498" s="39"/>
      <c r="L498" s="39"/>
      <c r="M498" s="39"/>
      <c r="N498" s="39"/>
      <c r="O498" s="39"/>
      <c r="P498" s="39"/>
      <c r="Q498" s="39"/>
    </row>
    <row r="499">
      <c r="D499" s="49"/>
      <c r="K499" s="39"/>
      <c r="L499" s="39"/>
      <c r="M499" s="39"/>
      <c r="N499" s="39"/>
      <c r="O499" s="39"/>
      <c r="P499" s="39"/>
      <c r="Q499" s="39"/>
    </row>
    <row r="500">
      <c r="D500" s="49"/>
      <c r="K500" s="39"/>
      <c r="L500" s="39"/>
      <c r="M500" s="39"/>
      <c r="N500" s="39"/>
      <c r="O500" s="39"/>
      <c r="P500" s="39"/>
      <c r="Q500" s="39"/>
    </row>
    <row r="501">
      <c r="D501" s="49"/>
      <c r="K501" s="39"/>
      <c r="L501" s="39"/>
      <c r="M501" s="39"/>
      <c r="N501" s="39"/>
      <c r="O501" s="39"/>
      <c r="P501" s="39"/>
      <c r="Q501" s="39"/>
    </row>
    <row r="502">
      <c r="D502" s="49"/>
      <c r="K502" s="39"/>
      <c r="L502" s="39"/>
      <c r="M502" s="39"/>
      <c r="N502" s="39"/>
      <c r="O502" s="39"/>
      <c r="P502" s="39"/>
      <c r="Q502" s="39"/>
    </row>
    <row r="503">
      <c r="D503" s="49"/>
      <c r="K503" s="39"/>
      <c r="L503" s="39"/>
      <c r="M503" s="39"/>
      <c r="N503" s="39"/>
      <c r="O503" s="39"/>
      <c r="P503" s="39"/>
      <c r="Q503" s="39"/>
    </row>
    <row r="504">
      <c r="D504" s="49"/>
      <c r="K504" s="39"/>
      <c r="L504" s="39"/>
      <c r="M504" s="39"/>
      <c r="N504" s="39"/>
      <c r="O504" s="39"/>
      <c r="P504" s="39"/>
      <c r="Q504" s="39"/>
    </row>
    <row r="505">
      <c r="D505" s="49"/>
      <c r="K505" s="39"/>
      <c r="L505" s="39"/>
      <c r="M505" s="39"/>
      <c r="N505" s="39"/>
      <c r="O505" s="39"/>
      <c r="P505" s="39"/>
      <c r="Q505" s="39"/>
    </row>
    <row r="506">
      <c r="D506" s="49"/>
      <c r="K506" s="39"/>
      <c r="L506" s="39"/>
      <c r="M506" s="39"/>
      <c r="N506" s="39"/>
      <c r="O506" s="39"/>
      <c r="P506" s="39"/>
      <c r="Q506" s="39"/>
    </row>
    <row r="507">
      <c r="D507" s="49"/>
      <c r="K507" s="39"/>
      <c r="L507" s="39"/>
      <c r="M507" s="39"/>
      <c r="N507" s="39"/>
      <c r="O507" s="39"/>
      <c r="P507" s="39"/>
      <c r="Q507" s="39"/>
    </row>
    <row r="508">
      <c r="D508" s="49"/>
      <c r="K508" s="39"/>
      <c r="L508" s="39"/>
      <c r="M508" s="39"/>
      <c r="N508" s="39"/>
      <c r="O508" s="39"/>
      <c r="P508" s="39"/>
      <c r="Q508" s="39"/>
    </row>
    <row r="509">
      <c r="D509" s="49"/>
      <c r="K509" s="39"/>
      <c r="L509" s="39"/>
      <c r="M509" s="39"/>
      <c r="N509" s="39"/>
      <c r="O509" s="39"/>
      <c r="P509" s="39"/>
      <c r="Q509" s="39"/>
    </row>
    <row r="510">
      <c r="D510" s="49"/>
      <c r="K510" s="39"/>
      <c r="L510" s="39"/>
      <c r="M510" s="39"/>
      <c r="N510" s="39"/>
      <c r="O510" s="39"/>
      <c r="P510" s="39"/>
      <c r="Q510" s="39"/>
    </row>
    <row r="511">
      <c r="D511" s="49"/>
      <c r="K511" s="39"/>
      <c r="L511" s="39"/>
      <c r="M511" s="39"/>
      <c r="N511" s="39"/>
      <c r="O511" s="39"/>
      <c r="P511" s="39"/>
      <c r="Q511" s="39"/>
    </row>
    <row r="512">
      <c r="D512" s="49"/>
      <c r="K512" s="39"/>
      <c r="L512" s="39"/>
      <c r="M512" s="39"/>
      <c r="N512" s="39"/>
      <c r="O512" s="39"/>
      <c r="P512" s="39"/>
      <c r="Q512" s="39"/>
    </row>
    <row r="513">
      <c r="D513" s="49"/>
      <c r="K513" s="39"/>
      <c r="L513" s="39"/>
      <c r="M513" s="39"/>
      <c r="N513" s="39"/>
      <c r="O513" s="39"/>
      <c r="P513" s="39"/>
      <c r="Q513" s="39"/>
    </row>
    <row r="514">
      <c r="D514" s="49"/>
      <c r="K514" s="39"/>
      <c r="L514" s="39"/>
      <c r="M514" s="39"/>
      <c r="N514" s="39"/>
      <c r="O514" s="39"/>
      <c r="P514" s="39"/>
      <c r="Q514" s="39"/>
    </row>
    <row r="515">
      <c r="D515" s="49"/>
      <c r="K515" s="39"/>
      <c r="L515" s="39"/>
      <c r="M515" s="39"/>
      <c r="N515" s="39"/>
      <c r="O515" s="39"/>
      <c r="P515" s="39"/>
      <c r="Q515" s="39"/>
    </row>
    <row r="516">
      <c r="D516" s="49"/>
      <c r="K516" s="39"/>
      <c r="L516" s="39"/>
      <c r="M516" s="39"/>
      <c r="N516" s="39"/>
      <c r="O516" s="39"/>
      <c r="P516" s="39"/>
      <c r="Q516" s="39"/>
    </row>
    <row r="517">
      <c r="D517" s="49"/>
      <c r="K517" s="39"/>
      <c r="L517" s="39"/>
      <c r="M517" s="39"/>
      <c r="N517" s="39"/>
      <c r="O517" s="39"/>
      <c r="P517" s="39"/>
      <c r="Q517" s="39"/>
    </row>
    <row r="518">
      <c r="D518" s="49"/>
      <c r="K518" s="39"/>
      <c r="L518" s="39"/>
      <c r="M518" s="39"/>
      <c r="N518" s="39"/>
      <c r="O518" s="39"/>
      <c r="P518" s="39"/>
      <c r="Q518" s="39"/>
    </row>
    <row r="519">
      <c r="D519" s="49"/>
      <c r="K519" s="39"/>
      <c r="L519" s="39"/>
      <c r="M519" s="39"/>
      <c r="N519" s="39"/>
      <c r="O519" s="39"/>
      <c r="P519" s="39"/>
      <c r="Q519" s="39"/>
    </row>
    <row r="520">
      <c r="D520" s="49"/>
      <c r="K520" s="39"/>
      <c r="L520" s="39"/>
      <c r="M520" s="39"/>
      <c r="N520" s="39"/>
      <c r="O520" s="39"/>
      <c r="P520" s="39"/>
      <c r="Q520" s="39"/>
    </row>
    <row r="521">
      <c r="D521" s="49"/>
      <c r="K521" s="39"/>
      <c r="L521" s="39"/>
      <c r="M521" s="39"/>
      <c r="N521" s="39"/>
      <c r="O521" s="39"/>
      <c r="P521" s="39"/>
      <c r="Q521" s="39"/>
    </row>
    <row r="522">
      <c r="D522" s="49"/>
      <c r="K522" s="39"/>
      <c r="L522" s="39"/>
      <c r="M522" s="39"/>
      <c r="N522" s="39"/>
      <c r="O522" s="39"/>
      <c r="P522" s="39"/>
      <c r="Q522" s="39"/>
    </row>
    <row r="523">
      <c r="D523" s="49"/>
      <c r="K523" s="39"/>
      <c r="L523" s="39"/>
      <c r="M523" s="39"/>
      <c r="N523" s="39"/>
      <c r="O523" s="39"/>
      <c r="P523" s="39"/>
      <c r="Q523" s="39"/>
    </row>
    <row r="524">
      <c r="D524" s="49"/>
      <c r="K524" s="39"/>
      <c r="L524" s="39"/>
      <c r="M524" s="39"/>
      <c r="N524" s="39"/>
      <c r="O524" s="39"/>
      <c r="P524" s="39"/>
      <c r="Q524" s="39"/>
    </row>
    <row r="525">
      <c r="D525" s="49"/>
      <c r="K525" s="39"/>
      <c r="L525" s="39"/>
      <c r="M525" s="39"/>
      <c r="N525" s="39"/>
      <c r="O525" s="39"/>
      <c r="P525" s="39"/>
      <c r="Q525" s="39"/>
    </row>
    <row r="526">
      <c r="D526" s="49"/>
      <c r="K526" s="39"/>
      <c r="L526" s="39"/>
      <c r="M526" s="39"/>
      <c r="N526" s="39"/>
      <c r="O526" s="39"/>
      <c r="P526" s="39"/>
      <c r="Q526" s="39"/>
    </row>
    <row r="527">
      <c r="D527" s="49"/>
      <c r="K527" s="39"/>
      <c r="L527" s="39"/>
      <c r="M527" s="39"/>
      <c r="N527" s="39"/>
      <c r="O527" s="39"/>
      <c r="P527" s="39"/>
      <c r="Q527" s="39"/>
    </row>
    <row r="528">
      <c r="D528" s="49"/>
      <c r="K528" s="39"/>
      <c r="L528" s="39"/>
      <c r="M528" s="39"/>
      <c r="N528" s="39"/>
      <c r="O528" s="39"/>
      <c r="P528" s="39"/>
      <c r="Q528" s="39"/>
    </row>
    <row r="529">
      <c r="D529" s="49"/>
      <c r="K529" s="39"/>
      <c r="L529" s="39"/>
      <c r="M529" s="39"/>
      <c r="N529" s="39"/>
      <c r="O529" s="39"/>
      <c r="P529" s="39"/>
      <c r="Q529" s="39"/>
    </row>
    <row r="530">
      <c r="D530" s="49"/>
      <c r="K530" s="39"/>
      <c r="L530" s="39"/>
      <c r="M530" s="39"/>
      <c r="N530" s="39"/>
      <c r="O530" s="39"/>
      <c r="P530" s="39"/>
      <c r="Q530" s="39"/>
    </row>
    <row r="531">
      <c r="D531" s="49"/>
      <c r="K531" s="39"/>
      <c r="L531" s="39"/>
      <c r="M531" s="39"/>
      <c r="N531" s="39"/>
      <c r="O531" s="39"/>
      <c r="P531" s="39"/>
      <c r="Q531" s="39"/>
    </row>
    <row r="532">
      <c r="D532" s="49"/>
      <c r="K532" s="39"/>
      <c r="L532" s="39"/>
      <c r="M532" s="39"/>
      <c r="N532" s="39"/>
      <c r="O532" s="39"/>
      <c r="P532" s="39"/>
      <c r="Q532" s="39"/>
    </row>
    <row r="533">
      <c r="D533" s="49"/>
      <c r="K533" s="39"/>
      <c r="L533" s="39"/>
      <c r="M533" s="39"/>
      <c r="N533" s="39"/>
      <c r="O533" s="39"/>
      <c r="P533" s="39"/>
      <c r="Q533" s="39"/>
    </row>
    <row r="534">
      <c r="D534" s="49"/>
      <c r="K534" s="39"/>
      <c r="L534" s="39"/>
      <c r="M534" s="39"/>
      <c r="N534" s="39"/>
      <c r="O534" s="39"/>
      <c r="P534" s="39"/>
      <c r="Q534" s="39"/>
    </row>
    <row r="535">
      <c r="D535" s="49"/>
      <c r="K535" s="39"/>
      <c r="L535" s="39"/>
      <c r="M535" s="39"/>
      <c r="N535" s="39"/>
      <c r="O535" s="39"/>
      <c r="P535" s="39"/>
      <c r="Q535" s="39"/>
    </row>
    <row r="536">
      <c r="D536" s="49"/>
      <c r="K536" s="39"/>
      <c r="L536" s="39"/>
      <c r="M536" s="39"/>
      <c r="N536" s="39"/>
      <c r="O536" s="39"/>
      <c r="P536" s="39"/>
      <c r="Q536" s="39"/>
    </row>
    <row r="537">
      <c r="D537" s="49"/>
      <c r="K537" s="39"/>
      <c r="L537" s="39"/>
      <c r="M537" s="39"/>
      <c r="N537" s="39"/>
      <c r="O537" s="39"/>
      <c r="P537" s="39"/>
      <c r="Q537" s="39"/>
    </row>
    <row r="538">
      <c r="D538" s="49"/>
      <c r="K538" s="39"/>
      <c r="L538" s="39"/>
      <c r="M538" s="39"/>
      <c r="N538" s="39"/>
      <c r="O538" s="39"/>
      <c r="P538" s="39"/>
      <c r="Q538" s="39"/>
    </row>
    <row r="539">
      <c r="D539" s="49"/>
      <c r="K539" s="39"/>
      <c r="L539" s="39"/>
      <c r="M539" s="39"/>
      <c r="N539" s="39"/>
      <c r="O539" s="39"/>
      <c r="P539" s="39"/>
      <c r="Q539" s="39"/>
    </row>
    <row r="540">
      <c r="D540" s="49"/>
      <c r="K540" s="39"/>
      <c r="L540" s="39"/>
      <c r="M540" s="39"/>
      <c r="N540" s="39"/>
      <c r="O540" s="39"/>
      <c r="P540" s="39"/>
      <c r="Q540" s="39"/>
    </row>
    <row r="541">
      <c r="D541" s="49"/>
      <c r="K541" s="39"/>
      <c r="L541" s="39"/>
      <c r="M541" s="39"/>
      <c r="N541" s="39"/>
      <c r="O541" s="39"/>
      <c r="P541" s="39"/>
      <c r="Q541" s="39"/>
    </row>
    <row r="542">
      <c r="D542" s="49"/>
      <c r="K542" s="39"/>
      <c r="L542" s="39"/>
      <c r="M542" s="39"/>
      <c r="N542" s="39"/>
      <c r="O542" s="39"/>
      <c r="P542" s="39"/>
      <c r="Q542" s="39"/>
    </row>
    <row r="543">
      <c r="D543" s="49"/>
      <c r="K543" s="39"/>
      <c r="L543" s="39"/>
      <c r="M543" s="39"/>
      <c r="N543" s="39"/>
      <c r="O543" s="39"/>
      <c r="P543" s="39"/>
      <c r="Q543" s="39"/>
    </row>
    <row r="544">
      <c r="D544" s="49"/>
      <c r="K544" s="39"/>
      <c r="L544" s="39"/>
      <c r="M544" s="39"/>
      <c r="N544" s="39"/>
      <c r="O544" s="39"/>
      <c r="P544" s="39"/>
      <c r="Q544" s="39"/>
    </row>
    <row r="545">
      <c r="D545" s="49"/>
      <c r="K545" s="39"/>
      <c r="L545" s="39"/>
      <c r="M545" s="39"/>
      <c r="N545" s="39"/>
      <c r="O545" s="39"/>
      <c r="P545" s="39"/>
      <c r="Q545" s="39"/>
    </row>
    <row r="546">
      <c r="D546" s="49"/>
      <c r="K546" s="39"/>
      <c r="L546" s="39"/>
      <c r="M546" s="39"/>
      <c r="N546" s="39"/>
      <c r="O546" s="39"/>
      <c r="P546" s="39"/>
      <c r="Q546" s="39"/>
    </row>
    <row r="547">
      <c r="D547" s="49"/>
      <c r="K547" s="39"/>
      <c r="L547" s="39"/>
      <c r="M547" s="39"/>
      <c r="N547" s="39"/>
      <c r="O547" s="39"/>
      <c r="P547" s="39"/>
      <c r="Q547" s="39"/>
    </row>
    <row r="548">
      <c r="D548" s="49"/>
      <c r="K548" s="39"/>
      <c r="L548" s="39"/>
      <c r="M548" s="39"/>
      <c r="N548" s="39"/>
      <c r="O548" s="39"/>
      <c r="P548" s="39"/>
      <c r="Q548" s="39"/>
    </row>
    <row r="549">
      <c r="D549" s="49"/>
      <c r="K549" s="39"/>
      <c r="L549" s="39"/>
      <c r="M549" s="39"/>
      <c r="N549" s="39"/>
      <c r="O549" s="39"/>
      <c r="P549" s="39"/>
      <c r="Q549" s="39"/>
    </row>
    <row r="550">
      <c r="D550" s="49"/>
      <c r="K550" s="39"/>
      <c r="L550" s="39"/>
      <c r="M550" s="39"/>
      <c r="N550" s="39"/>
      <c r="O550" s="39"/>
      <c r="P550" s="39"/>
      <c r="Q550" s="39"/>
    </row>
    <row r="551">
      <c r="D551" s="49"/>
      <c r="K551" s="39"/>
      <c r="L551" s="39"/>
      <c r="M551" s="39"/>
      <c r="N551" s="39"/>
      <c r="O551" s="39"/>
      <c r="P551" s="39"/>
      <c r="Q551" s="39"/>
    </row>
    <row r="552">
      <c r="D552" s="49"/>
      <c r="K552" s="39"/>
      <c r="L552" s="39"/>
      <c r="M552" s="39"/>
      <c r="N552" s="39"/>
      <c r="O552" s="39"/>
      <c r="P552" s="39"/>
      <c r="Q552" s="39"/>
    </row>
    <row r="553">
      <c r="D553" s="49"/>
      <c r="K553" s="39"/>
      <c r="L553" s="39"/>
      <c r="M553" s="39"/>
      <c r="N553" s="39"/>
      <c r="O553" s="39"/>
      <c r="P553" s="39"/>
      <c r="Q553" s="39"/>
    </row>
    <row r="554">
      <c r="D554" s="49"/>
      <c r="K554" s="39"/>
      <c r="L554" s="39"/>
      <c r="M554" s="39"/>
      <c r="N554" s="39"/>
      <c r="O554" s="39"/>
      <c r="P554" s="39"/>
      <c r="Q554" s="39"/>
    </row>
    <row r="555">
      <c r="D555" s="49"/>
      <c r="K555" s="39"/>
      <c r="L555" s="39"/>
      <c r="M555" s="39"/>
      <c r="N555" s="39"/>
      <c r="O555" s="39"/>
      <c r="P555" s="39"/>
      <c r="Q555" s="39"/>
    </row>
    <row r="556">
      <c r="D556" s="49"/>
      <c r="K556" s="39"/>
      <c r="L556" s="39"/>
      <c r="M556" s="39"/>
      <c r="N556" s="39"/>
      <c r="O556" s="39"/>
      <c r="P556" s="39"/>
      <c r="Q556" s="39"/>
    </row>
    <row r="557">
      <c r="D557" s="49"/>
      <c r="K557" s="39"/>
      <c r="L557" s="39"/>
      <c r="M557" s="39"/>
      <c r="N557" s="39"/>
      <c r="O557" s="39"/>
      <c r="P557" s="39"/>
      <c r="Q557" s="39"/>
    </row>
    <row r="558">
      <c r="D558" s="49"/>
      <c r="K558" s="39"/>
      <c r="L558" s="39"/>
      <c r="M558" s="39"/>
      <c r="N558" s="39"/>
      <c r="O558" s="39"/>
      <c r="P558" s="39"/>
      <c r="Q558" s="39"/>
    </row>
    <row r="559">
      <c r="D559" s="49"/>
      <c r="K559" s="39"/>
      <c r="L559" s="39"/>
      <c r="M559" s="39"/>
      <c r="N559" s="39"/>
      <c r="O559" s="39"/>
      <c r="P559" s="39"/>
      <c r="Q559" s="39"/>
    </row>
    <row r="560">
      <c r="D560" s="49"/>
      <c r="K560" s="39"/>
      <c r="L560" s="39"/>
      <c r="M560" s="39"/>
      <c r="N560" s="39"/>
      <c r="O560" s="39"/>
      <c r="P560" s="39"/>
      <c r="Q560" s="39"/>
    </row>
    <row r="561">
      <c r="D561" s="49"/>
      <c r="K561" s="39"/>
      <c r="L561" s="39"/>
      <c r="M561" s="39"/>
      <c r="N561" s="39"/>
      <c r="O561" s="39"/>
      <c r="P561" s="39"/>
      <c r="Q561" s="39"/>
    </row>
    <row r="562">
      <c r="D562" s="49"/>
      <c r="K562" s="39"/>
      <c r="L562" s="39"/>
      <c r="M562" s="39"/>
      <c r="N562" s="39"/>
      <c r="O562" s="39"/>
      <c r="P562" s="39"/>
      <c r="Q562" s="39"/>
    </row>
    <row r="563">
      <c r="D563" s="49"/>
      <c r="K563" s="39"/>
      <c r="L563" s="39"/>
      <c r="M563" s="39"/>
      <c r="N563" s="39"/>
      <c r="O563" s="39"/>
      <c r="P563" s="39"/>
      <c r="Q563" s="39"/>
    </row>
    <row r="564">
      <c r="D564" s="49"/>
      <c r="K564" s="39"/>
      <c r="L564" s="39"/>
      <c r="M564" s="39"/>
      <c r="N564" s="39"/>
      <c r="O564" s="39"/>
      <c r="P564" s="39"/>
      <c r="Q564" s="39"/>
    </row>
    <row r="565">
      <c r="D565" s="49"/>
      <c r="K565" s="39"/>
      <c r="L565" s="39"/>
      <c r="M565" s="39"/>
      <c r="N565" s="39"/>
      <c r="O565" s="39"/>
      <c r="P565" s="39"/>
      <c r="Q565" s="39"/>
    </row>
    <row r="566">
      <c r="D566" s="49"/>
      <c r="K566" s="39"/>
      <c r="L566" s="39"/>
      <c r="M566" s="39"/>
      <c r="N566" s="39"/>
      <c r="O566" s="39"/>
      <c r="P566" s="39"/>
      <c r="Q566" s="39"/>
    </row>
    <row r="567">
      <c r="D567" s="49"/>
      <c r="K567" s="39"/>
      <c r="L567" s="39"/>
      <c r="M567" s="39"/>
      <c r="N567" s="39"/>
      <c r="O567" s="39"/>
      <c r="P567" s="39"/>
      <c r="Q567" s="39"/>
    </row>
    <row r="568">
      <c r="D568" s="49"/>
      <c r="K568" s="39"/>
      <c r="L568" s="39"/>
      <c r="M568" s="39"/>
      <c r="N568" s="39"/>
      <c r="O568" s="39"/>
      <c r="P568" s="39"/>
      <c r="Q568" s="39"/>
    </row>
    <row r="569">
      <c r="D569" s="49"/>
      <c r="K569" s="39"/>
      <c r="L569" s="39"/>
      <c r="M569" s="39"/>
      <c r="N569" s="39"/>
      <c r="O569" s="39"/>
      <c r="P569" s="39"/>
      <c r="Q569" s="39"/>
    </row>
    <row r="570">
      <c r="D570" s="49"/>
      <c r="K570" s="39"/>
      <c r="L570" s="39"/>
      <c r="M570" s="39"/>
      <c r="N570" s="39"/>
      <c r="O570" s="39"/>
      <c r="P570" s="39"/>
      <c r="Q570" s="39"/>
    </row>
    <row r="571">
      <c r="D571" s="49"/>
      <c r="K571" s="39"/>
      <c r="L571" s="39"/>
      <c r="M571" s="39"/>
      <c r="N571" s="39"/>
      <c r="O571" s="39"/>
      <c r="P571" s="39"/>
      <c r="Q571" s="39"/>
    </row>
    <row r="572">
      <c r="D572" s="49"/>
      <c r="K572" s="39"/>
      <c r="L572" s="39"/>
      <c r="M572" s="39"/>
      <c r="N572" s="39"/>
      <c r="O572" s="39"/>
      <c r="P572" s="39"/>
      <c r="Q572" s="39"/>
    </row>
    <row r="573">
      <c r="D573" s="49"/>
      <c r="K573" s="39"/>
      <c r="L573" s="39"/>
      <c r="M573" s="39"/>
      <c r="N573" s="39"/>
      <c r="O573" s="39"/>
      <c r="P573" s="39"/>
      <c r="Q573" s="39"/>
    </row>
    <row r="574">
      <c r="D574" s="49"/>
      <c r="K574" s="39"/>
      <c r="L574" s="39"/>
      <c r="M574" s="39"/>
      <c r="N574" s="39"/>
      <c r="O574" s="39"/>
      <c r="P574" s="39"/>
      <c r="Q574" s="39"/>
    </row>
    <row r="575">
      <c r="D575" s="49"/>
      <c r="K575" s="39"/>
      <c r="L575" s="39"/>
      <c r="M575" s="39"/>
      <c r="N575" s="39"/>
      <c r="O575" s="39"/>
      <c r="P575" s="39"/>
      <c r="Q575" s="39"/>
    </row>
    <row r="576">
      <c r="D576" s="49"/>
      <c r="K576" s="39"/>
      <c r="L576" s="39"/>
      <c r="M576" s="39"/>
      <c r="N576" s="39"/>
      <c r="O576" s="39"/>
      <c r="P576" s="39"/>
      <c r="Q576" s="39"/>
    </row>
    <row r="577">
      <c r="D577" s="49"/>
      <c r="K577" s="39"/>
      <c r="L577" s="39"/>
      <c r="M577" s="39"/>
      <c r="N577" s="39"/>
      <c r="O577" s="39"/>
      <c r="P577" s="39"/>
      <c r="Q577" s="39"/>
    </row>
    <row r="578">
      <c r="D578" s="49"/>
      <c r="K578" s="39"/>
      <c r="L578" s="39"/>
      <c r="M578" s="39"/>
      <c r="N578" s="39"/>
      <c r="O578" s="39"/>
      <c r="P578" s="39"/>
      <c r="Q578" s="39"/>
    </row>
    <row r="579">
      <c r="D579" s="49"/>
      <c r="K579" s="39"/>
      <c r="L579" s="39"/>
      <c r="M579" s="39"/>
      <c r="N579" s="39"/>
      <c r="O579" s="39"/>
      <c r="P579" s="39"/>
      <c r="Q579" s="39"/>
    </row>
    <row r="580">
      <c r="D580" s="49"/>
      <c r="K580" s="39"/>
      <c r="L580" s="39"/>
      <c r="M580" s="39"/>
      <c r="N580" s="39"/>
      <c r="O580" s="39"/>
      <c r="P580" s="39"/>
      <c r="Q580" s="39"/>
    </row>
    <row r="581">
      <c r="D581" s="49"/>
      <c r="K581" s="39"/>
      <c r="L581" s="39"/>
      <c r="M581" s="39"/>
      <c r="N581" s="39"/>
      <c r="O581" s="39"/>
      <c r="P581" s="39"/>
      <c r="Q581" s="39"/>
    </row>
    <row r="582">
      <c r="D582" s="49"/>
      <c r="K582" s="39"/>
      <c r="L582" s="39"/>
      <c r="M582" s="39"/>
      <c r="N582" s="39"/>
      <c r="O582" s="39"/>
      <c r="P582" s="39"/>
      <c r="Q582" s="39"/>
    </row>
    <row r="583">
      <c r="D583" s="49"/>
      <c r="K583" s="39"/>
      <c r="L583" s="39"/>
      <c r="M583" s="39"/>
      <c r="N583" s="39"/>
      <c r="O583" s="39"/>
      <c r="P583" s="39"/>
      <c r="Q583" s="39"/>
    </row>
    <row r="584">
      <c r="D584" s="49"/>
      <c r="K584" s="39"/>
      <c r="L584" s="39"/>
      <c r="M584" s="39"/>
      <c r="N584" s="39"/>
      <c r="O584" s="39"/>
      <c r="P584" s="39"/>
      <c r="Q584" s="39"/>
    </row>
    <row r="585">
      <c r="D585" s="49"/>
      <c r="K585" s="39"/>
      <c r="L585" s="39"/>
      <c r="M585" s="39"/>
      <c r="N585" s="39"/>
      <c r="O585" s="39"/>
      <c r="P585" s="39"/>
      <c r="Q585" s="39"/>
    </row>
    <row r="586">
      <c r="D586" s="49"/>
      <c r="K586" s="39"/>
      <c r="L586" s="39"/>
      <c r="M586" s="39"/>
      <c r="N586" s="39"/>
      <c r="O586" s="39"/>
      <c r="P586" s="39"/>
      <c r="Q586" s="39"/>
    </row>
    <row r="587">
      <c r="D587" s="49"/>
      <c r="K587" s="39"/>
      <c r="L587" s="39"/>
      <c r="M587" s="39"/>
      <c r="N587" s="39"/>
      <c r="O587" s="39"/>
      <c r="P587" s="39"/>
      <c r="Q587" s="39"/>
    </row>
    <row r="588">
      <c r="D588" s="49"/>
      <c r="K588" s="39"/>
      <c r="L588" s="39"/>
      <c r="M588" s="39"/>
      <c r="N588" s="39"/>
      <c r="O588" s="39"/>
      <c r="P588" s="39"/>
      <c r="Q588" s="39"/>
    </row>
    <row r="589">
      <c r="D589" s="49"/>
      <c r="K589" s="39"/>
      <c r="L589" s="39"/>
      <c r="M589" s="39"/>
      <c r="N589" s="39"/>
      <c r="O589" s="39"/>
      <c r="P589" s="39"/>
      <c r="Q589" s="39"/>
    </row>
    <row r="590">
      <c r="D590" s="49"/>
      <c r="K590" s="39"/>
      <c r="L590" s="39"/>
      <c r="M590" s="39"/>
      <c r="N590" s="39"/>
      <c r="O590" s="39"/>
      <c r="P590" s="39"/>
      <c r="Q590" s="39"/>
    </row>
    <row r="591">
      <c r="D591" s="49"/>
      <c r="K591" s="39"/>
      <c r="L591" s="39"/>
      <c r="M591" s="39"/>
      <c r="N591" s="39"/>
      <c r="O591" s="39"/>
      <c r="P591" s="39"/>
      <c r="Q591" s="39"/>
    </row>
    <row r="592">
      <c r="D592" s="49"/>
      <c r="K592" s="39"/>
      <c r="L592" s="39"/>
      <c r="M592" s="39"/>
      <c r="N592" s="39"/>
      <c r="O592" s="39"/>
      <c r="P592" s="39"/>
      <c r="Q592" s="39"/>
    </row>
    <row r="593">
      <c r="D593" s="49"/>
      <c r="K593" s="39"/>
      <c r="L593" s="39"/>
      <c r="M593" s="39"/>
      <c r="N593" s="39"/>
      <c r="O593" s="39"/>
      <c r="P593" s="39"/>
      <c r="Q593" s="39"/>
    </row>
    <row r="594">
      <c r="D594" s="49"/>
      <c r="K594" s="39"/>
      <c r="L594" s="39"/>
      <c r="M594" s="39"/>
      <c r="N594" s="39"/>
      <c r="O594" s="39"/>
      <c r="P594" s="39"/>
      <c r="Q594" s="39"/>
    </row>
    <row r="595">
      <c r="D595" s="49"/>
      <c r="K595" s="39"/>
      <c r="L595" s="39"/>
      <c r="M595" s="39"/>
      <c r="N595" s="39"/>
      <c r="O595" s="39"/>
      <c r="P595" s="39"/>
      <c r="Q595" s="39"/>
    </row>
    <row r="596">
      <c r="D596" s="49"/>
      <c r="K596" s="39"/>
      <c r="L596" s="39"/>
      <c r="M596" s="39"/>
      <c r="N596" s="39"/>
      <c r="O596" s="39"/>
      <c r="P596" s="39"/>
      <c r="Q596" s="39"/>
    </row>
    <row r="597">
      <c r="D597" s="49"/>
      <c r="K597" s="39"/>
      <c r="L597" s="39"/>
      <c r="M597" s="39"/>
      <c r="N597" s="39"/>
      <c r="O597" s="39"/>
      <c r="P597" s="39"/>
      <c r="Q597" s="39"/>
    </row>
    <row r="598">
      <c r="D598" s="49"/>
      <c r="K598" s="39"/>
      <c r="L598" s="39"/>
      <c r="M598" s="39"/>
      <c r="N598" s="39"/>
      <c r="O598" s="39"/>
      <c r="P598" s="39"/>
      <c r="Q598" s="39"/>
    </row>
    <row r="599">
      <c r="D599" s="49"/>
      <c r="K599" s="39"/>
      <c r="L599" s="39"/>
      <c r="M599" s="39"/>
      <c r="N599" s="39"/>
      <c r="O599" s="39"/>
      <c r="P599" s="39"/>
      <c r="Q599" s="39"/>
    </row>
    <row r="600">
      <c r="D600" s="49"/>
      <c r="K600" s="39"/>
      <c r="L600" s="39"/>
      <c r="M600" s="39"/>
      <c r="N600" s="39"/>
      <c r="O600" s="39"/>
      <c r="P600" s="39"/>
      <c r="Q600" s="39"/>
    </row>
    <row r="601">
      <c r="D601" s="49"/>
      <c r="K601" s="39"/>
      <c r="L601" s="39"/>
      <c r="M601" s="39"/>
      <c r="N601" s="39"/>
      <c r="O601" s="39"/>
      <c r="P601" s="39"/>
      <c r="Q601" s="39"/>
    </row>
    <row r="602">
      <c r="D602" s="49"/>
      <c r="K602" s="39"/>
      <c r="L602" s="39"/>
      <c r="M602" s="39"/>
      <c r="N602" s="39"/>
      <c r="O602" s="39"/>
      <c r="P602" s="39"/>
      <c r="Q602" s="39"/>
    </row>
    <row r="603">
      <c r="D603" s="49"/>
      <c r="K603" s="39"/>
      <c r="L603" s="39"/>
      <c r="M603" s="39"/>
      <c r="N603" s="39"/>
      <c r="O603" s="39"/>
      <c r="P603" s="39"/>
      <c r="Q603" s="39"/>
    </row>
    <row r="604">
      <c r="D604" s="49"/>
      <c r="K604" s="39"/>
      <c r="L604" s="39"/>
      <c r="M604" s="39"/>
      <c r="N604" s="39"/>
      <c r="O604" s="39"/>
      <c r="P604" s="39"/>
      <c r="Q604" s="39"/>
    </row>
    <row r="605">
      <c r="D605" s="49"/>
      <c r="K605" s="39"/>
      <c r="L605" s="39"/>
      <c r="M605" s="39"/>
      <c r="N605" s="39"/>
      <c r="O605" s="39"/>
      <c r="P605" s="39"/>
      <c r="Q605" s="39"/>
    </row>
    <row r="606">
      <c r="D606" s="49"/>
      <c r="K606" s="39"/>
      <c r="L606" s="39"/>
      <c r="M606" s="39"/>
      <c r="N606" s="39"/>
      <c r="O606" s="39"/>
      <c r="P606" s="39"/>
      <c r="Q606" s="39"/>
    </row>
    <row r="607">
      <c r="D607" s="49"/>
      <c r="K607" s="39"/>
      <c r="L607" s="39"/>
      <c r="M607" s="39"/>
      <c r="N607" s="39"/>
      <c r="O607" s="39"/>
      <c r="P607" s="39"/>
      <c r="Q607" s="39"/>
    </row>
    <row r="608">
      <c r="D608" s="49"/>
      <c r="K608" s="39"/>
      <c r="L608" s="39"/>
      <c r="M608" s="39"/>
      <c r="N608" s="39"/>
      <c r="O608" s="39"/>
      <c r="P608" s="39"/>
      <c r="Q608" s="39"/>
    </row>
    <row r="609">
      <c r="D609" s="49"/>
      <c r="K609" s="39"/>
      <c r="L609" s="39"/>
      <c r="M609" s="39"/>
      <c r="N609" s="39"/>
      <c r="O609" s="39"/>
      <c r="P609" s="39"/>
      <c r="Q609" s="39"/>
    </row>
    <row r="610">
      <c r="D610" s="49"/>
      <c r="K610" s="39"/>
      <c r="L610" s="39"/>
      <c r="M610" s="39"/>
      <c r="N610" s="39"/>
      <c r="O610" s="39"/>
      <c r="P610" s="39"/>
      <c r="Q610" s="39"/>
    </row>
    <row r="611">
      <c r="D611" s="49"/>
      <c r="K611" s="39"/>
      <c r="L611" s="39"/>
      <c r="M611" s="39"/>
      <c r="N611" s="39"/>
      <c r="O611" s="39"/>
      <c r="P611" s="39"/>
      <c r="Q611" s="39"/>
    </row>
    <row r="612">
      <c r="D612" s="49"/>
      <c r="K612" s="39"/>
      <c r="L612" s="39"/>
      <c r="M612" s="39"/>
      <c r="N612" s="39"/>
      <c r="O612" s="39"/>
      <c r="P612" s="39"/>
      <c r="Q612" s="39"/>
    </row>
    <row r="613">
      <c r="D613" s="49"/>
      <c r="K613" s="39"/>
      <c r="L613" s="39"/>
      <c r="M613" s="39"/>
      <c r="N613" s="39"/>
      <c r="O613" s="39"/>
      <c r="P613" s="39"/>
      <c r="Q613" s="39"/>
    </row>
    <row r="614">
      <c r="D614" s="49"/>
      <c r="K614" s="39"/>
      <c r="L614" s="39"/>
      <c r="M614" s="39"/>
      <c r="N614" s="39"/>
      <c r="O614" s="39"/>
      <c r="P614" s="39"/>
      <c r="Q614" s="39"/>
    </row>
    <row r="615">
      <c r="D615" s="49"/>
      <c r="K615" s="39"/>
      <c r="L615" s="39"/>
      <c r="M615" s="39"/>
      <c r="N615" s="39"/>
      <c r="O615" s="39"/>
      <c r="P615" s="39"/>
      <c r="Q615" s="39"/>
    </row>
    <row r="616">
      <c r="D616" s="49"/>
      <c r="K616" s="39"/>
      <c r="L616" s="39"/>
      <c r="M616" s="39"/>
      <c r="N616" s="39"/>
      <c r="O616" s="39"/>
      <c r="P616" s="39"/>
      <c r="Q616" s="39"/>
    </row>
    <row r="617">
      <c r="D617" s="49"/>
      <c r="K617" s="39"/>
      <c r="L617" s="39"/>
      <c r="M617" s="39"/>
      <c r="N617" s="39"/>
      <c r="O617" s="39"/>
      <c r="P617" s="39"/>
      <c r="Q617" s="39"/>
    </row>
    <row r="618">
      <c r="D618" s="49"/>
      <c r="K618" s="39"/>
      <c r="L618" s="39"/>
      <c r="M618" s="39"/>
      <c r="N618" s="39"/>
      <c r="O618" s="39"/>
      <c r="P618" s="39"/>
      <c r="Q618" s="39"/>
    </row>
    <row r="619">
      <c r="D619" s="49"/>
      <c r="K619" s="39"/>
      <c r="L619" s="39"/>
      <c r="M619" s="39"/>
      <c r="N619" s="39"/>
      <c r="O619" s="39"/>
      <c r="P619" s="39"/>
      <c r="Q619" s="39"/>
    </row>
    <row r="620">
      <c r="D620" s="49"/>
      <c r="K620" s="39"/>
      <c r="L620" s="39"/>
      <c r="M620" s="39"/>
      <c r="N620" s="39"/>
      <c r="O620" s="39"/>
      <c r="P620" s="39"/>
      <c r="Q620" s="39"/>
    </row>
    <row r="621">
      <c r="D621" s="49"/>
      <c r="K621" s="39"/>
      <c r="L621" s="39"/>
      <c r="M621" s="39"/>
      <c r="N621" s="39"/>
      <c r="O621" s="39"/>
      <c r="P621" s="39"/>
      <c r="Q621" s="39"/>
    </row>
    <row r="622">
      <c r="D622" s="49"/>
      <c r="K622" s="39"/>
      <c r="L622" s="39"/>
      <c r="M622" s="39"/>
      <c r="N622" s="39"/>
      <c r="O622" s="39"/>
      <c r="P622" s="39"/>
      <c r="Q622" s="39"/>
    </row>
    <row r="623">
      <c r="D623" s="49"/>
      <c r="K623" s="39"/>
      <c r="L623" s="39"/>
      <c r="M623" s="39"/>
      <c r="N623" s="39"/>
      <c r="O623" s="39"/>
      <c r="P623" s="39"/>
      <c r="Q623" s="39"/>
    </row>
    <row r="624">
      <c r="D624" s="49"/>
      <c r="K624" s="39"/>
      <c r="L624" s="39"/>
      <c r="M624" s="39"/>
      <c r="N624" s="39"/>
      <c r="O624" s="39"/>
      <c r="P624" s="39"/>
      <c r="Q624" s="39"/>
    </row>
    <row r="625">
      <c r="D625" s="49"/>
      <c r="K625" s="39"/>
      <c r="L625" s="39"/>
      <c r="M625" s="39"/>
      <c r="N625" s="39"/>
      <c r="O625" s="39"/>
      <c r="P625" s="39"/>
      <c r="Q625" s="39"/>
    </row>
    <row r="626">
      <c r="D626" s="49"/>
      <c r="K626" s="39"/>
      <c r="L626" s="39"/>
      <c r="M626" s="39"/>
      <c r="N626" s="39"/>
      <c r="O626" s="39"/>
      <c r="P626" s="39"/>
      <c r="Q626" s="39"/>
    </row>
    <row r="627">
      <c r="D627" s="49"/>
      <c r="K627" s="39"/>
      <c r="L627" s="39"/>
      <c r="M627" s="39"/>
      <c r="N627" s="39"/>
      <c r="O627" s="39"/>
      <c r="P627" s="39"/>
      <c r="Q627" s="39"/>
    </row>
    <row r="628">
      <c r="D628" s="49"/>
      <c r="K628" s="39"/>
      <c r="L628" s="39"/>
      <c r="M628" s="39"/>
      <c r="N628" s="39"/>
      <c r="O628" s="39"/>
      <c r="P628" s="39"/>
      <c r="Q628" s="39"/>
    </row>
    <row r="629">
      <c r="D629" s="49"/>
      <c r="K629" s="39"/>
      <c r="L629" s="39"/>
      <c r="M629" s="39"/>
      <c r="N629" s="39"/>
      <c r="O629" s="39"/>
      <c r="P629" s="39"/>
      <c r="Q629" s="39"/>
    </row>
    <row r="630">
      <c r="D630" s="49"/>
      <c r="K630" s="39"/>
      <c r="L630" s="39"/>
      <c r="M630" s="39"/>
      <c r="N630" s="39"/>
      <c r="O630" s="39"/>
      <c r="P630" s="39"/>
      <c r="Q630" s="39"/>
    </row>
    <row r="631">
      <c r="D631" s="49"/>
      <c r="K631" s="39"/>
      <c r="L631" s="39"/>
      <c r="M631" s="39"/>
      <c r="N631" s="39"/>
      <c r="O631" s="39"/>
      <c r="P631" s="39"/>
      <c r="Q631" s="39"/>
    </row>
    <row r="632">
      <c r="D632" s="49"/>
      <c r="K632" s="39"/>
      <c r="L632" s="39"/>
      <c r="M632" s="39"/>
      <c r="N632" s="39"/>
      <c r="O632" s="39"/>
      <c r="P632" s="39"/>
      <c r="Q632" s="39"/>
    </row>
    <row r="633">
      <c r="D633" s="49"/>
      <c r="K633" s="39"/>
      <c r="L633" s="39"/>
      <c r="M633" s="39"/>
      <c r="N633" s="39"/>
      <c r="O633" s="39"/>
      <c r="P633" s="39"/>
      <c r="Q633" s="39"/>
    </row>
    <row r="634">
      <c r="D634" s="49"/>
      <c r="K634" s="39"/>
      <c r="L634" s="39"/>
      <c r="M634" s="39"/>
      <c r="N634" s="39"/>
      <c r="O634" s="39"/>
      <c r="P634" s="39"/>
      <c r="Q634" s="39"/>
    </row>
    <row r="635">
      <c r="D635" s="49"/>
      <c r="K635" s="39"/>
      <c r="L635" s="39"/>
      <c r="M635" s="39"/>
      <c r="N635" s="39"/>
      <c r="O635" s="39"/>
      <c r="P635" s="39"/>
      <c r="Q635" s="39"/>
    </row>
    <row r="636">
      <c r="D636" s="49"/>
      <c r="K636" s="39"/>
      <c r="L636" s="39"/>
      <c r="M636" s="39"/>
      <c r="N636" s="39"/>
      <c r="O636" s="39"/>
      <c r="P636" s="39"/>
      <c r="Q636" s="39"/>
    </row>
    <row r="637">
      <c r="D637" s="49"/>
      <c r="K637" s="39"/>
      <c r="L637" s="39"/>
      <c r="M637" s="39"/>
      <c r="N637" s="39"/>
      <c r="O637" s="39"/>
      <c r="P637" s="39"/>
      <c r="Q637" s="39"/>
    </row>
    <row r="638">
      <c r="D638" s="49"/>
      <c r="K638" s="39"/>
      <c r="L638" s="39"/>
      <c r="M638" s="39"/>
      <c r="N638" s="39"/>
      <c r="O638" s="39"/>
      <c r="P638" s="39"/>
      <c r="Q638" s="39"/>
    </row>
    <row r="639">
      <c r="D639" s="49"/>
      <c r="K639" s="39"/>
      <c r="L639" s="39"/>
      <c r="M639" s="39"/>
      <c r="N639" s="39"/>
      <c r="O639" s="39"/>
      <c r="P639" s="39"/>
      <c r="Q639" s="39"/>
    </row>
    <row r="640">
      <c r="D640" s="49"/>
      <c r="K640" s="39"/>
      <c r="L640" s="39"/>
      <c r="M640" s="39"/>
      <c r="N640" s="39"/>
      <c r="O640" s="39"/>
      <c r="P640" s="39"/>
      <c r="Q640" s="39"/>
    </row>
    <row r="641">
      <c r="D641" s="49"/>
      <c r="K641" s="39"/>
      <c r="L641" s="39"/>
      <c r="M641" s="39"/>
      <c r="N641" s="39"/>
      <c r="O641" s="39"/>
      <c r="P641" s="39"/>
      <c r="Q641" s="39"/>
    </row>
    <row r="642">
      <c r="D642" s="49"/>
      <c r="K642" s="39"/>
      <c r="L642" s="39"/>
      <c r="M642" s="39"/>
      <c r="N642" s="39"/>
      <c r="O642" s="39"/>
      <c r="P642" s="39"/>
      <c r="Q642" s="39"/>
    </row>
    <row r="643">
      <c r="D643" s="49"/>
      <c r="K643" s="39"/>
      <c r="L643" s="39"/>
      <c r="M643" s="39"/>
      <c r="N643" s="39"/>
      <c r="O643" s="39"/>
      <c r="P643" s="39"/>
      <c r="Q643" s="39"/>
    </row>
    <row r="644">
      <c r="D644" s="49"/>
      <c r="K644" s="39"/>
      <c r="L644" s="39"/>
      <c r="M644" s="39"/>
      <c r="N644" s="39"/>
      <c r="O644" s="39"/>
      <c r="P644" s="39"/>
      <c r="Q644" s="39"/>
    </row>
    <row r="645">
      <c r="D645" s="49"/>
      <c r="K645" s="39"/>
      <c r="L645" s="39"/>
      <c r="M645" s="39"/>
      <c r="N645" s="39"/>
      <c r="O645" s="39"/>
      <c r="P645" s="39"/>
      <c r="Q645" s="39"/>
    </row>
    <row r="646">
      <c r="D646" s="49"/>
      <c r="K646" s="39"/>
      <c r="L646" s="39"/>
      <c r="M646" s="39"/>
      <c r="N646" s="39"/>
      <c r="O646" s="39"/>
      <c r="P646" s="39"/>
      <c r="Q646" s="39"/>
    </row>
    <row r="647">
      <c r="D647" s="49"/>
      <c r="K647" s="39"/>
      <c r="L647" s="39"/>
      <c r="M647" s="39"/>
      <c r="N647" s="39"/>
      <c r="O647" s="39"/>
      <c r="P647" s="39"/>
      <c r="Q647" s="39"/>
    </row>
    <row r="648">
      <c r="D648" s="49"/>
      <c r="K648" s="39"/>
      <c r="L648" s="39"/>
      <c r="M648" s="39"/>
      <c r="N648" s="39"/>
      <c r="O648" s="39"/>
      <c r="P648" s="39"/>
      <c r="Q648" s="39"/>
    </row>
    <row r="649">
      <c r="D649" s="49"/>
      <c r="K649" s="39"/>
      <c r="L649" s="39"/>
      <c r="M649" s="39"/>
      <c r="N649" s="39"/>
      <c r="O649" s="39"/>
      <c r="P649" s="39"/>
      <c r="Q649" s="39"/>
    </row>
    <row r="650">
      <c r="D650" s="49"/>
      <c r="K650" s="39"/>
      <c r="L650" s="39"/>
      <c r="M650" s="39"/>
      <c r="N650" s="39"/>
      <c r="O650" s="39"/>
      <c r="P650" s="39"/>
      <c r="Q650" s="39"/>
    </row>
    <row r="651">
      <c r="D651" s="49"/>
      <c r="K651" s="39"/>
      <c r="L651" s="39"/>
      <c r="M651" s="39"/>
      <c r="N651" s="39"/>
      <c r="O651" s="39"/>
      <c r="P651" s="39"/>
      <c r="Q651" s="39"/>
    </row>
    <row r="652">
      <c r="D652" s="49"/>
      <c r="K652" s="39"/>
      <c r="L652" s="39"/>
      <c r="M652" s="39"/>
      <c r="N652" s="39"/>
      <c r="O652" s="39"/>
      <c r="P652" s="39"/>
      <c r="Q652" s="39"/>
    </row>
    <row r="653">
      <c r="D653" s="49"/>
      <c r="K653" s="39"/>
      <c r="L653" s="39"/>
      <c r="M653" s="39"/>
      <c r="N653" s="39"/>
      <c r="O653" s="39"/>
      <c r="P653" s="39"/>
      <c r="Q653" s="39"/>
    </row>
    <row r="654">
      <c r="D654" s="49"/>
      <c r="K654" s="39"/>
      <c r="L654" s="39"/>
      <c r="M654" s="39"/>
      <c r="N654" s="39"/>
      <c r="O654" s="39"/>
      <c r="P654" s="39"/>
      <c r="Q654" s="39"/>
    </row>
    <row r="655">
      <c r="D655" s="49"/>
      <c r="K655" s="39"/>
      <c r="L655" s="39"/>
      <c r="M655" s="39"/>
      <c r="N655" s="39"/>
      <c r="O655" s="39"/>
      <c r="P655" s="39"/>
      <c r="Q655" s="39"/>
    </row>
    <row r="656">
      <c r="D656" s="49"/>
      <c r="K656" s="39"/>
      <c r="L656" s="39"/>
      <c r="M656" s="39"/>
      <c r="N656" s="39"/>
      <c r="O656" s="39"/>
      <c r="P656" s="39"/>
      <c r="Q656" s="39"/>
    </row>
    <row r="657">
      <c r="D657" s="49"/>
      <c r="K657" s="39"/>
      <c r="L657" s="39"/>
      <c r="M657" s="39"/>
      <c r="N657" s="39"/>
      <c r="O657" s="39"/>
      <c r="P657" s="39"/>
      <c r="Q657" s="39"/>
    </row>
    <row r="658">
      <c r="D658" s="49"/>
      <c r="K658" s="39"/>
      <c r="L658" s="39"/>
      <c r="M658" s="39"/>
      <c r="N658" s="39"/>
      <c r="O658" s="39"/>
      <c r="P658" s="39"/>
      <c r="Q658" s="39"/>
    </row>
    <row r="659">
      <c r="D659" s="49"/>
      <c r="K659" s="39"/>
      <c r="L659" s="39"/>
      <c r="M659" s="39"/>
      <c r="N659" s="39"/>
      <c r="O659" s="39"/>
      <c r="P659" s="39"/>
      <c r="Q659" s="39"/>
    </row>
    <row r="660">
      <c r="D660" s="49"/>
      <c r="K660" s="39"/>
      <c r="L660" s="39"/>
      <c r="M660" s="39"/>
      <c r="N660" s="39"/>
      <c r="O660" s="39"/>
      <c r="P660" s="39"/>
      <c r="Q660" s="39"/>
    </row>
    <row r="661">
      <c r="D661" s="49"/>
      <c r="K661" s="39"/>
      <c r="L661" s="39"/>
      <c r="M661" s="39"/>
      <c r="N661" s="39"/>
      <c r="O661" s="39"/>
      <c r="P661" s="39"/>
      <c r="Q661" s="39"/>
    </row>
    <row r="662">
      <c r="D662" s="49"/>
      <c r="K662" s="39"/>
      <c r="L662" s="39"/>
      <c r="M662" s="39"/>
      <c r="N662" s="39"/>
      <c r="O662" s="39"/>
      <c r="P662" s="39"/>
      <c r="Q662" s="39"/>
    </row>
    <row r="663">
      <c r="D663" s="49"/>
      <c r="K663" s="39"/>
      <c r="L663" s="39"/>
      <c r="M663" s="39"/>
      <c r="N663" s="39"/>
      <c r="O663" s="39"/>
      <c r="P663" s="39"/>
      <c r="Q663" s="39"/>
    </row>
    <row r="664">
      <c r="D664" s="49"/>
      <c r="K664" s="39"/>
      <c r="L664" s="39"/>
      <c r="M664" s="39"/>
      <c r="N664" s="39"/>
      <c r="O664" s="39"/>
      <c r="P664" s="39"/>
      <c r="Q664" s="39"/>
    </row>
    <row r="665">
      <c r="D665" s="49"/>
      <c r="K665" s="39"/>
      <c r="L665" s="39"/>
      <c r="M665" s="39"/>
      <c r="N665" s="39"/>
      <c r="O665" s="39"/>
      <c r="P665" s="39"/>
      <c r="Q665" s="39"/>
    </row>
    <row r="666">
      <c r="D666" s="49"/>
      <c r="K666" s="39"/>
      <c r="L666" s="39"/>
      <c r="M666" s="39"/>
      <c r="N666" s="39"/>
      <c r="O666" s="39"/>
      <c r="P666" s="39"/>
      <c r="Q666" s="39"/>
    </row>
    <row r="667">
      <c r="D667" s="49"/>
      <c r="K667" s="39"/>
      <c r="L667" s="39"/>
      <c r="M667" s="39"/>
      <c r="N667" s="39"/>
      <c r="O667" s="39"/>
      <c r="P667" s="39"/>
      <c r="Q667" s="39"/>
    </row>
    <row r="668">
      <c r="D668" s="49"/>
      <c r="K668" s="39"/>
      <c r="L668" s="39"/>
      <c r="M668" s="39"/>
      <c r="N668" s="39"/>
      <c r="O668" s="39"/>
      <c r="P668" s="39"/>
      <c r="Q668" s="39"/>
    </row>
    <row r="669">
      <c r="D669" s="49"/>
      <c r="K669" s="39"/>
      <c r="L669" s="39"/>
      <c r="M669" s="39"/>
      <c r="N669" s="39"/>
      <c r="O669" s="39"/>
      <c r="P669" s="39"/>
      <c r="Q669" s="39"/>
    </row>
    <row r="670">
      <c r="D670" s="49"/>
      <c r="K670" s="39"/>
      <c r="L670" s="39"/>
      <c r="M670" s="39"/>
      <c r="N670" s="39"/>
      <c r="O670" s="39"/>
      <c r="P670" s="39"/>
      <c r="Q670" s="39"/>
    </row>
    <row r="671">
      <c r="D671" s="49"/>
      <c r="K671" s="39"/>
      <c r="L671" s="39"/>
      <c r="M671" s="39"/>
      <c r="N671" s="39"/>
      <c r="O671" s="39"/>
      <c r="P671" s="39"/>
      <c r="Q671" s="39"/>
    </row>
    <row r="672">
      <c r="D672" s="49"/>
      <c r="K672" s="39"/>
      <c r="L672" s="39"/>
      <c r="M672" s="39"/>
      <c r="N672" s="39"/>
      <c r="O672" s="39"/>
      <c r="P672" s="39"/>
      <c r="Q672" s="39"/>
    </row>
    <row r="673">
      <c r="D673" s="49"/>
      <c r="K673" s="39"/>
      <c r="L673" s="39"/>
      <c r="M673" s="39"/>
      <c r="N673" s="39"/>
      <c r="O673" s="39"/>
      <c r="P673" s="39"/>
      <c r="Q673" s="39"/>
    </row>
    <row r="674">
      <c r="D674" s="49"/>
      <c r="K674" s="39"/>
      <c r="L674" s="39"/>
      <c r="M674" s="39"/>
      <c r="N674" s="39"/>
      <c r="O674" s="39"/>
      <c r="P674" s="39"/>
      <c r="Q674" s="39"/>
    </row>
    <row r="675">
      <c r="D675" s="49"/>
      <c r="K675" s="39"/>
      <c r="L675" s="39"/>
      <c r="M675" s="39"/>
      <c r="N675" s="39"/>
      <c r="O675" s="39"/>
      <c r="P675" s="39"/>
      <c r="Q675" s="39"/>
    </row>
    <row r="676">
      <c r="D676" s="49"/>
      <c r="K676" s="39"/>
      <c r="L676" s="39"/>
      <c r="M676" s="39"/>
      <c r="N676" s="39"/>
      <c r="O676" s="39"/>
      <c r="P676" s="39"/>
      <c r="Q676" s="39"/>
    </row>
    <row r="677">
      <c r="D677" s="49"/>
      <c r="K677" s="39"/>
      <c r="L677" s="39"/>
      <c r="M677" s="39"/>
      <c r="N677" s="39"/>
      <c r="O677" s="39"/>
      <c r="P677" s="39"/>
      <c r="Q677" s="39"/>
    </row>
    <row r="678">
      <c r="D678" s="49"/>
      <c r="K678" s="39"/>
      <c r="L678" s="39"/>
      <c r="M678" s="39"/>
      <c r="N678" s="39"/>
      <c r="O678" s="39"/>
      <c r="P678" s="39"/>
      <c r="Q678" s="39"/>
    </row>
    <row r="679">
      <c r="D679" s="49"/>
      <c r="K679" s="39"/>
      <c r="L679" s="39"/>
      <c r="M679" s="39"/>
      <c r="N679" s="39"/>
      <c r="O679" s="39"/>
      <c r="P679" s="39"/>
      <c r="Q679" s="39"/>
    </row>
    <row r="680">
      <c r="D680" s="49"/>
      <c r="K680" s="39"/>
      <c r="L680" s="39"/>
      <c r="M680" s="39"/>
      <c r="N680" s="39"/>
      <c r="O680" s="39"/>
      <c r="P680" s="39"/>
      <c r="Q680" s="39"/>
    </row>
    <row r="681">
      <c r="D681" s="49"/>
      <c r="K681" s="39"/>
      <c r="L681" s="39"/>
      <c r="M681" s="39"/>
      <c r="N681" s="39"/>
      <c r="O681" s="39"/>
      <c r="P681" s="39"/>
      <c r="Q681" s="39"/>
    </row>
    <row r="682">
      <c r="D682" s="49"/>
      <c r="K682" s="39"/>
      <c r="L682" s="39"/>
      <c r="M682" s="39"/>
      <c r="N682" s="39"/>
      <c r="O682" s="39"/>
      <c r="P682" s="39"/>
      <c r="Q682" s="39"/>
    </row>
    <row r="683">
      <c r="D683" s="49"/>
      <c r="K683" s="39"/>
      <c r="L683" s="39"/>
      <c r="M683" s="39"/>
      <c r="N683" s="39"/>
      <c r="O683" s="39"/>
      <c r="P683" s="39"/>
      <c r="Q683" s="39"/>
    </row>
    <row r="684">
      <c r="D684" s="49"/>
      <c r="K684" s="39"/>
      <c r="L684" s="39"/>
      <c r="M684" s="39"/>
      <c r="N684" s="39"/>
      <c r="O684" s="39"/>
      <c r="P684" s="39"/>
      <c r="Q684" s="39"/>
    </row>
    <row r="685">
      <c r="D685" s="49"/>
      <c r="K685" s="39"/>
      <c r="L685" s="39"/>
      <c r="M685" s="39"/>
      <c r="N685" s="39"/>
      <c r="O685" s="39"/>
      <c r="P685" s="39"/>
      <c r="Q685" s="39"/>
    </row>
    <row r="686">
      <c r="D686" s="49"/>
      <c r="K686" s="39"/>
      <c r="L686" s="39"/>
      <c r="M686" s="39"/>
      <c r="N686" s="39"/>
      <c r="O686" s="39"/>
      <c r="P686" s="39"/>
      <c r="Q686" s="39"/>
    </row>
    <row r="687">
      <c r="D687" s="49"/>
      <c r="K687" s="39"/>
      <c r="L687" s="39"/>
      <c r="M687" s="39"/>
      <c r="N687" s="39"/>
      <c r="O687" s="39"/>
      <c r="P687" s="39"/>
      <c r="Q687" s="39"/>
    </row>
    <row r="688">
      <c r="D688" s="49"/>
      <c r="K688" s="39"/>
      <c r="L688" s="39"/>
      <c r="M688" s="39"/>
      <c r="N688" s="39"/>
      <c r="O688" s="39"/>
      <c r="P688" s="39"/>
      <c r="Q688" s="39"/>
    </row>
    <row r="689">
      <c r="D689" s="49"/>
      <c r="K689" s="39"/>
      <c r="L689" s="39"/>
      <c r="M689" s="39"/>
      <c r="N689" s="39"/>
      <c r="O689" s="39"/>
      <c r="P689" s="39"/>
      <c r="Q689" s="39"/>
    </row>
    <row r="690">
      <c r="D690" s="49"/>
      <c r="K690" s="39"/>
      <c r="L690" s="39"/>
      <c r="M690" s="39"/>
      <c r="N690" s="39"/>
      <c r="O690" s="39"/>
      <c r="P690" s="39"/>
      <c r="Q690" s="39"/>
    </row>
    <row r="691">
      <c r="D691" s="49"/>
      <c r="K691" s="39"/>
      <c r="L691" s="39"/>
      <c r="M691" s="39"/>
      <c r="N691" s="39"/>
      <c r="O691" s="39"/>
      <c r="P691" s="39"/>
      <c r="Q691" s="39"/>
    </row>
    <row r="692">
      <c r="D692" s="49"/>
      <c r="K692" s="39"/>
      <c r="L692" s="39"/>
      <c r="M692" s="39"/>
      <c r="N692" s="39"/>
      <c r="O692" s="39"/>
      <c r="P692" s="39"/>
      <c r="Q692" s="39"/>
    </row>
    <row r="693">
      <c r="D693" s="49"/>
      <c r="K693" s="39"/>
      <c r="L693" s="39"/>
      <c r="M693" s="39"/>
      <c r="N693" s="39"/>
      <c r="O693" s="39"/>
      <c r="P693" s="39"/>
      <c r="Q693" s="39"/>
    </row>
    <row r="694">
      <c r="D694" s="49"/>
      <c r="K694" s="39"/>
      <c r="L694" s="39"/>
      <c r="M694" s="39"/>
      <c r="N694" s="39"/>
      <c r="O694" s="39"/>
      <c r="P694" s="39"/>
      <c r="Q694" s="39"/>
    </row>
    <row r="695">
      <c r="D695" s="49"/>
      <c r="K695" s="39"/>
      <c r="L695" s="39"/>
      <c r="M695" s="39"/>
      <c r="N695" s="39"/>
      <c r="O695" s="39"/>
      <c r="P695" s="39"/>
      <c r="Q695" s="39"/>
    </row>
    <row r="696">
      <c r="D696" s="49"/>
      <c r="K696" s="39"/>
      <c r="L696" s="39"/>
      <c r="M696" s="39"/>
      <c r="N696" s="39"/>
      <c r="O696" s="39"/>
      <c r="P696" s="39"/>
      <c r="Q696" s="39"/>
    </row>
    <row r="697">
      <c r="D697" s="49"/>
      <c r="K697" s="39"/>
      <c r="L697" s="39"/>
      <c r="M697" s="39"/>
      <c r="N697" s="39"/>
      <c r="O697" s="39"/>
      <c r="P697" s="39"/>
      <c r="Q697" s="39"/>
    </row>
    <row r="698">
      <c r="D698" s="49"/>
      <c r="K698" s="39"/>
      <c r="L698" s="39"/>
      <c r="M698" s="39"/>
      <c r="N698" s="39"/>
      <c r="O698" s="39"/>
      <c r="P698" s="39"/>
      <c r="Q698" s="39"/>
    </row>
    <row r="699">
      <c r="D699" s="49"/>
      <c r="K699" s="39"/>
      <c r="L699" s="39"/>
      <c r="M699" s="39"/>
      <c r="N699" s="39"/>
      <c r="O699" s="39"/>
      <c r="P699" s="39"/>
      <c r="Q699" s="39"/>
    </row>
    <row r="700">
      <c r="D700" s="49"/>
      <c r="K700" s="39"/>
      <c r="L700" s="39"/>
      <c r="M700" s="39"/>
      <c r="N700" s="39"/>
      <c r="O700" s="39"/>
      <c r="P700" s="39"/>
      <c r="Q700" s="39"/>
    </row>
    <row r="701">
      <c r="D701" s="49"/>
      <c r="K701" s="39"/>
      <c r="L701" s="39"/>
      <c r="M701" s="39"/>
      <c r="N701" s="39"/>
      <c r="O701" s="39"/>
      <c r="P701" s="39"/>
      <c r="Q701" s="39"/>
    </row>
    <row r="702">
      <c r="D702" s="49"/>
      <c r="K702" s="39"/>
      <c r="L702" s="39"/>
      <c r="M702" s="39"/>
      <c r="N702" s="39"/>
      <c r="O702" s="39"/>
      <c r="P702" s="39"/>
      <c r="Q702" s="39"/>
    </row>
    <row r="703">
      <c r="D703" s="49"/>
      <c r="K703" s="39"/>
      <c r="L703" s="39"/>
      <c r="M703" s="39"/>
      <c r="N703" s="39"/>
      <c r="O703" s="39"/>
      <c r="P703" s="39"/>
      <c r="Q703" s="39"/>
    </row>
    <row r="704">
      <c r="D704" s="49"/>
      <c r="K704" s="39"/>
      <c r="L704" s="39"/>
      <c r="M704" s="39"/>
      <c r="N704" s="39"/>
      <c r="O704" s="39"/>
      <c r="P704" s="39"/>
      <c r="Q704" s="39"/>
    </row>
    <row r="705">
      <c r="D705" s="49"/>
      <c r="K705" s="39"/>
      <c r="L705" s="39"/>
      <c r="M705" s="39"/>
      <c r="N705" s="39"/>
      <c r="O705" s="39"/>
      <c r="P705" s="39"/>
      <c r="Q705" s="39"/>
    </row>
    <row r="706">
      <c r="D706" s="49"/>
      <c r="K706" s="39"/>
      <c r="L706" s="39"/>
      <c r="M706" s="39"/>
      <c r="N706" s="39"/>
      <c r="O706" s="39"/>
      <c r="P706" s="39"/>
      <c r="Q706" s="39"/>
    </row>
    <row r="707">
      <c r="D707" s="49"/>
      <c r="K707" s="39"/>
      <c r="L707" s="39"/>
      <c r="M707" s="39"/>
      <c r="N707" s="39"/>
      <c r="O707" s="39"/>
      <c r="P707" s="39"/>
      <c r="Q707" s="39"/>
    </row>
    <row r="708">
      <c r="D708" s="49"/>
      <c r="K708" s="39"/>
      <c r="L708" s="39"/>
      <c r="M708" s="39"/>
      <c r="N708" s="39"/>
      <c r="O708" s="39"/>
      <c r="P708" s="39"/>
      <c r="Q708" s="39"/>
    </row>
    <row r="709">
      <c r="D709" s="49"/>
      <c r="K709" s="39"/>
      <c r="L709" s="39"/>
      <c r="M709" s="39"/>
      <c r="N709" s="39"/>
      <c r="O709" s="39"/>
      <c r="P709" s="39"/>
      <c r="Q709" s="39"/>
    </row>
    <row r="710">
      <c r="D710" s="49"/>
      <c r="K710" s="39"/>
      <c r="L710" s="39"/>
      <c r="M710" s="39"/>
      <c r="N710" s="39"/>
      <c r="O710" s="39"/>
      <c r="P710" s="39"/>
      <c r="Q710" s="39"/>
    </row>
    <row r="711">
      <c r="D711" s="49"/>
      <c r="K711" s="39"/>
      <c r="L711" s="39"/>
      <c r="M711" s="39"/>
      <c r="N711" s="39"/>
      <c r="O711" s="39"/>
      <c r="P711" s="39"/>
      <c r="Q711" s="39"/>
    </row>
    <row r="712">
      <c r="D712" s="49"/>
      <c r="K712" s="39"/>
      <c r="L712" s="39"/>
      <c r="M712" s="39"/>
      <c r="N712" s="39"/>
      <c r="O712" s="39"/>
      <c r="P712" s="39"/>
      <c r="Q712" s="39"/>
    </row>
    <row r="713">
      <c r="D713" s="49"/>
      <c r="K713" s="39"/>
      <c r="L713" s="39"/>
      <c r="M713" s="39"/>
      <c r="N713" s="39"/>
      <c r="O713" s="39"/>
      <c r="P713" s="39"/>
      <c r="Q713" s="39"/>
    </row>
    <row r="714">
      <c r="D714" s="49"/>
      <c r="K714" s="39"/>
      <c r="L714" s="39"/>
      <c r="M714" s="39"/>
      <c r="N714" s="39"/>
      <c r="O714" s="39"/>
      <c r="P714" s="39"/>
      <c r="Q714" s="39"/>
    </row>
    <row r="715">
      <c r="D715" s="49"/>
      <c r="K715" s="39"/>
      <c r="L715" s="39"/>
      <c r="M715" s="39"/>
      <c r="N715" s="39"/>
      <c r="O715" s="39"/>
      <c r="P715" s="39"/>
      <c r="Q715" s="39"/>
    </row>
    <row r="716">
      <c r="D716" s="49"/>
      <c r="K716" s="39"/>
      <c r="L716" s="39"/>
      <c r="M716" s="39"/>
      <c r="N716" s="39"/>
      <c r="O716" s="39"/>
      <c r="P716" s="39"/>
      <c r="Q716" s="39"/>
    </row>
    <row r="717">
      <c r="D717" s="49"/>
      <c r="K717" s="39"/>
      <c r="L717" s="39"/>
      <c r="M717" s="39"/>
      <c r="N717" s="39"/>
      <c r="O717" s="39"/>
      <c r="P717" s="39"/>
      <c r="Q717" s="39"/>
    </row>
    <row r="718">
      <c r="D718" s="49"/>
      <c r="K718" s="39"/>
      <c r="L718" s="39"/>
      <c r="M718" s="39"/>
      <c r="N718" s="39"/>
      <c r="O718" s="39"/>
      <c r="P718" s="39"/>
      <c r="Q718" s="39"/>
    </row>
    <row r="719">
      <c r="D719" s="49"/>
      <c r="K719" s="39"/>
      <c r="L719" s="39"/>
      <c r="M719" s="39"/>
      <c r="N719" s="39"/>
      <c r="O719" s="39"/>
      <c r="P719" s="39"/>
      <c r="Q719" s="39"/>
    </row>
    <row r="720">
      <c r="D720" s="49"/>
      <c r="K720" s="39"/>
      <c r="L720" s="39"/>
      <c r="M720" s="39"/>
      <c r="N720" s="39"/>
      <c r="O720" s="39"/>
      <c r="P720" s="39"/>
      <c r="Q720" s="39"/>
    </row>
    <row r="721">
      <c r="D721" s="49"/>
      <c r="K721" s="39"/>
      <c r="L721" s="39"/>
      <c r="M721" s="39"/>
      <c r="N721" s="39"/>
      <c r="O721" s="39"/>
      <c r="P721" s="39"/>
      <c r="Q721" s="39"/>
    </row>
    <row r="722">
      <c r="D722" s="49"/>
      <c r="K722" s="39"/>
      <c r="L722" s="39"/>
      <c r="M722" s="39"/>
      <c r="N722" s="39"/>
      <c r="O722" s="39"/>
      <c r="P722" s="39"/>
      <c r="Q722" s="39"/>
    </row>
    <row r="723">
      <c r="D723" s="49"/>
      <c r="K723" s="39"/>
      <c r="L723" s="39"/>
      <c r="M723" s="39"/>
      <c r="N723" s="39"/>
      <c r="O723" s="39"/>
      <c r="P723" s="39"/>
      <c r="Q723" s="39"/>
    </row>
    <row r="724">
      <c r="D724" s="49"/>
      <c r="K724" s="39"/>
      <c r="L724" s="39"/>
      <c r="M724" s="39"/>
      <c r="N724" s="39"/>
      <c r="O724" s="39"/>
      <c r="P724" s="39"/>
      <c r="Q724" s="39"/>
    </row>
    <row r="725">
      <c r="D725" s="49"/>
      <c r="K725" s="39"/>
      <c r="L725" s="39"/>
      <c r="M725" s="39"/>
      <c r="N725" s="39"/>
      <c r="O725" s="39"/>
      <c r="P725" s="39"/>
      <c r="Q725" s="39"/>
    </row>
    <row r="726">
      <c r="D726" s="49"/>
      <c r="K726" s="39"/>
      <c r="L726" s="39"/>
      <c r="M726" s="39"/>
      <c r="N726" s="39"/>
      <c r="O726" s="39"/>
      <c r="P726" s="39"/>
      <c r="Q726" s="39"/>
    </row>
    <row r="727">
      <c r="D727" s="49"/>
      <c r="K727" s="39"/>
      <c r="L727" s="39"/>
      <c r="M727" s="39"/>
      <c r="N727" s="39"/>
      <c r="O727" s="39"/>
      <c r="P727" s="39"/>
      <c r="Q727" s="39"/>
    </row>
    <row r="728">
      <c r="D728" s="49"/>
      <c r="K728" s="39"/>
      <c r="L728" s="39"/>
      <c r="M728" s="39"/>
      <c r="N728" s="39"/>
      <c r="O728" s="39"/>
      <c r="P728" s="39"/>
      <c r="Q728" s="39"/>
    </row>
    <row r="729">
      <c r="D729" s="49"/>
      <c r="K729" s="39"/>
      <c r="L729" s="39"/>
      <c r="M729" s="39"/>
      <c r="N729" s="39"/>
      <c r="O729" s="39"/>
      <c r="P729" s="39"/>
      <c r="Q729" s="39"/>
    </row>
    <row r="730">
      <c r="D730" s="49"/>
      <c r="K730" s="39"/>
      <c r="L730" s="39"/>
      <c r="M730" s="39"/>
      <c r="N730" s="39"/>
      <c r="O730" s="39"/>
      <c r="P730" s="39"/>
      <c r="Q730" s="39"/>
    </row>
    <row r="731">
      <c r="D731" s="49"/>
      <c r="K731" s="39"/>
      <c r="L731" s="39"/>
      <c r="M731" s="39"/>
      <c r="N731" s="39"/>
      <c r="O731" s="39"/>
      <c r="P731" s="39"/>
      <c r="Q731" s="39"/>
    </row>
    <row r="732">
      <c r="D732" s="49"/>
      <c r="K732" s="39"/>
      <c r="L732" s="39"/>
      <c r="M732" s="39"/>
      <c r="N732" s="39"/>
      <c r="O732" s="39"/>
      <c r="P732" s="39"/>
      <c r="Q732" s="39"/>
    </row>
    <row r="733">
      <c r="D733" s="49"/>
      <c r="K733" s="39"/>
      <c r="L733" s="39"/>
      <c r="M733" s="39"/>
      <c r="N733" s="39"/>
      <c r="O733" s="39"/>
      <c r="P733" s="39"/>
      <c r="Q733" s="39"/>
    </row>
    <row r="734">
      <c r="D734" s="49"/>
      <c r="K734" s="39"/>
      <c r="L734" s="39"/>
      <c r="M734" s="39"/>
      <c r="N734" s="39"/>
      <c r="O734" s="39"/>
      <c r="P734" s="39"/>
      <c r="Q734" s="39"/>
    </row>
    <row r="735">
      <c r="D735" s="49"/>
      <c r="K735" s="39"/>
      <c r="L735" s="39"/>
      <c r="M735" s="39"/>
      <c r="N735" s="39"/>
      <c r="O735" s="39"/>
      <c r="P735" s="39"/>
      <c r="Q735" s="39"/>
    </row>
    <row r="736">
      <c r="D736" s="49"/>
      <c r="K736" s="39"/>
      <c r="L736" s="39"/>
      <c r="M736" s="39"/>
      <c r="N736" s="39"/>
      <c r="O736" s="39"/>
      <c r="P736" s="39"/>
      <c r="Q736" s="39"/>
    </row>
    <row r="737">
      <c r="D737" s="49"/>
      <c r="K737" s="39"/>
      <c r="L737" s="39"/>
      <c r="M737" s="39"/>
      <c r="N737" s="39"/>
      <c r="O737" s="39"/>
      <c r="P737" s="39"/>
      <c r="Q737" s="39"/>
    </row>
    <row r="738">
      <c r="D738" s="49"/>
      <c r="K738" s="39"/>
      <c r="L738" s="39"/>
      <c r="M738" s="39"/>
      <c r="N738" s="39"/>
      <c r="O738" s="39"/>
      <c r="P738" s="39"/>
      <c r="Q738" s="39"/>
    </row>
    <row r="739">
      <c r="D739" s="49"/>
      <c r="K739" s="39"/>
      <c r="L739" s="39"/>
      <c r="M739" s="39"/>
      <c r="N739" s="39"/>
      <c r="O739" s="39"/>
      <c r="P739" s="39"/>
      <c r="Q739" s="39"/>
    </row>
    <row r="740">
      <c r="D740" s="49"/>
      <c r="K740" s="39"/>
      <c r="L740" s="39"/>
      <c r="M740" s="39"/>
      <c r="N740" s="39"/>
      <c r="O740" s="39"/>
      <c r="P740" s="39"/>
      <c r="Q740" s="39"/>
    </row>
    <row r="741">
      <c r="D741" s="49"/>
      <c r="K741" s="39"/>
      <c r="L741" s="39"/>
      <c r="M741" s="39"/>
      <c r="N741" s="39"/>
      <c r="O741" s="39"/>
      <c r="P741" s="39"/>
      <c r="Q741" s="39"/>
    </row>
    <row r="742">
      <c r="D742" s="49"/>
      <c r="K742" s="39"/>
      <c r="L742" s="39"/>
      <c r="M742" s="39"/>
      <c r="N742" s="39"/>
      <c r="O742" s="39"/>
      <c r="P742" s="39"/>
      <c r="Q742" s="39"/>
    </row>
    <row r="743">
      <c r="D743" s="49"/>
      <c r="K743" s="39"/>
      <c r="L743" s="39"/>
      <c r="M743" s="39"/>
      <c r="N743" s="39"/>
      <c r="O743" s="39"/>
      <c r="P743" s="39"/>
      <c r="Q743" s="39"/>
    </row>
    <row r="744">
      <c r="D744" s="49"/>
      <c r="K744" s="39"/>
      <c r="L744" s="39"/>
      <c r="M744" s="39"/>
      <c r="N744" s="39"/>
      <c r="O744" s="39"/>
      <c r="P744" s="39"/>
      <c r="Q744" s="39"/>
    </row>
    <row r="745">
      <c r="D745" s="49"/>
      <c r="K745" s="39"/>
      <c r="L745" s="39"/>
      <c r="M745" s="39"/>
      <c r="N745" s="39"/>
      <c r="O745" s="39"/>
      <c r="P745" s="39"/>
      <c r="Q745" s="39"/>
    </row>
    <row r="746">
      <c r="D746" s="49"/>
      <c r="K746" s="39"/>
      <c r="L746" s="39"/>
      <c r="M746" s="39"/>
      <c r="N746" s="39"/>
      <c r="O746" s="39"/>
      <c r="P746" s="39"/>
      <c r="Q746" s="39"/>
    </row>
    <row r="747">
      <c r="D747" s="49"/>
      <c r="K747" s="39"/>
      <c r="L747" s="39"/>
      <c r="M747" s="39"/>
      <c r="N747" s="39"/>
      <c r="O747" s="39"/>
      <c r="P747" s="39"/>
      <c r="Q747" s="39"/>
    </row>
    <row r="748">
      <c r="D748" s="49"/>
      <c r="K748" s="39"/>
      <c r="L748" s="39"/>
      <c r="M748" s="39"/>
      <c r="N748" s="39"/>
      <c r="O748" s="39"/>
      <c r="P748" s="39"/>
      <c r="Q748" s="39"/>
    </row>
    <row r="749">
      <c r="D749" s="49"/>
      <c r="K749" s="39"/>
      <c r="L749" s="39"/>
      <c r="M749" s="39"/>
      <c r="N749" s="39"/>
      <c r="O749" s="39"/>
      <c r="P749" s="39"/>
      <c r="Q749" s="39"/>
    </row>
    <row r="750">
      <c r="D750" s="49"/>
      <c r="K750" s="39"/>
      <c r="L750" s="39"/>
      <c r="M750" s="39"/>
      <c r="N750" s="39"/>
      <c r="O750" s="39"/>
      <c r="P750" s="39"/>
      <c r="Q750" s="39"/>
    </row>
    <row r="751">
      <c r="D751" s="49"/>
      <c r="K751" s="39"/>
      <c r="L751" s="39"/>
      <c r="M751" s="39"/>
      <c r="N751" s="39"/>
      <c r="O751" s="39"/>
      <c r="P751" s="39"/>
      <c r="Q751" s="39"/>
    </row>
    <row r="752">
      <c r="D752" s="49"/>
      <c r="K752" s="39"/>
      <c r="L752" s="39"/>
      <c r="M752" s="39"/>
      <c r="N752" s="39"/>
      <c r="O752" s="39"/>
      <c r="P752" s="39"/>
      <c r="Q752" s="39"/>
    </row>
    <row r="753">
      <c r="D753" s="49"/>
      <c r="K753" s="39"/>
      <c r="L753" s="39"/>
      <c r="M753" s="39"/>
      <c r="N753" s="39"/>
      <c r="O753" s="39"/>
      <c r="P753" s="39"/>
      <c r="Q753" s="39"/>
    </row>
    <row r="754">
      <c r="D754" s="49"/>
      <c r="K754" s="39"/>
      <c r="L754" s="39"/>
      <c r="M754" s="39"/>
      <c r="N754" s="39"/>
      <c r="O754" s="39"/>
      <c r="P754" s="39"/>
      <c r="Q754" s="39"/>
    </row>
    <row r="755">
      <c r="D755" s="49"/>
      <c r="K755" s="39"/>
      <c r="L755" s="39"/>
      <c r="M755" s="39"/>
      <c r="N755" s="39"/>
      <c r="O755" s="39"/>
      <c r="P755" s="39"/>
      <c r="Q755" s="39"/>
    </row>
    <row r="756">
      <c r="D756" s="49"/>
      <c r="K756" s="39"/>
      <c r="L756" s="39"/>
      <c r="M756" s="39"/>
      <c r="N756" s="39"/>
      <c r="O756" s="39"/>
      <c r="P756" s="39"/>
      <c r="Q756" s="39"/>
    </row>
    <row r="757">
      <c r="D757" s="49"/>
      <c r="K757" s="39"/>
      <c r="L757" s="39"/>
      <c r="M757" s="39"/>
      <c r="N757" s="39"/>
      <c r="O757" s="39"/>
      <c r="P757" s="39"/>
      <c r="Q757" s="39"/>
    </row>
    <row r="758">
      <c r="D758" s="49"/>
      <c r="K758" s="39"/>
      <c r="L758" s="39"/>
      <c r="M758" s="39"/>
      <c r="N758" s="39"/>
      <c r="O758" s="39"/>
      <c r="P758" s="39"/>
      <c r="Q758" s="39"/>
    </row>
    <row r="759">
      <c r="D759" s="49"/>
      <c r="K759" s="39"/>
      <c r="L759" s="39"/>
      <c r="M759" s="39"/>
      <c r="N759" s="39"/>
      <c r="O759" s="39"/>
      <c r="P759" s="39"/>
      <c r="Q759" s="39"/>
    </row>
    <row r="760">
      <c r="D760" s="49"/>
      <c r="K760" s="39"/>
      <c r="L760" s="39"/>
      <c r="M760" s="39"/>
      <c r="N760" s="39"/>
      <c r="O760" s="39"/>
      <c r="P760" s="39"/>
      <c r="Q760" s="39"/>
    </row>
    <row r="761">
      <c r="D761" s="49"/>
      <c r="K761" s="39"/>
      <c r="L761" s="39"/>
      <c r="M761" s="39"/>
      <c r="N761" s="39"/>
      <c r="O761" s="39"/>
      <c r="P761" s="39"/>
      <c r="Q761" s="39"/>
    </row>
    <row r="762">
      <c r="D762" s="49"/>
      <c r="K762" s="39"/>
      <c r="L762" s="39"/>
      <c r="M762" s="39"/>
      <c r="N762" s="39"/>
      <c r="O762" s="39"/>
      <c r="P762" s="39"/>
      <c r="Q762" s="39"/>
    </row>
    <row r="763">
      <c r="D763" s="49"/>
      <c r="K763" s="39"/>
      <c r="L763" s="39"/>
      <c r="M763" s="39"/>
      <c r="N763" s="39"/>
      <c r="O763" s="39"/>
      <c r="P763" s="39"/>
      <c r="Q763" s="39"/>
    </row>
    <row r="764">
      <c r="D764" s="49"/>
      <c r="K764" s="39"/>
      <c r="L764" s="39"/>
      <c r="M764" s="39"/>
      <c r="N764" s="39"/>
      <c r="O764" s="39"/>
      <c r="P764" s="39"/>
      <c r="Q764" s="39"/>
    </row>
    <row r="765">
      <c r="D765" s="49"/>
      <c r="K765" s="39"/>
      <c r="L765" s="39"/>
      <c r="M765" s="39"/>
      <c r="N765" s="39"/>
      <c r="O765" s="39"/>
      <c r="P765" s="39"/>
      <c r="Q765" s="39"/>
    </row>
    <row r="766">
      <c r="D766" s="49"/>
      <c r="K766" s="39"/>
      <c r="L766" s="39"/>
      <c r="M766" s="39"/>
      <c r="N766" s="39"/>
      <c r="O766" s="39"/>
      <c r="P766" s="39"/>
      <c r="Q766" s="39"/>
    </row>
    <row r="767">
      <c r="D767" s="49"/>
      <c r="K767" s="39"/>
      <c r="L767" s="39"/>
      <c r="M767" s="39"/>
      <c r="N767" s="39"/>
      <c r="O767" s="39"/>
      <c r="P767" s="39"/>
      <c r="Q767" s="39"/>
    </row>
    <row r="768">
      <c r="D768" s="49"/>
      <c r="K768" s="39"/>
      <c r="L768" s="39"/>
      <c r="M768" s="39"/>
      <c r="N768" s="39"/>
      <c r="O768" s="39"/>
      <c r="P768" s="39"/>
      <c r="Q768" s="39"/>
    </row>
    <row r="769">
      <c r="D769" s="49"/>
      <c r="K769" s="39"/>
      <c r="L769" s="39"/>
      <c r="M769" s="39"/>
      <c r="N769" s="39"/>
      <c r="O769" s="39"/>
      <c r="P769" s="39"/>
      <c r="Q769" s="39"/>
    </row>
    <row r="770">
      <c r="D770" s="49"/>
      <c r="K770" s="39"/>
      <c r="L770" s="39"/>
      <c r="M770" s="39"/>
      <c r="N770" s="39"/>
      <c r="O770" s="39"/>
      <c r="P770" s="39"/>
      <c r="Q770" s="39"/>
    </row>
    <row r="771">
      <c r="D771" s="49"/>
      <c r="K771" s="39"/>
      <c r="L771" s="39"/>
      <c r="M771" s="39"/>
      <c r="N771" s="39"/>
      <c r="O771" s="39"/>
      <c r="P771" s="39"/>
      <c r="Q771" s="39"/>
    </row>
    <row r="772">
      <c r="D772" s="49"/>
      <c r="K772" s="39"/>
      <c r="L772" s="39"/>
      <c r="M772" s="39"/>
      <c r="N772" s="39"/>
      <c r="O772" s="39"/>
      <c r="P772" s="39"/>
      <c r="Q772" s="39"/>
    </row>
    <row r="773">
      <c r="D773" s="49"/>
      <c r="K773" s="39"/>
      <c r="L773" s="39"/>
      <c r="M773" s="39"/>
      <c r="N773" s="39"/>
      <c r="O773" s="39"/>
      <c r="P773" s="39"/>
      <c r="Q773" s="39"/>
    </row>
    <row r="774">
      <c r="D774" s="49"/>
      <c r="K774" s="39"/>
      <c r="L774" s="39"/>
      <c r="M774" s="39"/>
      <c r="N774" s="39"/>
      <c r="O774" s="39"/>
      <c r="P774" s="39"/>
      <c r="Q774" s="39"/>
    </row>
    <row r="775">
      <c r="D775" s="49"/>
      <c r="K775" s="39"/>
      <c r="L775" s="39"/>
      <c r="M775" s="39"/>
      <c r="N775" s="39"/>
      <c r="O775" s="39"/>
      <c r="P775" s="39"/>
      <c r="Q775" s="39"/>
    </row>
    <row r="776">
      <c r="D776" s="49"/>
      <c r="K776" s="39"/>
      <c r="L776" s="39"/>
      <c r="M776" s="39"/>
      <c r="N776" s="39"/>
      <c r="O776" s="39"/>
      <c r="P776" s="39"/>
      <c r="Q776" s="39"/>
    </row>
    <row r="777">
      <c r="D777" s="49"/>
      <c r="K777" s="39"/>
      <c r="L777" s="39"/>
      <c r="M777" s="39"/>
      <c r="N777" s="39"/>
      <c r="O777" s="39"/>
      <c r="P777" s="39"/>
      <c r="Q777" s="39"/>
    </row>
    <row r="778">
      <c r="D778" s="49"/>
      <c r="K778" s="39"/>
      <c r="L778" s="39"/>
      <c r="M778" s="39"/>
      <c r="N778" s="39"/>
      <c r="O778" s="39"/>
      <c r="P778" s="39"/>
      <c r="Q778" s="39"/>
    </row>
    <row r="779">
      <c r="D779" s="49"/>
      <c r="K779" s="39"/>
      <c r="L779" s="39"/>
      <c r="M779" s="39"/>
      <c r="N779" s="39"/>
      <c r="O779" s="39"/>
      <c r="P779" s="39"/>
      <c r="Q779" s="39"/>
    </row>
    <row r="780">
      <c r="D780" s="49"/>
      <c r="K780" s="39"/>
      <c r="L780" s="39"/>
      <c r="M780" s="39"/>
      <c r="N780" s="39"/>
      <c r="O780" s="39"/>
      <c r="P780" s="39"/>
      <c r="Q780" s="39"/>
    </row>
    <row r="781">
      <c r="D781" s="49"/>
      <c r="K781" s="39"/>
      <c r="L781" s="39"/>
      <c r="M781" s="39"/>
      <c r="N781" s="39"/>
      <c r="O781" s="39"/>
      <c r="P781" s="39"/>
      <c r="Q781" s="39"/>
    </row>
    <row r="782">
      <c r="D782" s="49"/>
      <c r="K782" s="39"/>
      <c r="L782" s="39"/>
      <c r="M782" s="39"/>
      <c r="N782" s="39"/>
      <c r="O782" s="39"/>
      <c r="P782" s="39"/>
      <c r="Q782" s="39"/>
    </row>
    <row r="783">
      <c r="D783" s="49"/>
      <c r="K783" s="39"/>
      <c r="L783" s="39"/>
      <c r="M783" s="39"/>
      <c r="N783" s="39"/>
      <c r="O783" s="39"/>
      <c r="P783" s="39"/>
      <c r="Q783" s="39"/>
    </row>
    <row r="784">
      <c r="D784" s="49"/>
      <c r="K784" s="39"/>
      <c r="L784" s="39"/>
      <c r="M784" s="39"/>
      <c r="N784" s="39"/>
      <c r="O784" s="39"/>
      <c r="P784" s="39"/>
      <c r="Q784" s="39"/>
    </row>
    <row r="785">
      <c r="D785" s="49"/>
      <c r="K785" s="39"/>
      <c r="L785" s="39"/>
      <c r="M785" s="39"/>
      <c r="N785" s="39"/>
      <c r="O785" s="39"/>
      <c r="P785" s="39"/>
      <c r="Q785" s="39"/>
    </row>
    <row r="786">
      <c r="D786" s="49"/>
      <c r="K786" s="39"/>
      <c r="L786" s="39"/>
      <c r="M786" s="39"/>
      <c r="N786" s="39"/>
      <c r="O786" s="39"/>
      <c r="P786" s="39"/>
      <c r="Q786" s="39"/>
    </row>
    <row r="787">
      <c r="D787" s="49"/>
      <c r="K787" s="39"/>
      <c r="L787" s="39"/>
      <c r="M787" s="39"/>
      <c r="N787" s="39"/>
      <c r="O787" s="39"/>
      <c r="P787" s="39"/>
      <c r="Q787" s="39"/>
    </row>
    <row r="788">
      <c r="D788" s="49"/>
      <c r="K788" s="39"/>
      <c r="L788" s="39"/>
      <c r="M788" s="39"/>
      <c r="N788" s="39"/>
      <c r="O788" s="39"/>
      <c r="P788" s="39"/>
      <c r="Q788" s="39"/>
    </row>
    <row r="789">
      <c r="D789" s="49"/>
      <c r="K789" s="39"/>
      <c r="L789" s="39"/>
      <c r="M789" s="39"/>
      <c r="N789" s="39"/>
      <c r="O789" s="39"/>
      <c r="P789" s="39"/>
      <c r="Q789" s="39"/>
    </row>
    <row r="790">
      <c r="D790" s="49"/>
      <c r="K790" s="39"/>
      <c r="L790" s="39"/>
      <c r="M790" s="39"/>
      <c r="N790" s="39"/>
      <c r="O790" s="39"/>
      <c r="P790" s="39"/>
      <c r="Q790" s="39"/>
    </row>
    <row r="791">
      <c r="D791" s="49"/>
      <c r="K791" s="39"/>
      <c r="L791" s="39"/>
      <c r="M791" s="39"/>
      <c r="N791" s="39"/>
      <c r="O791" s="39"/>
      <c r="P791" s="39"/>
      <c r="Q791" s="39"/>
    </row>
    <row r="792">
      <c r="D792" s="49"/>
      <c r="K792" s="39"/>
      <c r="L792" s="39"/>
      <c r="M792" s="39"/>
      <c r="N792" s="39"/>
      <c r="O792" s="39"/>
      <c r="P792" s="39"/>
      <c r="Q792" s="39"/>
    </row>
    <row r="793">
      <c r="D793" s="49"/>
      <c r="K793" s="39"/>
      <c r="L793" s="39"/>
      <c r="M793" s="39"/>
      <c r="N793" s="39"/>
      <c r="O793" s="39"/>
      <c r="P793" s="39"/>
      <c r="Q793" s="39"/>
    </row>
    <row r="794">
      <c r="D794" s="49"/>
      <c r="K794" s="39"/>
      <c r="L794" s="39"/>
      <c r="M794" s="39"/>
      <c r="N794" s="39"/>
      <c r="O794" s="39"/>
      <c r="P794" s="39"/>
      <c r="Q794" s="39"/>
    </row>
    <row r="795">
      <c r="D795" s="49"/>
      <c r="K795" s="39"/>
      <c r="L795" s="39"/>
      <c r="M795" s="39"/>
      <c r="N795" s="39"/>
      <c r="O795" s="39"/>
      <c r="P795" s="39"/>
      <c r="Q795" s="39"/>
    </row>
    <row r="796">
      <c r="D796" s="49"/>
      <c r="K796" s="39"/>
      <c r="L796" s="39"/>
      <c r="M796" s="39"/>
      <c r="N796" s="39"/>
      <c r="O796" s="39"/>
      <c r="P796" s="39"/>
      <c r="Q796" s="39"/>
    </row>
    <row r="797">
      <c r="D797" s="49"/>
      <c r="K797" s="39"/>
      <c r="L797" s="39"/>
      <c r="M797" s="39"/>
      <c r="N797" s="39"/>
      <c r="O797" s="39"/>
      <c r="P797" s="39"/>
      <c r="Q797" s="39"/>
    </row>
    <row r="798">
      <c r="D798" s="49"/>
      <c r="K798" s="39"/>
      <c r="L798" s="39"/>
      <c r="M798" s="39"/>
      <c r="N798" s="39"/>
      <c r="O798" s="39"/>
      <c r="P798" s="39"/>
      <c r="Q798" s="39"/>
    </row>
    <row r="799">
      <c r="D799" s="49"/>
      <c r="K799" s="39"/>
      <c r="L799" s="39"/>
      <c r="M799" s="39"/>
      <c r="N799" s="39"/>
      <c r="O799" s="39"/>
      <c r="P799" s="39"/>
      <c r="Q799" s="39"/>
    </row>
    <row r="800">
      <c r="D800" s="49"/>
      <c r="K800" s="39"/>
      <c r="L800" s="39"/>
      <c r="M800" s="39"/>
      <c r="N800" s="39"/>
      <c r="O800" s="39"/>
      <c r="P800" s="39"/>
      <c r="Q800" s="39"/>
    </row>
    <row r="801">
      <c r="D801" s="49"/>
      <c r="K801" s="39"/>
      <c r="L801" s="39"/>
      <c r="M801" s="39"/>
      <c r="N801" s="39"/>
      <c r="O801" s="39"/>
      <c r="P801" s="39"/>
      <c r="Q801" s="39"/>
    </row>
    <row r="802">
      <c r="D802" s="49"/>
      <c r="K802" s="39"/>
      <c r="L802" s="39"/>
      <c r="M802" s="39"/>
      <c r="N802" s="39"/>
      <c r="O802" s="39"/>
      <c r="P802" s="39"/>
      <c r="Q802" s="39"/>
    </row>
    <row r="803">
      <c r="D803" s="49"/>
      <c r="K803" s="39"/>
      <c r="L803" s="39"/>
      <c r="M803" s="39"/>
      <c r="N803" s="39"/>
      <c r="O803" s="39"/>
      <c r="P803" s="39"/>
      <c r="Q803" s="39"/>
    </row>
    <row r="804">
      <c r="D804" s="49"/>
      <c r="K804" s="39"/>
      <c r="L804" s="39"/>
      <c r="M804" s="39"/>
      <c r="N804" s="39"/>
      <c r="O804" s="39"/>
      <c r="P804" s="39"/>
      <c r="Q804" s="39"/>
    </row>
    <row r="805">
      <c r="D805" s="49"/>
      <c r="K805" s="39"/>
      <c r="L805" s="39"/>
      <c r="M805" s="39"/>
      <c r="N805" s="39"/>
      <c r="O805" s="39"/>
      <c r="P805" s="39"/>
      <c r="Q805" s="39"/>
    </row>
    <row r="806">
      <c r="D806" s="49"/>
      <c r="K806" s="39"/>
      <c r="L806" s="39"/>
      <c r="M806" s="39"/>
      <c r="N806" s="39"/>
      <c r="O806" s="39"/>
      <c r="P806" s="39"/>
      <c r="Q806" s="39"/>
    </row>
    <row r="807">
      <c r="D807" s="49"/>
      <c r="K807" s="39"/>
      <c r="L807" s="39"/>
      <c r="M807" s="39"/>
      <c r="N807" s="39"/>
      <c r="O807" s="39"/>
      <c r="P807" s="39"/>
      <c r="Q807" s="39"/>
    </row>
    <row r="808">
      <c r="D808" s="49"/>
      <c r="K808" s="39"/>
      <c r="L808" s="39"/>
      <c r="M808" s="39"/>
      <c r="N808" s="39"/>
      <c r="O808" s="39"/>
      <c r="P808" s="39"/>
      <c r="Q808" s="39"/>
    </row>
    <row r="809">
      <c r="D809" s="49"/>
      <c r="K809" s="39"/>
      <c r="L809" s="39"/>
      <c r="M809" s="39"/>
      <c r="N809" s="39"/>
      <c r="O809" s="39"/>
      <c r="P809" s="39"/>
      <c r="Q809" s="39"/>
    </row>
    <row r="810">
      <c r="D810" s="49"/>
      <c r="K810" s="39"/>
      <c r="L810" s="39"/>
      <c r="M810" s="39"/>
      <c r="N810" s="39"/>
      <c r="O810" s="39"/>
      <c r="P810" s="39"/>
      <c r="Q810" s="39"/>
    </row>
    <row r="811">
      <c r="D811" s="49"/>
      <c r="K811" s="39"/>
      <c r="L811" s="39"/>
      <c r="M811" s="39"/>
      <c r="N811" s="39"/>
      <c r="O811" s="39"/>
      <c r="P811" s="39"/>
      <c r="Q811" s="39"/>
    </row>
    <row r="812">
      <c r="D812" s="49"/>
      <c r="K812" s="39"/>
      <c r="L812" s="39"/>
      <c r="M812" s="39"/>
      <c r="N812" s="39"/>
      <c r="O812" s="39"/>
      <c r="P812" s="39"/>
      <c r="Q812" s="39"/>
    </row>
    <row r="813">
      <c r="D813" s="49"/>
      <c r="K813" s="39"/>
      <c r="L813" s="39"/>
      <c r="M813" s="39"/>
      <c r="N813" s="39"/>
      <c r="O813" s="39"/>
      <c r="P813" s="39"/>
      <c r="Q813" s="39"/>
    </row>
    <row r="814">
      <c r="D814" s="49"/>
      <c r="K814" s="39"/>
      <c r="L814" s="39"/>
      <c r="M814" s="39"/>
      <c r="N814" s="39"/>
      <c r="O814" s="39"/>
      <c r="P814" s="39"/>
      <c r="Q814" s="39"/>
    </row>
    <row r="815">
      <c r="D815" s="49"/>
      <c r="K815" s="39"/>
      <c r="L815" s="39"/>
      <c r="M815" s="39"/>
      <c r="N815" s="39"/>
      <c r="O815" s="39"/>
      <c r="P815" s="39"/>
      <c r="Q815" s="39"/>
    </row>
    <row r="816">
      <c r="D816" s="49"/>
      <c r="K816" s="39"/>
      <c r="L816" s="39"/>
      <c r="M816" s="39"/>
      <c r="N816" s="39"/>
      <c r="O816" s="39"/>
      <c r="P816" s="39"/>
      <c r="Q816" s="39"/>
    </row>
    <row r="817">
      <c r="D817" s="49"/>
      <c r="K817" s="39"/>
      <c r="L817" s="39"/>
      <c r="M817" s="39"/>
      <c r="N817" s="39"/>
      <c r="O817" s="39"/>
      <c r="P817" s="39"/>
      <c r="Q817" s="39"/>
    </row>
    <row r="818">
      <c r="D818" s="49"/>
      <c r="K818" s="39"/>
      <c r="L818" s="39"/>
      <c r="M818" s="39"/>
      <c r="N818" s="39"/>
      <c r="O818" s="39"/>
      <c r="P818" s="39"/>
      <c r="Q818" s="39"/>
    </row>
    <row r="819">
      <c r="D819" s="49"/>
      <c r="K819" s="39"/>
      <c r="L819" s="39"/>
      <c r="M819" s="39"/>
      <c r="N819" s="39"/>
      <c r="O819" s="39"/>
      <c r="P819" s="39"/>
      <c r="Q819" s="39"/>
    </row>
    <row r="820">
      <c r="D820" s="49"/>
      <c r="K820" s="39"/>
      <c r="L820" s="39"/>
      <c r="M820" s="39"/>
      <c r="N820" s="39"/>
      <c r="O820" s="39"/>
      <c r="P820" s="39"/>
      <c r="Q820" s="39"/>
    </row>
    <row r="821">
      <c r="D821" s="49"/>
      <c r="K821" s="39"/>
      <c r="L821" s="39"/>
      <c r="M821" s="39"/>
      <c r="N821" s="39"/>
      <c r="O821" s="39"/>
      <c r="P821" s="39"/>
      <c r="Q821" s="39"/>
    </row>
    <row r="822">
      <c r="D822" s="49"/>
      <c r="K822" s="39"/>
      <c r="L822" s="39"/>
      <c r="M822" s="39"/>
      <c r="N822" s="39"/>
      <c r="O822" s="39"/>
      <c r="P822" s="39"/>
      <c r="Q822" s="39"/>
    </row>
    <row r="823">
      <c r="D823" s="49"/>
      <c r="K823" s="39"/>
      <c r="L823" s="39"/>
      <c r="M823" s="39"/>
      <c r="N823" s="39"/>
      <c r="O823" s="39"/>
      <c r="P823" s="39"/>
      <c r="Q823" s="39"/>
    </row>
    <row r="824">
      <c r="D824" s="49"/>
      <c r="K824" s="39"/>
      <c r="L824" s="39"/>
      <c r="M824" s="39"/>
      <c r="N824" s="39"/>
      <c r="O824" s="39"/>
      <c r="P824" s="39"/>
      <c r="Q824" s="39"/>
    </row>
    <row r="825">
      <c r="D825" s="49"/>
      <c r="K825" s="39"/>
      <c r="L825" s="39"/>
      <c r="M825" s="39"/>
      <c r="N825" s="39"/>
      <c r="O825" s="39"/>
      <c r="P825" s="39"/>
      <c r="Q825" s="39"/>
    </row>
    <row r="826">
      <c r="D826" s="49"/>
      <c r="K826" s="39"/>
      <c r="L826" s="39"/>
      <c r="M826" s="39"/>
      <c r="N826" s="39"/>
      <c r="O826" s="39"/>
      <c r="P826" s="39"/>
      <c r="Q826" s="39"/>
    </row>
    <row r="827">
      <c r="D827" s="49"/>
      <c r="K827" s="39"/>
      <c r="L827" s="39"/>
      <c r="M827" s="39"/>
      <c r="N827" s="39"/>
      <c r="O827" s="39"/>
      <c r="P827" s="39"/>
      <c r="Q827" s="39"/>
    </row>
    <row r="828">
      <c r="D828" s="49"/>
      <c r="K828" s="39"/>
      <c r="L828" s="39"/>
      <c r="M828" s="39"/>
      <c r="N828" s="39"/>
      <c r="O828" s="39"/>
      <c r="P828" s="39"/>
      <c r="Q828" s="39"/>
    </row>
    <row r="829">
      <c r="D829" s="49"/>
      <c r="K829" s="39"/>
      <c r="L829" s="39"/>
      <c r="M829" s="39"/>
      <c r="N829" s="39"/>
      <c r="O829" s="39"/>
      <c r="P829" s="39"/>
      <c r="Q829" s="39"/>
    </row>
    <row r="830">
      <c r="D830" s="49"/>
      <c r="K830" s="39"/>
      <c r="L830" s="39"/>
      <c r="M830" s="39"/>
      <c r="N830" s="39"/>
      <c r="O830" s="39"/>
      <c r="P830" s="39"/>
      <c r="Q830" s="39"/>
    </row>
    <row r="831">
      <c r="D831" s="49"/>
      <c r="K831" s="39"/>
      <c r="L831" s="39"/>
      <c r="M831" s="39"/>
      <c r="N831" s="39"/>
      <c r="O831" s="39"/>
      <c r="P831" s="39"/>
      <c r="Q831" s="39"/>
    </row>
    <row r="832">
      <c r="D832" s="49"/>
      <c r="K832" s="39"/>
      <c r="L832" s="39"/>
      <c r="M832" s="39"/>
      <c r="N832" s="39"/>
      <c r="O832" s="39"/>
      <c r="P832" s="39"/>
      <c r="Q832" s="39"/>
    </row>
    <row r="833">
      <c r="D833" s="49"/>
      <c r="K833" s="39"/>
      <c r="L833" s="39"/>
      <c r="M833" s="39"/>
      <c r="N833" s="39"/>
      <c r="O833" s="39"/>
      <c r="P833" s="39"/>
      <c r="Q833" s="39"/>
    </row>
    <row r="834">
      <c r="D834" s="49"/>
      <c r="K834" s="39"/>
      <c r="L834" s="39"/>
      <c r="M834" s="39"/>
      <c r="N834" s="39"/>
      <c r="O834" s="39"/>
      <c r="P834" s="39"/>
      <c r="Q834" s="39"/>
    </row>
    <row r="835">
      <c r="D835" s="49"/>
      <c r="K835" s="39"/>
      <c r="L835" s="39"/>
      <c r="M835" s="39"/>
      <c r="N835" s="39"/>
      <c r="O835" s="39"/>
      <c r="P835" s="39"/>
      <c r="Q835" s="39"/>
    </row>
    <row r="836">
      <c r="D836" s="49"/>
      <c r="K836" s="39"/>
      <c r="L836" s="39"/>
      <c r="M836" s="39"/>
      <c r="N836" s="39"/>
      <c r="O836" s="39"/>
      <c r="P836" s="39"/>
      <c r="Q836" s="39"/>
    </row>
    <row r="837">
      <c r="D837" s="49"/>
      <c r="K837" s="39"/>
      <c r="L837" s="39"/>
      <c r="M837" s="39"/>
      <c r="N837" s="39"/>
      <c r="O837" s="39"/>
      <c r="P837" s="39"/>
      <c r="Q837" s="39"/>
    </row>
    <row r="838">
      <c r="D838" s="49"/>
      <c r="K838" s="39"/>
      <c r="L838" s="39"/>
      <c r="M838" s="39"/>
      <c r="N838" s="39"/>
      <c r="O838" s="39"/>
      <c r="P838" s="39"/>
      <c r="Q838" s="39"/>
    </row>
    <row r="839">
      <c r="D839" s="49"/>
      <c r="K839" s="39"/>
      <c r="L839" s="39"/>
      <c r="M839" s="39"/>
      <c r="N839" s="39"/>
      <c r="O839" s="39"/>
      <c r="P839" s="39"/>
      <c r="Q839" s="39"/>
    </row>
    <row r="840">
      <c r="D840" s="49"/>
      <c r="K840" s="39"/>
      <c r="L840" s="39"/>
      <c r="M840" s="39"/>
      <c r="N840" s="39"/>
      <c r="O840" s="39"/>
      <c r="P840" s="39"/>
      <c r="Q840" s="39"/>
    </row>
    <row r="841">
      <c r="D841" s="49"/>
      <c r="K841" s="39"/>
      <c r="L841" s="39"/>
      <c r="M841" s="39"/>
      <c r="N841" s="39"/>
      <c r="O841" s="39"/>
      <c r="P841" s="39"/>
      <c r="Q841" s="39"/>
    </row>
    <row r="842">
      <c r="D842" s="49"/>
      <c r="K842" s="39"/>
      <c r="L842" s="39"/>
      <c r="M842" s="39"/>
      <c r="N842" s="39"/>
      <c r="O842" s="39"/>
      <c r="P842" s="39"/>
      <c r="Q842" s="39"/>
    </row>
    <row r="843">
      <c r="D843" s="49"/>
      <c r="K843" s="39"/>
      <c r="L843" s="39"/>
      <c r="M843" s="39"/>
      <c r="N843" s="39"/>
      <c r="O843" s="39"/>
      <c r="P843" s="39"/>
      <c r="Q843" s="39"/>
    </row>
    <row r="844">
      <c r="D844" s="49"/>
      <c r="K844" s="39"/>
      <c r="L844" s="39"/>
      <c r="M844" s="39"/>
      <c r="N844" s="39"/>
      <c r="O844" s="39"/>
      <c r="P844" s="39"/>
      <c r="Q844" s="39"/>
    </row>
    <row r="845">
      <c r="D845" s="49"/>
      <c r="K845" s="39"/>
      <c r="L845" s="39"/>
      <c r="M845" s="39"/>
      <c r="N845" s="39"/>
      <c r="O845" s="39"/>
      <c r="P845" s="39"/>
      <c r="Q845" s="39"/>
    </row>
    <row r="846">
      <c r="D846" s="49"/>
      <c r="K846" s="39"/>
      <c r="L846" s="39"/>
      <c r="M846" s="39"/>
      <c r="N846" s="39"/>
      <c r="O846" s="39"/>
      <c r="P846" s="39"/>
      <c r="Q846" s="39"/>
    </row>
    <row r="847">
      <c r="D847" s="49"/>
      <c r="K847" s="39"/>
      <c r="L847" s="39"/>
      <c r="M847" s="39"/>
      <c r="N847" s="39"/>
      <c r="O847" s="39"/>
      <c r="P847" s="39"/>
      <c r="Q847" s="39"/>
    </row>
    <row r="848">
      <c r="D848" s="49"/>
      <c r="K848" s="39"/>
      <c r="L848" s="39"/>
      <c r="M848" s="39"/>
      <c r="N848" s="39"/>
      <c r="O848" s="39"/>
      <c r="P848" s="39"/>
      <c r="Q848" s="39"/>
    </row>
    <row r="849">
      <c r="D849" s="49"/>
      <c r="K849" s="39"/>
      <c r="L849" s="39"/>
      <c r="M849" s="39"/>
      <c r="N849" s="39"/>
      <c r="O849" s="39"/>
      <c r="P849" s="39"/>
      <c r="Q849" s="39"/>
    </row>
    <row r="850">
      <c r="D850" s="49"/>
      <c r="K850" s="39"/>
      <c r="L850" s="39"/>
      <c r="M850" s="39"/>
      <c r="N850" s="39"/>
      <c r="O850" s="39"/>
      <c r="P850" s="39"/>
      <c r="Q850" s="39"/>
    </row>
    <row r="851">
      <c r="D851" s="49"/>
      <c r="K851" s="39"/>
      <c r="L851" s="39"/>
      <c r="M851" s="39"/>
      <c r="N851" s="39"/>
      <c r="O851" s="39"/>
      <c r="P851" s="39"/>
      <c r="Q851" s="39"/>
    </row>
    <row r="852">
      <c r="D852" s="49"/>
      <c r="K852" s="39"/>
      <c r="L852" s="39"/>
      <c r="M852" s="39"/>
      <c r="N852" s="39"/>
      <c r="O852" s="39"/>
      <c r="P852" s="39"/>
      <c r="Q852" s="39"/>
    </row>
    <row r="853">
      <c r="D853" s="49"/>
      <c r="K853" s="39"/>
      <c r="L853" s="39"/>
      <c r="M853" s="39"/>
      <c r="N853" s="39"/>
      <c r="O853" s="39"/>
      <c r="P853" s="39"/>
      <c r="Q853" s="39"/>
    </row>
    <row r="854">
      <c r="D854" s="49"/>
      <c r="K854" s="39"/>
      <c r="L854" s="39"/>
      <c r="M854" s="39"/>
      <c r="N854" s="39"/>
      <c r="O854" s="39"/>
      <c r="P854" s="39"/>
      <c r="Q854" s="39"/>
    </row>
    <row r="855">
      <c r="D855" s="49"/>
      <c r="K855" s="39"/>
      <c r="L855" s="39"/>
      <c r="M855" s="39"/>
      <c r="N855" s="39"/>
      <c r="O855" s="39"/>
      <c r="P855" s="39"/>
      <c r="Q855" s="39"/>
    </row>
    <row r="856">
      <c r="D856" s="49"/>
      <c r="K856" s="39"/>
      <c r="L856" s="39"/>
      <c r="M856" s="39"/>
      <c r="N856" s="39"/>
      <c r="O856" s="39"/>
      <c r="P856" s="39"/>
      <c r="Q856" s="39"/>
    </row>
    <row r="857">
      <c r="D857" s="49"/>
      <c r="K857" s="39"/>
      <c r="L857" s="39"/>
      <c r="M857" s="39"/>
      <c r="N857" s="39"/>
      <c r="O857" s="39"/>
      <c r="P857" s="39"/>
      <c r="Q857" s="39"/>
    </row>
    <row r="858">
      <c r="D858" s="49"/>
      <c r="K858" s="39"/>
      <c r="L858" s="39"/>
      <c r="M858" s="39"/>
      <c r="N858" s="39"/>
      <c r="O858" s="39"/>
      <c r="P858" s="39"/>
      <c r="Q858" s="39"/>
    </row>
    <row r="859">
      <c r="D859" s="49"/>
      <c r="K859" s="39"/>
      <c r="L859" s="39"/>
      <c r="M859" s="39"/>
      <c r="N859" s="39"/>
      <c r="O859" s="39"/>
      <c r="P859" s="39"/>
      <c r="Q859" s="39"/>
    </row>
    <row r="860">
      <c r="D860" s="49"/>
      <c r="K860" s="39"/>
      <c r="L860" s="39"/>
      <c r="M860" s="39"/>
      <c r="N860" s="39"/>
      <c r="O860" s="39"/>
      <c r="P860" s="39"/>
      <c r="Q860" s="39"/>
    </row>
    <row r="861">
      <c r="D861" s="49"/>
      <c r="K861" s="39"/>
      <c r="L861" s="39"/>
      <c r="M861" s="39"/>
      <c r="N861" s="39"/>
      <c r="O861" s="39"/>
      <c r="P861" s="39"/>
      <c r="Q861" s="39"/>
    </row>
    <row r="862">
      <c r="D862" s="49"/>
      <c r="K862" s="39"/>
      <c r="L862" s="39"/>
      <c r="M862" s="39"/>
      <c r="N862" s="39"/>
      <c r="O862" s="39"/>
      <c r="P862" s="39"/>
      <c r="Q862" s="39"/>
    </row>
    <row r="863">
      <c r="D863" s="49"/>
      <c r="K863" s="39"/>
      <c r="L863" s="39"/>
      <c r="M863" s="39"/>
      <c r="N863" s="39"/>
      <c r="O863" s="39"/>
      <c r="P863" s="39"/>
      <c r="Q863" s="39"/>
    </row>
    <row r="864">
      <c r="D864" s="49"/>
      <c r="K864" s="39"/>
      <c r="L864" s="39"/>
      <c r="M864" s="39"/>
      <c r="N864" s="39"/>
      <c r="O864" s="39"/>
      <c r="P864" s="39"/>
      <c r="Q864" s="39"/>
    </row>
    <row r="865">
      <c r="D865" s="49"/>
      <c r="K865" s="39"/>
      <c r="L865" s="39"/>
      <c r="M865" s="39"/>
      <c r="N865" s="39"/>
      <c r="O865" s="39"/>
      <c r="P865" s="39"/>
      <c r="Q865" s="39"/>
    </row>
    <row r="866">
      <c r="D866" s="49"/>
      <c r="K866" s="39"/>
      <c r="L866" s="39"/>
      <c r="M866" s="39"/>
      <c r="N866" s="39"/>
      <c r="O866" s="39"/>
      <c r="P866" s="39"/>
      <c r="Q866" s="39"/>
    </row>
    <row r="867">
      <c r="D867" s="49"/>
      <c r="K867" s="39"/>
      <c r="L867" s="39"/>
      <c r="M867" s="39"/>
      <c r="N867" s="39"/>
      <c r="O867" s="39"/>
      <c r="P867" s="39"/>
      <c r="Q867" s="39"/>
    </row>
    <row r="868">
      <c r="D868" s="49"/>
      <c r="K868" s="39"/>
      <c r="L868" s="39"/>
      <c r="M868" s="39"/>
      <c r="N868" s="39"/>
      <c r="O868" s="39"/>
      <c r="P868" s="39"/>
      <c r="Q868" s="39"/>
    </row>
    <row r="869">
      <c r="D869" s="49"/>
      <c r="K869" s="39"/>
      <c r="L869" s="39"/>
      <c r="M869" s="39"/>
      <c r="N869" s="39"/>
      <c r="O869" s="39"/>
      <c r="P869" s="39"/>
      <c r="Q869" s="39"/>
    </row>
    <row r="870">
      <c r="D870" s="49"/>
      <c r="K870" s="39"/>
      <c r="L870" s="39"/>
      <c r="M870" s="39"/>
      <c r="N870" s="39"/>
      <c r="O870" s="39"/>
      <c r="P870" s="39"/>
      <c r="Q870" s="39"/>
    </row>
    <row r="871">
      <c r="D871" s="49"/>
      <c r="K871" s="39"/>
      <c r="L871" s="39"/>
      <c r="M871" s="39"/>
      <c r="N871" s="39"/>
      <c r="O871" s="39"/>
      <c r="P871" s="39"/>
      <c r="Q871" s="39"/>
    </row>
    <row r="872">
      <c r="D872" s="49"/>
      <c r="K872" s="39"/>
      <c r="L872" s="39"/>
      <c r="M872" s="39"/>
      <c r="N872" s="39"/>
      <c r="O872" s="39"/>
      <c r="P872" s="39"/>
      <c r="Q872" s="39"/>
    </row>
    <row r="873">
      <c r="D873" s="49"/>
      <c r="K873" s="39"/>
      <c r="L873" s="39"/>
      <c r="M873" s="39"/>
      <c r="N873" s="39"/>
      <c r="O873" s="39"/>
      <c r="P873" s="39"/>
      <c r="Q873" s="39"/>
    </row>
    <row r="874">
      <c r="D874" s="49"/>
      <c r="K874" s="39"/>
      <c r="L874" s="39"/>
      <c r="M874" s="39"/>
      <c r="N874" s="39"/>
      <c r="O874" s="39"/>
      <c r="P874" s="39"/>
      <c r="Q874" s="39"/>
    </row>
    <row r="875">
      <c r="D875" s="49"/>
      <c r="K875" s="39"/>
      <c r="L875" s="39"/>
      <c r="M875" s="39"/>
      <c r="N875" s="39"/>
      <c r="O875" s="39"/>
      <c r="P875" s="39"/>
      <c r="Q875" s="39"/>
    </row>
    <row r="876">
      <c r="D876" s="49"/>
      <c r="K876" s="39"/>
      <c r="L876" s="39"/>
      <c r="M876" s="39"/>
      <c r="N876" s="39"/>
      <c r="O876" s="39"/>
      <c r="P876" s="39"/>
      <c r="Q876" s="39"/>
    </row>
    <row r="877">
      <c r="D877" s="49"/>
      <c r="K877" s="39"/>
      <c r="L877" s="39"/>
      <c r="M877" s="39"/>
      <c r="N877" s="39"/>
      <c r="O877" s="39"/>
      <c r="P877" s="39"/>
      <c r="Q877" s="39"/>
    </row>
    <row r="878">
      <c r="D878" s="49"/>
      <c r="K878" s="39"/>
      <c r="L878" s="39"/>
      <c r="M878" s="39"/>
      <c r="N878" s="39"/>
      <c r="O878" s="39"/>
      <c r="P878" s="39"/>
      <c r="Q878" s="39"/>
    </row>
    <row r="879">
      <c r="D879" s="49"/>
      <c r="K879" s="39"/>
      <c r="L879" s="39"/>
      <c r="M879" s="39"/>
      <c r="N879" s="39"/>
      <c r="O879" s="39"/>
      <c r="P879" s="39"/>
      <c r="Q879" s="39"/>
    </row>
    <row r="880">
      <c r="D880" s="49"/>
      <c r="K880" s="39"/>
      <c r="L880" s="39"/>
      <c r="M880" s="39"/>
      <c r="N880" s="39"/>
      <c r="O880" s="39"/>
      <c r="P880" s="39"/>
      <c r="Q880" s="39"/>
    </row>
    <row r="881">
      <c r="D881" s="49"/>
      <c r="K881" s="39"/>
      <c r="L881" s="39"/>
      <c r="M881" s="39"/>
      <c r="N881" s="39"/>
      <c r="O881" s="39"/>
      <c r="P881" s="39"/>
      <c r="Q881" s="39"/>
    </row>
    <row r="882">
      <c r="D882" s="49"/>
      <c r="K882" s="39"/>
      <c r="L882" s="39"/>
      <c r="M882" s="39"/>
      <c r="N882" s="39"/>
      <c r="O882" s="39"/>
      <c r="P882" s="39"/>
      <c r="Q882" s="39"/>
    </row>
    <row r="883">
      <c r="D883" s="49"/>
      <c r="K883" s="39"/>
      <c r="L883" s="39"/>
      <c r="M883" s="39"/>
      <c r="N883" s="39"/>
      <c r="O883" s="39"/>
      <c r="P883" s="39"/>
      <c r="Q883" s="39"/>
    </row>
    <row r="884">
      <c r="D884" s="49"/>
      <c r="K884" s="39"/>
      <c r="L884" s="39"/>
      <c r="M884" s="39"/>
      <c r="N884" s="39"/>
      <c r="O884" s="39"/>
      <c r="P884" s="39"/>
      <c r="Q884" s="39"/>
    </row>
    <row r="885">
      <c r="D885" s="49"/>
      <c r="K885" s="39"/>
      <c r="L885" s="39"/>
      <c r="M885" s="39"/>
      <c r="N885" s="39"/>
      <c r="O885" s="39"/>
      <c r="P885" s="39"/>
      <c r="Q885" s="39"/>
    </row>
    <row r="886">
      <c r="D886" s="49"/>
      <c r="K886" s="39"/>
      <c r="L886" s="39"/>
      <c r="M886" s="39"/>
      <c r="N886" s="39"/>
      <c r="O886" s="39"/>
      <c r="P886" s="39"/>
      <c r="Q886" s="39"/>
    </row>
    <row r="887">
      <c r="D887" s="49"/>
      <c r="K887" s="39"/>
      <c r="L887" s="39"/>
      <c r="M887" s="39"/>
      <c r="N887" s="39"/>
      <c r="O887" s="39"/>
      <c r="P887" s="39"/>
      <c r="Q887" s="39"/>
    </row>
    <row r="888">
      <c r="D888" s="49"/>
      <c r="K888" s="39"/>
      <c r="L888" s="39"/>
      <c r="M888" s="39"/>
      <c r="N888" s="39"/>
      <c r="O888" s="39"/>
      <c r="P888" s="39"/>
      <c r="Q888" s="39"/>
    </row>
    <row r="889">
      <c r="D889" s="49"/>
      <c r="K889" s="39"/>
      <c r="L889" s="39"/>
      <c r="M889" s="39"/>
      <c r="N889" s="39"/>
      <c r="O889" s="39"/>
      <c r="P889" s="39"/>
      <c r="Q889" s="39"/>
    </row>
    <row r="890">
      <c r="D890" s="49"/>
      <c r="K890" s="39"/>
      <c r="L890" s="39"/>
      <c r="M890" s="39"/>
      <c r="N890" s="39"/>
      <c r="O890" s="39"/>
      <c r="P890" s="39"/>
      <c r="Q890" s="39"/>
    </row>
    <row r="891">
      <c r="D891" s="49"/>
      <c r="K891" s="39"/>
      <c r="L891" s="39"/>
      <c r="M891" s="39"/>
      <c r="N891" s="39"/>
      <c r="O891" s="39"/>
      <c r="P891" s="39"/>
      <c r="Q891" s="39"/>
    </row>
    <row r="892">
      <c r="D892" s="49"/>
      <c r="K892" s="39"/>
      <c r="L892" s="39"/>
      <c r="M892" s="39"/>
      <c r="N892" s="39"/>
      <c r="O892" s="39"/>
      <c r="P892" s="39"/>
      <c r="Q892" s="39"/>
    </row>
    <row r="893">
      <c r="D893" s="49"/>
      <c r="K893" s="39"/>
      <c r="L893" s="39"/>
      <c r="M893" s="39"/>
      <c r="N893" s="39"/>
      <c r="O893" s="39"/>
      <c r="P893" s="39"/>
      <c r="Q893" s="39"/>
    </row>
    <row r="894">
      <c r="D894" s="49"/>
      <c r="K894" s="39"/>
      <c r="L894" s="39"/>
      <c r="M894" s="39"/>
      <c r="N894" s="39"/>
      <c r="O894" s="39"/>
      <c r="P894" s="39"/>
      <c r="Q894" s="39"/>
    </row>
    <row r="895">
      <c r="D895" s="49"/>
      <c r="K895" s="39"/>
      <c r="L895" s="39"/>
      <c r="M895" s="39"/>
      <c r="N895" s="39"/>
      <c r="O895" s="39"/>
      <c r="P895" s="39"/>
      <c r="Q895" s="39"/>
    </row>
    <row r="896">
      <c r="D896" s="49"/>
      <c r="K896" s="39"/>
      <c r="L896" s="39"/>
      <c r="M896" s="39"/>
      <c r="N896" s="39"/>
      <c r="O896" s="39"/>
      <c r="P896" s="39"/>
      <c r="Q896" s="39"/>
    </row>
    <row r="897">
      <c r="D897" s="49"/>
      <c r="K897" s="39"/>
      <c r="L897" s="39"/>
      <c r="M897" s="39"/>
      <c r="N897" s="39"/>
      <c r="O897" s="39"/>
      <c r="P897" s="39"/>
      <c r="Q897" s="39"/>
    </row>
    <row r="898">
      <c r="D898" s="49"/>
      <c r="K898" s="39"/>
      <c r="L898" s="39"/>
      <c r="M898" s="39"/>
      <c r="N898" s="39"/>
      <c r="O898" s="39"/>
      <c r="P898" s="39"/>
      <c r="Q898" s="39"/>
    </row>
    <row r="899">
      <c r="D899" s="49"/>
      <c r="K899" s="39"/>
      <c r="L899" s="39"/>
      <c r="M899" s="39"/>
      <c r="N899" s="39"/>
      <c r="O899" s="39"/>
      <c r="P899" s="39"/>
      <c r="Q899" s="39"/>
    </row>
    <row r="900">
      <c r="D900" s="49"/>
      <c r="K900" s="39"/>
      <c r="L900" s="39"/>
      <c r="M900" s="39"/>
      <c r="N900" s="39"/>
      <c r="O900" s="39"/>
      <c r="P900" s="39"/>
      <c r="Q900" s="39"/>
    </row>
    <row r="901">
      <c r="D901" s="49"/>
      <c r="K901" s="39"/>
      <c r="L901" s="39"/>
      <c r="M901" s="39"/>
      <c r="N901" s="39"/>
      <c r="O901" s="39"/>
      <c r="P901" s="39"/>
      <c r="Q901" s="39"/>
    </row>
    <row r="902">
      <c r="D902" s="49"/>
      <c r="K902" s="39"/>
      <c r="L902" s="39"/>
      <c r="M902" s="39"/>
      <c r="N902" s="39"/>
      <c r="O902" s="39"/>
      <c r="P902" s="39"/>
      <c r="Q902" s="39"/>
    </row>
    <row r="903">
      <c r="D903" s="49"/>
      <c r="K903" s="39"/>
      <c r="L903" s="39"/>
      <c r="M903" s="39"/>
      <c r="N903" s="39"/>
      <c r="O903" s="39"/>
      <c r="P903" s="39"/>
      <c r="Q903" s="39"/>
    </row>
    <row r="904">
      <c r="D904" s="49"/>
      <c r="K904" s="39"/>
      <c r="L904" s="39"/>
      <c r="M904" s="39"/>
      <c r="N904" s="39"/>
      <c r="O904" s="39"/>
      <c r="P904" s="39"/>
      <c r="Q904" s="39"/>
    </row>
    <row r="905">
      <c r="D905" s="49"/>
      <c r="K905" s="39"/>
      <c r="L905" s="39"/>
      <c r="M905" s="39"/>
      <c r="N905" s="39"/>
      <c r="O905" s="39"/>
      <c r="P905" s="39"/>
      <c r="Q905" s="39"/>
    </row>
    <row r="906">
      <c r="D906" s="49"/>
      <c r="K906" s="39"/>
      <c r="L906" s="39"/>
      <c r="M906" s="39"/>
      <c r="N906" s="39"/>
      <c r="O906" s="39"/>
      <c r="P906" s="39"/>
      <c r="Q906" s="39"/>
    </row>
    <row r="907">
      <c r="D907" s="49"/>
      <c r="K907" s="39"/>
      <c r="L907" s="39"/>
      <c r="M907" s="39"/>
      <c r="N907" s="39"/>
      <c r="O907" s="39"/>
      <c r="P907" s="39"/>
      <c r="Q907" s="39"/>
    </row>
    <row r="908">
      <c r="D908" s="49"/>
      <c r="K908" s="39"/>
      <c r="L908" s="39"/>
      <c r="M908" s="39"/>
      <c r="N908" s="39"/>
      <c r="O908" s="39"/>
      <c r="P908" s="39"/>
      <c r="Q908" s="39"/>
    </row>
    <row r="909">
      <c r="D909" s="49"/>
      <c r="K909" s="39"/>
      <c r="L909" s="39"/>
      <c r="M909" s="39"/>
      <c r="N909" s="39"/>
      <c r="O909" s="39"/>
      <c r="P909" s="39"/>
      <c r="Q909" s="39"/>
    </row>
    <row r="910">
      <c r="D910" s="49"/>
      <c r="K910" s="39"/>
      <c r="L910" s="39"/>
      <c r="M910" s="39"/>
      <c r="N910" s="39"/>
      <c r="O910" s="39"/>
      <c r="P910" s="39"/>
      <c r="Q910" s="39"/>
    </row>
    <row r="911">
      <c r="D911" s="49"/>
      <c r="K911" s="39"/>
      <c r="L911" s="39"/>
      <c r="M911" s="39"/>
      <c r="N911" s="39"/>
      <c r="O911" s="39"/>
      <c r="P911" s="39"/>
      <c r="Q911" s="39"/>
    </row>
    <row r="912">
      <c r="D912" s="49"/>
      <c r="K912" s="39"/>
      <c r="L912" s="39"/>
      <c r="M912" s="39"/>
      <c r="N912" s="39"/>
      <c r="O912" s="39"/>
      <c r="P912" s="39"/>
      <c r="Q912" s="39"/>
    </row>
    <row r="913">
      <c r="D913" s="49"/>
      <c r="K913" s="39"/>
      <c r="L913" s="39"/>
      <c r="M913" s="39"/>
      <c r="N913" s="39"/>
      <c r="O913" s="39"/>
      <c r="P913" s="39"/>
      <c r="Q913" s="39"/>
    </row>
    <row r="914">
      <c r="D914" s="49"/>
      <c r="K914" s="39"/>
      <c r="L914" s="39"/>
      <c r="M914" s="39"/>
      <c r="N914" s="39"/>
      <c r="O914" s="39"/>
      <c r="P914" s="39"/>
      <c r="Q914" s="39"/>
    </row>
    <row r="915">
      <c r="D915" s="49"/>
      <c r="K915" s="39"/>
      <c r="L915" s="39"/>
      <c r="M915" s="39"/>
      <c r="N915" s="39"/>
      <c r="O915" s="39"/>
      <c r="P915" s="39"/>
      <c r="Q915" s="39"/>
    </row>
    <row r="916">
      <c r="D916" s="49"/>
      <c r="K916" s="39"/>
      <c r="L916" s="39"/>
      <c r="M916" s="39"/>
      <c r="N916" s="39"/>
      <c r="O916" s="39"/>
      <c r="P916" s="39"/>
      <c r="Q916" s="39"/>
    </row>
    <row r="917">
      <c r="D917" s="49"/>
      <c r="K917" s="39"/>
      <c r="L917" s="39"/>
      <c r="M917" s="39"/>
      <c r="N917" s="39"/>
      <c r="O917" s="39"/>
      <c r="P917" s="39"/>
      <c r="Q917" s="39"/>
    </row>
    <row r="918">
      <c r="D918" s="49"/>
      <c r="K918" s="39"/>
      <c r="L918" s="39"/>
      <c r="M918" s="39"/>
      <c r="N918" s="39"/>
      <c r="O918" s="39"/>
      <c r="P918" s="39"/>
      <c r="Q918" s="39"/>
    </row>
    <row r="919">
      <c r="D919" s="49"/>
      <c r="K919" s="39"/>
      <c r="L919" s="39"/>
      <c r="M919" s="39"/>
      <c r="N919" s="39"/>
      <c r="O919" s="39"/>
      <c r="P919" s="39"/>
      <c r="Q919" s="39"/>
    </row>
    <row r="920">
      <c r="D920" s="49"/>
      <c r="K920" s="39"/>
      <c r="L920" s="39"/>
      <c r="M920" s="39"/>
      <c r="N920" s="39"/>
      <c r="O920" s="39"/>
      <c r="P920" s="39"/>
      <c r="Q920" s="39"/>
    </row>
    <row r="921">
      <c r="D921" s="49"/>
      <c r="K921" s="39"/>
      <c r="L921" s="39"/>
      <c r="M921" s="39"/>
      <c r="N921" s="39"/>
      <c r="O921" s="39"/>
      <c r="P921" s="39"/>
      <c r="Q921" s="39"/>
    </row>
    <row r="922">
      <c r="D922" s="49"/>
      <c r="K922" s="39"/>
      <c r="L922" s="39"/>
      <c r="M922" s="39"/>
      <c r="N922" s="39"/>
      <c r="O922" s="39"/>
      <c r="P922" s="39"/>
      <c r="Q922" s="39"/>
    </row>
    <row r="923">
      <c r="D923" s="49"/>
      <c r="K923" s="39"/>
      <c r="L923" s="39"/>
      <c r="M923" s="39"/>
      <c r="N923" s="39"/>
      <c r="O923" s="39"/>
      <c r="P923" s="39"/>
      <c r="Q923" s="39"/>
    </row>
    <row r="924">
      <c r="D924" s="49"/>
      <c r="K924" s="39"/>
      <c r="L924" s="39"/>
      <c r="M924" s="39"/>
      <c r="N924" s="39"/>
      <c r="O924" s="39"/>
      <c r="P924" s="39"/>
      <c r="Q924" s="39"/>
    </row>
    <row r="925">
      <c r="D925" s="49"/>
      <c r="K925" s="39"/>
      <c r="L925" s="39"/>
      <c r="M925" s="39"/>
      <c r="N925" s="39"/>
      <c r="O925" s="39"/>
      <c r="P925" s="39"/>
      <c r="Q925" s="39"/>
    </row>
    <row r="926">
      <c r="D926" s="49"/>
      <c r="K926" s="39"/>
      <c r="L926" s="39"/>
      <c r="M926" s="39"/>
      <c r="N926" s="39"/>
      <c r="O926" s="39"/>
      <c r="P926" s="39"/>
      <c r="Q926" s="39"/>
    </row>
    <row r="927">
      <c r="D927" s="49"/>
      <c r="K927" s="39"/>
      <c r="L927" s="39"/>
      <c r="M927" s="39"/>
      <c r="N927" s="39"/>
      <c r="O927" s="39"/>
      <c r="P927" s="39"/>
      <c r="Q927" s="39"/>
    </row>
    <row r="928">
      <c r="D928" s="49"/>
      <c r="K928" s="39"/>
      <c r="L928" s="39"/>
      <c r="M928" s="39"/>
      <c r="N928" s="39"/>
      <c r="O928" s="39"/>
      <c r="P928" s="39"/>
      <c r="Q928" s="39"/>
    </row>
    <row r="929">
      <c r="D929" s="49"/>
      <c r="K929" s="39"/>
      <c r="L929" s="39"/>
      <c r="M929" s="39"/>
      <c r="N929" s="39"/>
      <c r="O929" s="39"/>
      <c r="P929" s="39"/>
      <c r="Q929" s="39"/>
    </row>
    <row r="930">
      <c r="D930" s="49"/>
      <c r="K930" s="39"/>
      <c r="L930" s="39"/>
      <c r="M930" s="39"/>
      <c r="N930" s="39"/>
      <c r="O930" s="39"/>
      <c r="P930" s="39"/>
      <c r="Q930" s="39"/>
    </row>
    <row r="931">
      <c r="D931" s="49"/>
      <c r="K931" s="39"/>
      <c r="L931" s="39"/>
      <c r="M931" s="39"/>
      <c r="N931" s="39"/>
      <c r="O931" s="39"/>
      <c r="P931" s="39"/>
      <c r="Q931" s="39"/>
    </row>
    <row r="932">
      <c r="D932" s="49"/>
      <c r="K932" s="39"/>
      <c r="L932" s="39"/>
      <c r="M932" s="39"/>
      <c r="N932" s="39"/>
      <c r="O932" s="39"/>
      <c r="P932" s="39"/>
      <c r="Q932" s="39"/>
    </row>
    <row r="933">
      <c r="D933" s="49"/>
      <c r="K933" s="39"/>
      <c r="L933" s="39"/>
      <c r="M933" s="39"/>
      <c r="N933" s="39"/>
      <c r="O933" s="39"/>
      <c r="P933" s="39"/>
      <c r="Q933" s="39"/>
    </row>
    <row r="934">
      <c r="D934" s="49"/>
      <c r="K934" s="39"/>
      <c r="L934" s="39"/>
      <c r="M934" s="39"/>
      <c r="N934" s="39"/>
      <c r="O934" s="39"/>
      <c r="P934" s="39"/>
      <c r="Q934" s="39"/>
    </row>
    <row r="935">
      <c r="D935" s="49"/>
      <c r="K935" s="39"/>
      <c r="L935" s="39"/>
      <c r="M935" s="39"/>
      <c r="N935" s="39"/>
      <c r="O935" s="39"/>
      <c r="P935" s="39"/>
      <c r="Q935" s="39"/>
    </row>
    <row r="936">
      <c r="D936" s="49"/>
      <c r="K936" s="39"/>
      <c r="L936" s="39"/>
      <c r="M936" s="39"/>
      <c r="N936" s="39"/>
      <c r="O936" s="39"/>
      <c r="P936" s="39"/>
      <c r="Q936" s="39"/>
    </row>
    <row r="937">
      <c r="D937" s="49"/>
      <c r="K937" s="39"/>
      <c r="L937" s="39"/>
      <c r="M937" s="39"/>
      <c r="N937" s="39"/>
      <c r="O937" s="39"/>
      <c r="P937" s="39"/>
      <c r="Q937" s="39"/>
    </row>
    <row r="938">
      <c r="D938" s="49"/>
      <c r="K938" s="39"/>
      <c r="L938" s="39"/>
      <c r="M938" s="39"/>
      <c r="N938" s="39"/>
      <c r="O938" s="39"/>
      <c r="P938" s="39"/>
      <c r="Q938" s="39"/>
    </row>
    <row r="939">
      <c r="D939" s="49"/>
      <c r="K939" s="39"/>
      <c r="L939" s="39"/>
      <c r="M939" s="39"/>
      <c r="N939" s="39"/>
      <c r="O939" s="39"/>
      <c r="P939" s="39"/>
      <c r="Q939" s="39"/>
    </row>
    <row r="940">
      <c r="D940" s="49"/>
      <c r="K940" s="39"/>
      <c r="L940" s="39"/>
      <c r="M940" s="39"/>
      <c r="N940" s="39"/>
      <c r="O940" s="39"/>
      <c r="P940" s="39"/>
      <c r="Q940" s="39"/>
    </row>
    <row r="941">
      <c r="D941" s="49"/>
      <c r="K941" s="39"/>
      <c r="L941" s="39"/>
      <c r="M941" s="39"/>
      <c r="N941" s="39"/>
      <c r="O941" s="39"/>
      <c r="P941" s="39"/>
      <c r="Q941" s="39"/>
    </row>
    <row r="942">
      <c r="D942" s="49"/>
      <c r="K942" s="39"/>
      <c r="L942" s="39"/>
      <c r="M942" s="39"/>
      <c r="N942" s="39"/>
      <c r="O942" s="39"/>
      <c r="P942" s="39"/>
      <c r="Q942" s="39"/>
    </row>
    <row r="943">
      <c r="D943" s="49"/>
      <c r="K943" s="39"/>
      <c r="L943" s="39"/>
      <c r="M943" s="39"/>
      <c r="N943" s="39"/>
      <c r="O943" s="39"/>
      <c r="P943" s="39"/>
      <c r="Q943" s="39"/>
    </row>
    <row r="944">
      <c r="D944" s="49"/>
      <c r="K944" s="39"/>
      <c r="L944" s="39"/>
      <c r="M944" s="39"/>
      <c r="N944" s="39"/>
      <c r="O944" s="39"/>
      <c r="P944" s="39"/>
      <c r="Q944" s="39"/>
    </row>
    <row r="945">
      <c r="D945" s="49"/>
      <c r="K945" s="39"/>
      <c r="L945" s="39"/>
      <c r="M945" s="39"/>
      <c r="N945" s="39"/>
      <c r="O945" s="39"/>
      <c r="P945" s="39"/>
      <c r="Q945" s="39"/>
    </row>
    <row r="946">
      <c r="D946" s="49"/>
      <c r="K946" s="39"/>
      <c r="L946" s="39"/>
      <c r="M946" s="39"/>
      <c r="N946" s="39"/>
      <c r="O946" s="39"/>
      <c r="P946" s="39"/>
      <c r="Q946" s="39"/>
    </row>
    <row r="947">
      <c r="D947" s="49"/>
      <c r="K947" s="39"/>
      <c r="L947" s="39"/>
      <c r="M947" s="39"/>
      <c r="N947" s="39"/>
      <c r="O947" s="39"/>
      <c r="P947" s="39"/>
      <c r="Q947" s="39"/>
    </row>
    <row r="948">
      <c r="D948" s="49"/>
      <c r="K948" s="39"/>
      <c r="L948" s="39"/>
      <c r="M948" s="39"/>
      <c r="N948" s="39"/>
      <c r="O948" s="39"/>
      <c r="P948" s="39"/>
      <c r="Q948" s="39"/>
    </row>
    <row r="949">
      <c r="D949" s="49"/>
      <c r="K949" s="39"/>
      <c r="L949" s="39"/>
      <c r="M949" s="39"/>
      <c r="N949" s="39"/>
      <c r="O949" s="39"/>
      <c r="P949" s="39"/>
      <c r="Q949" s="39"/>
    </row>
    <row r="950">
      <c r="D950" s="49"/>
      <c r="K950" s="39"/>
      <c r="L950" s="39"/>
      <c r="M950" s="39"/>
      <c r="N950" s="39"/>
      <c r="O950" s="39"/>
      <c r="P950" s="39"/>
      <c r="Q950" s="39"/>
    </row>
    <row r="951">
      <c r="D951" s="49"/>
      <c r="K951" s="39"/>
      <c r="L951" s="39"/>
      <c r="M951" s="39"/>
      <c r="N951" s="39"/>
      <c r="O951" s="39"/>
      <c r="P951" s="39"/>
      <c r="Q951" s="39"/>
    </row>
    <row r="952">
      <c r="D952" s="49"/>
      <c r="K952" s="39"/>
      <c r="L952" s="39"/>
      <c r="M952" s="39"/>
      <c r="N952" s="39"/>
      <c r="O952" s="39"/>
      <c r="P952" s="39"/>
      <c r="Q952" s="39"/>
    </row>
    <row r="953">
      <c r="D953" s="49"/>
      <c r="K953" s="39"/>
      <c r="L953" s="39"/>
      <c r="M953" s="39"/>
      <c r="N953" s="39"/>
      <c r="O953" s="39"/>
      <c r="P953" s="39"/>
      <c r="Q953" s="39"/>
    </row>
    <row r="954">
      <c r="D954" s="49"/>
      <c r="K954" s="39"/>
      <c r="L954" s="39"/>
      <c r="M954" s="39"/>
      <c r="N954" s="39"/>
      <c r="O954" s="39"/>
      <c r="P954" s="39"/>
      <c r="Q954" s="39"/>
    </row>
    <row r="955">
      <c r="D955" s="49"/>
      <c r="K955" s="39"/>
      <c r="L955" s="39"/>
      <c r="M955" s="39"/>
      <c r="N955" s="39"/>
      <c r="O955" s="39"/>
      <c r="P955" s="39"/>
      <c r="Q955" s="39"/>
    </row>
    <row r="956">
      <c r="D956" s="49"/>
      <c r="K956" s="39"/>
      <c r="L956" s="39"/>
      <c r="M956" s="39"/>
      <c r="N956" s="39"/>
      <c r="O956" s="39"/>
      <c r="P956" s="39"/>
      <c r="Q956" s="39"/>
    </row>
    <row r="957">
      <c r="D957" s="49"/>
      <c r="K957" s="39"/>
      <c r="L957" s="39"/>
      <c r="M957" s="39"/>
      <c r="N957" s="39"/>
      <c r="O957" s="39"/>
      <c r="P957" s="39"/>
      <c r="Q957" s="39"/>
    </row>
    <row r="958">
      <c r="D958" s="49"/>
      <c r="K958" s="39"/>
      <c r="L958" s="39"/>
      <c r="M958" s="39"/>
      <c r="N958" s="39"/>
      <c r="O958" s="39"/>
      <c r="P958" s="39"/>
      <c r="Q958" s="39"/>
    </row>
    <row r="959">
      <c r="D959" s="49"/>
      <c r="K959" s="39"/>
      <c r="L959" s="39"/>
      <c r="M959" s="39"/>
      <c r="N959" s="39"/>
      <c r="O959" s="39"/>
      <c r="P959" s="39"/>
      <c r="Q959" s="39"/>
    </row>
    <row r="960">
      <c r="D960" s="49"/>
      <c r="K960" s="39"/>
      <c r="L960" s="39"/>
      <c r="M960" s="39"/>
      <c r="N960" s="39"/>
      <c r="O960" s="39"/>
      <c r="P960" s="39"/>
      <c r="Q960" s="39"/>
    </row>
    <row r="961">
      <c r="D961" s="49"/>
      <c r="K961" s="39"/>
      <c r="L961" s="39"/>
      <c r="M961" s="39"/>
      <c r="N961" s="39"/>
      <c r="O961" s="39"/>
      <c r="P961" s="39"/>
      <c r="Q961" s="39"/>
    </row>
    <row r="962">
      <c r="D962" s="49"/>
      <c r="K962" s="39"/>
      <c r="L962" s="39"/>
      <c r="M962" s="39"/>
      <c r="N962" s="39"/>
      <c r="O962" s="39"/>
      <c r="P962" s="39"/>
      <c r="Q962" s="39"/>
    </row>
    <row r="963">
      <c r="D963" s="49"/>
      <c r="K963" s="39"/>
      <c r="L963" s="39"/>
      <c r="M963" s="39"/>
      <c r="N963" s="39"/>
      <c r="O963" s="39"/>
      <c r="P963" s="39"/>
      <c r="Q963" s="39"/>
    </row>
    <row r="964">
      <c r="D964" s="49"/>
      <c r="K964" s="39"/>
      <c r="L964" s="39"/>
      <c r="M964" s="39"/>
      <c r="N964" s="39"/>
      <c r="O964" s="39"/>
      <c r="P964" s="39"/>
      <c r="Q964" s="39"/>
    </row>
    <row r="965">
      <c r="D965" s="49"/>
      <c r="K965" s="39"/>
      <c r="L965" s="39"/>
      <c r="M965" s="39"/>
      <c r="N965" s="39"/>
      <c r="O965" s="39"/>
      <c r="P965" s="39"/>
      <c r="Q965" s="39"/>
    </row>
    <row r="966">
      <c r="D966" s="49"/>
      <c r="K966" s="39"/>
      <c r="L966" s="39"/>
      <c r="M966" s="39"/>
      <c r="N966" s="39"/>
      <c r="O966" s="39"/>
      <c r="P966" s="39"/>
      <c r="Q966" s="39"/>
    </row>
    <row r="967">
      <c r="D967" s="49"/>
      <c r="K967" s="39"/>
      <c r="L967" s="39"/>
      <c r="M967" s="39"/>
      <c r="N967" s="39"/>
      <c r="O967" s="39"/>
      <c r="P967" s="39"/>
      <c r="Q967" s="39"/>
    </row>
    <row r="968">
      <c r="D968" s="49"/>
      <c r="K968" s="39"/>
      <c r="L968" s="39"/>
      <c r="M968" s="39"/>
      <c r="N968" s="39"/>
      <c r="O968" s="39"/>
      <c r="P968" s="39"/>
      <c r="Q968" s="39"/>
    </row>
    <row r="969">
      <c r="D969" s="49"/>
      <c r="K969" s="39"/>
      <c r="L969" s="39"/>
      <c r="M969" s="39"/>
      <c r="N969" s="39"/>
      <c r="O969" s="39"/>
      <c r="P969" s="39"/>
      <c r="Q969" s="39"/>
    </row>
    <row r="970">
      <c r="D970" s="49"/>
      <c r="K970" s="39"/>
      <c r="L970" s="39"/>
      <c r="M970" s="39"/>
      <c r="N970" s="39"/>
      <c r="O970" s="39"/>
      <c r="P970" s="39"/>
      <c r="Q970" s="39"/>
    </row>
    <row r="971">
      <c r="D971" s="49"/>
      <c r="K971" s="39"/>
      <c r="L971" s="39"/>
      <c r="M971" s="39"/>
      <c r="N971" s="39"/>
      <c r="O971" s="39"/>
      <c r="P971" s="39"/>
      <c r="Q971" s="39"/>
    </row>
    <row r="972">
      <c r="D972" s="49"/>
      <c r="K972" s="39"/>
      <c r="L972" s="39"/>
      <c r="M972" s="39"/>
      <c r="N972" s="39"/>
      <c r="O972" s="39"/>
      <c r="P972" s="39"/>
      <c r="Q972" s="39"/>
    </row>
    <row r="973">
      <c r="D973" s="49"/>
      <c r="K973" s="39"/>
      <c r="L973" s="39"/>
      <c r="M973" s="39"/>
      <c r="N973" s="39"/>
      <c r="O973" s="39"/>
      <c r="P973" s="39"/>
      <c r="Q973" s="39"/>
    </row>
    <row r="974">
      <c r="D974" s="49"/>
      <c r="K974" s="39"/>
      <c r="L974" s="39"/>
      <c r="M974" s="39"/>
      <c r="N974" s="39"/>
      <c r="O974" s="39"/>
      <c r="P974" s="39"/>
      <c r="Q974" s="39"/>
    </row>
    <row r="975">
      <c r="D975" s="49"/>
      <c r="K975" s="39"/>
      <c r="L975" s="39"/>
      <c r="M975" s="39"/>
      <c r="N975" s="39"/>
      <c r="O975" s="39"/>
      <c r="P975" s="39"/>
      <c r="Q975" s="39"/>
    </row>
    <row r="976">
      <c r="D976" s="49"/>
      <c r="K976" s="39"/>
      <c r="L976" s="39"/>
      <c r="M976" s="39"/>
      <c r="N976" s="39"/>
      <c r="O976" s="39"/>
      <c r="P976" s="39"/>
      <c r="Q976" s="39"/>
    </row>
    <row r="977">
      <c r="D977" s="49"/>
      <c r="K977" s="39"/>
      <c r="L977" s="39"/>
      <c r="M977" s="39"/>
      <c r="N977" s="39"/>
      <c r="O977" s="39"/>
      <c r="P977" s="39"/>
      <c r="Q977" s="39"/>
    </row>
    <row r="978">
      <c r="D978" s="49"/>
      <c r="K978" s="39"/>
      <c r="L978" s="39"/>
      <c r="M978" s="39"/>
      <c r="N978" s="39"/>
      <c r="O978" s="39"/>
      <c r="P978" s="39"/>
      <c r="Q978" s="39"/>
    </row>
    <row r="979">
      <c r="D979" s="49"/>
      <c r="K979" s="39"/>
      <c r="L979" s="39"/>
      <c r="M979" s="39"/>
      <c r="N979" s="39"/>
      <c r="O979" s="39"/>
      <c r="P979" s="39"/>
      <c r="Q979" s="39"/>
    </row>
    <row r="980">
      <c r="D980" s="49"/>
      <c r="K980" s="39"/>
      <c r="L980" s="39"/>
      <c r="M980" s="39"/>
      <c r="N980" s="39"/>
      <c r="O980" s="39"/>
      <c r="P980" s="39"/>
      <c r="Q980" s="39"/>
    </row>
    <row r="981">
      <c r="D981" s="49"/>
      <c r="K981" s="39"/>
      <c r="L981" s="39"/>
      <c r="M981" s="39"/>
      <c r="N981" s="39"/>
      <c r="O981" s="39"/>
      <c r="P981" s="39"/>
      <c r="Q981" s="39"/>
    </row>
    <row r="982">
      <c r="D982" s="49"/>
      <c r="K982" s="39"/>
      <c r="L982" s="39"/>
      <c r="M982" s="39"/>
      <c r="N982" s="39"/>
      <c r="O982" s="39"/>
      <c r="P982" s="39"/>
      <c r="Q982" s="39"/>
    </row>
    <row r="983">
      <c r="D983" s="49"/>
      <c r="K983" s="39"/>
      <c r="L983" s="39"/>
      <c r="M983" s="39"/>
      <c r="N983" s="39"/>
      <c r="O983" s="39"/>
      <c r="P983" s="39"/>
      <c r="Q983" s="39"/>
    </row>
    <row r="984">
      <c r="D984" s="49"/>
      <c r="K984" s="39"/>
      <c r="L984" s="39"/>
      <c r="M984" s="39"/>
      <c r="N984" s="39"/>
      <c r="O984" s="39"/>
      <c r="P984" s="39"/>
      <c r="Q984" s="39"/>
    </row>
    <row r="985">
      <c r="D985" s="49"/>
      <c r="K985" s="39"/>
      <c r="L985" s="39"/>
      <c r="M985" s="39"/>
      <c r="N985" s="39"/>
      <c r="O985" s="39"/>
      <c r="P985" s="39"/>
      <c r="Q985" s="39"/>
    </row>
    <row r="986">
      <c r="D986" s="49"/>
      <c r="K986" s="39"/>
      <c r="L986" s="39"/>
      <c r="M986" s="39"/>
      <c r="N986" s="39"/>
      <c r="O986" s="39"/>
      <c r="P986" s="39"/>
      <c r="Q986" s="39"/>
    </row>
    <row r="987">
      <c r="D987" s="49"/>
      <c r="K987" s="39"/>
      <c r="L987" s="39"/>
      <c r="M987" s="39"/>
      <c r="N987" s="39"/>
      <c r="O987" s="39"/>
      <c r="P987" s="39"/>
      <c r="Q987" s="39"/>
    </row>
    <row r="988">
      <c r="D988" s="49"/>
      <c r="K988" s="39"/>
      <c r="L988" s="39"/>
      <c r="M988" s="39"/>
      <c r="N988" s="39"/>
      <c r="O988" s="39"/>
      <c r="P988" s="39"/>
      <c r="Q988" s="39"/>
    </row>
    <row r="989">
      <c r="D989" s="49"/>
      <c r="K989" s="39"/>
      <c r="L989" s="39"/>
      <c r="M989" s="39"/>
      <c r="N989" s="39"/>
      <c r="O989" s="39"/>
      <c r="P989" s="39"/>
      <c r="Q989" s="39"/>
    </row>
    <row r="990">
      <c r="D990" s="49"/>
      <c r="K990" s="39"/>
      <c r="L990" s="39"/>
      <c r="M990" s="39"/>
      <c r="N990" s="39"/>
      <c r="O990" s="39"/>
      <c r="P990" s="39"/>
      <c r="Q990" s="39"/>
    </row>
    <row r="991">
      <c r="D991" s="49"/>
      <c r="K991" s="39"/>
      <c r="L991" s="39"/>
      <c r="M991" s="39"/>
      <c r="N991" s="39"/>
      <c r="O991" s="39"/>
      <c r="P991" s="39"/>
      <c r="Q991" s="39"/>
    </row>
    <row r="992">
      <c r="D992" s="49"/>
      <c r="K992" s="39"/>
      <c r="L992" s="39"/>
      <c r="M992" s="39"/>
      <c r="N992" s="39"/>
      <c r="O992" s="39"/>
      <c r="P992" s="39"/>
      <c r="Q992" s="39"/>
    </row>
    <row r="993">
      <c r="D993" s="49"/>
      <c r="K993" s="39"/>
      <c r="L993" s="39"/>
      <c r="M993" s="39"/>
      <c r="N993" s="39"/>
      <c r="O993" s="39"/>
      <c r="P993" s="39"/>
      <c r="Q993" s="39"/>
    </row>
    <row r="994">
      <c r="D994" s="49"/>
      <c r="K994" s="39"/>
      <c r="L994" s="39"/>
      <c r="M994" s="39"/>
      <c r="N994" s="39"/>
      <c r="O994" s="39"/>
      <c r="P994" s="39"/>
      <c r="Q994" s="39"/>
    </row>
    <row r="995">
      <c r="D995" s="49"/>
      <c r="K995" s="39"/>
      <c r="L995" s="39"/>
      <c r="M995" s="39"/>
      <c r="N995" s="39"/>
      <c r="O995" s="39"/>
      <c r="P995" s="39"/>
      <c r="Q995" s="39"/>
    </row>
    <row r="996">
      <c r="D996" s="49"/>
      <c r="K996" s="39"/>
      <c r="L996" s="39"/>
      <c r="M996" s="39"/>
      <c r="N996" s="39"/>
      <c r="O996" s="39"/>
      <c r="P996" s="39"/>
      <c r="Q996" s="39"/>
    </row>
    <row r="997">
      <c r="D997" s="49"/>
      <c r="K997" s="39"/>
      <c r="L997" s="39"/>
      <c r="M997" s="39"/>
      <c r="N997" s="39"/>
      <c r="O997" s="39"/>
      <c r="P997" s="39"/>
      <c r="Q997" s="39"/>
    </row>
    <row r="998">
      <c r="D998" s="49"/>
      <c r="K998" s="39"/>
      <c r="L998" s="39"/>
      <c r="M998" s="39"/>
      <c r="N998" s="39"/>
      <c r="O998" s="39"/>
      <c r="P998" s="39"/>
      <c r="Q998" s="39"/>
    </row>
    <row r="999">
      <c r="D999" s="49"/>
      <c r="K999" s="39"/>
      <c r="L999" s="39"/>
      <c r="M999" s="39"/>
      <c r="N999" s="39"/>
      <c r="O999" s="39"/>
      <c r="P999" s="39"/>
      <c r="Q999" s="39"/>
    </row>
    <row r="1000">
      <c r="D1000" s="49"/>
      <c r="K1000" s="39"/>
      <c r="L1000" s="39"/>
      <c r="M1000" s="39"/>
      <c r="N1000" s="39"/>
      <c r="O1000" s="39"/>
      <c r="P1000" s="39"/>
      <c r="Q1000" s="39"/>
    </row>
    <row r="1001">
      <c r="D1001" s="49"/>
      <c r="K1001" s="39"/>
      <c r="L1001" s="39"/>
      <c r="M1001" s="39"/>
      <c r="N1001" s="39"/>
      <c r="O1001" s="39"/>
      <c r="P1001" s="39"/>
      <c r="Q1001" s="39"/>
    </row>
    <row r="1002">
      <c r="D1002" s="49"/>
      <c r="K1002" s="39"/>
      <c r="L1002" s="39"/>
      <c r="M1002" s="39"/>
      <c r="N1002" s="39"/>
      <c r="O1002" s="39"/>
      <c r="P1002" s="39"/>
      <c r="Q1002" s="39"/>
    </row>
    <row r="1003">
      <c r="D1003" s="49"/>
      <c r="K1003" s="39"/>
      <c r="L1003" s="39"/>
      <c r="M1003" s="39"/>
      <c r="N1003" s="39"/>
      <c r="O1003" s="39"/>
      <c r="P1003" s="39"/>
      <c r="Q1003" s="39"/>
    </row>
    <row r="1004">
      <c r="D1004" s="49"/>
      <c r="K1004" s="39"/>
      <c r="L1004" s="39"/>
      <c r="M1004" s="39"/>
      <c r="N1004" s="39"/>
      <c r="O1004" s="39"/>
      <c r="P1004" s="39"/>
      <c r="Q1004" s="39"/>
    </row>
    <row r="1005">
      <c r="D1005" s="49"/>
      <c r="K1005" s="39"/>
      <c r="L1005" s="39"/>
      <c r="M1005" s="39"/>
      <c r="N1005" s="39"/>
      <c r="O1005" s="39"/>
      <c r="P1005" s="39"/>
      <c r="Q1005" s="39"/>
    </row>
    <row r="1006">
      <c r="D1006" s="49"/>
      <c r="K1006" s="39"/>
      <c r="L1006" s="39"/>
      <c r="M1006" s="39"/>
      <c r="N1006" s="39"/>
      <c r="O1006" s="39"/>
      <c r="P1006" s="39"/>
      <c r="Q1006" s="39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drawing r:id="rId1"/>
</worksheet>
</file>